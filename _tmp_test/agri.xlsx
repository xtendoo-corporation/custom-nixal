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nixalsl-my.sharepoint.com/personal/alberto_carmona_nixal_es/Documents/NixAl Agri/"/>
    </mc:Choice>
  </mc:AlternateContent>
  <xr:revisionPtr revIDLastSave="396" documentId="8_{66D1C940-B529-4BDE-B9DC-7C24F13DB8AB}" xr6:coauthVersionLast="47" xr6:coauthVersionMax="47" xr10:uidLastSave="{A49DC5A8-9DC2-4699-978B-03D742384481}"/>
  <bookViews>
    <workbookView xWindow="-120" yWindow="-120" windowWidth="29040" windowHeight="15840" activeTab="4" xr2:uid="{00000000-000D-0000-FFFF-FFFF00000000}"/>
  </bookViews>
  <sheets>
    <sheet name="Ppto 24-25 2Oct" sheetId="15" r:id="rId1"/>
    <sheet name="Animales" sheetId="19" r:id="rId2"/>
    <sheet name="Consolidado" sheetId="11" r:id="rId3"/>
    <sheet name="Comparativa cuadros" sheetId="16" r:id="rId4"/>
    <sheet name="Ing y gtos" sheetId="5" r:id="rId5"/>
    <sheet name="Alimento y ventas" sheetId="7" r:id="rId6"/>
    <sheet name="Hoja1" sheetId="17" r:id="rId7"/>
    <sheet name="Calculos" sheetId="14" r:id="rId8"/>
    <sheet name="PyG" sheetId="8" r:id="rId9"/>
    <sheet name="Calculos pienso" sheetId="9" r:id="rId10"/>
  </sheets>
  <externalReferences>
    <externalReference r:id="rId11"/>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20" i="5" l="1"/>
  <c r="BS96" i="5"/>
  <c r="BS48" i="5"/>
  <c r="BS150" i="5"/>
  <c r="BS50" i="5"/>
  <c r="BR80" i="5"/>
  <c r="BS80" i="5"/>
  <c r="BS141" i="5"/>
  <c r="BT91" i="5"/>
  <c r="BR96" i="5"/>
  <c r="BR20" i="5"/>
  <c r="BS41" i="5" l="1"/>
  <c r="BR41" i="5"/>
  <c r="BR90" i="5"/>
  <c r="BR47" i="5"/>
  <c r="BR98" i="5"/>
  <c r="BT92" i="5"/>
  <c r="BS40" i="5" l="1"/>
  <c r="BR40" i="5"/>
  <c r="BS5" i="5"/>
  <c r="BR5" i="5"/>
  <c r="BS118" i="5" l="1"/>
  <c r="BR50" i="5"/>
  <c r="BR85" i="5"/>
  <c r="AL133" i="7"/>
  <c r="AN75" i="7" l="1"/>
  <c r="AN82" i="7" s="1"/>
  <c r="BJ75" i="7"/>
  <c r="BI75" i="7"/>
  <c r="BH75" i="7"/>
  <c r="BG75" i="7"/>
  <c r="BF75" i="7"/>
  <c r="BF82" i="7" s="1"/>
  <c r="BE75" i="7"/>
  <c r="BD75" i="7"/>
  <c r="BD82" i="7" s="1"/>
  <c r="BC75" i="7"/>
  <c r="BB75" i="7"/>
  <c r="BA75" i="7"/>
  <c r="AZ75" i="7"/>
  <c r="AZ82" i="7" s="1"/>
  <c r="AY75" i="7"/>
  <c r="AX75" i="7"/>
  <c r="AW75" i="7"/>
  <c r="AV75" i="7"/>
  <c r="AV82" i="7" s="1"/>
  <c r="AU75" i="7"/>
  <c r="AT75" i="7"/>
  <c r="AS75" i="7"/>
  <c r="AR75" i="7"/>
  <c r="AR82" i="7" s="1"/>
  <c r="AQ75" i="7"/>
  <c r="AP75" i="7"/>
  <c r="AO75" i="7"/>
  <c r="AM75" i="7"/>
  <c r="AM82" i="7" s="1"/>
  <c r="AL75" i="7"/>
  <c r="AK75" i="7"/>
  <c r="AJ75" i="7"/>
  <c r="AJ82" i="7" s="1"/>
  <c r="AF75" i="7"/>
  <c r="AF82" i="7" s="1"/>
  <c r="AE75" i="7"/>
  <c r="AE82" i="7" s="1"/>
  <c r="AD75" i="7"/>
  <c r="AC75" i="7"/>
  <c r="AB75" i="7"/>
  <c r="AA75" i="7"/>
  <c r="AA82" i="7" s="1"/>
  <c r="Z75" i="7"/>
  <c r="Y75" i="7"/>
  <c r="X75" i="7"/>
  <c r="W75" i="7"/>
  <c r="V75" i="7"/>
  <c r="U75" i="7"/>
  <c r="T75" i="7"/>
  <c r="S75" i="7"/>
  <c r="R75" i="7"/>
  <c r="Q75" i="7"/>
  <c r="P75" i="7"/>
  <c r="O75" i="7"/>
  <c r="N75" i="7"/>
  <c r="M75" i="7"/>
  <c r="L75" i="7"/>
  <c r="K75" i="7"/>
  <c r="J75" i="7"/>
  <c r="I75" i="7"/>
  <c r="H75" i="7"/>
  <c r="G75" i="7"/>
  <c r="F75" i="7"/>
  <c r="E75" i="7"/>
  <c r="D75" i="7"/>
  <c r="C75" i="7"/>
  <c r="AG75" i="7"/>
  <c r="AG82" i="7" s="1"/>
  <c r="AH75" i="7"/>
  <c r="AH82" i="7" s="1"/>
  <c r="AI75" i="7"/>
  <c r="AI72" i="7"/>
  <c r="BJ82" i="7"/>
  <c r="BI82" i="7"/>
  <c r="BH82" i="7"/>
  <c r="BG82" i="7"/>
  <c r="BE82" i="7"/>
  <c r="BC82" i="7"/>
  <c r="BB82" i="7"/>
  <c r="BA82" i="7"/>
  <c r="AY82" i="7"/>
  <c r="AX82" i="7"/>
  <c r="AW82" i="7"/>
  <c r="AU82" i="7"/>
  <c r="AT82" i="7"/>
  <c r="AS82" i="7"/>
  <c r="AQ82" i="7"/>
  <c r="AP82" i="7"/>
  <c r="AO82" i="7"/>
  <c r="AL82" i="7"/>
  <c r="AK82" i="7"/>
  <c r="AI82" i="7"/>
  <c r="AD82" i="7"/>
  <c r="AC82" i="7"/>
  <c r="AB82" i="7"/>
  <c r="Z82" i="7"/>
  <c r="Y82" i="7"/>
  <c r="X82" i="7"/>
  <c r="W82" i="7"/>
  <c r="V82" i="7"/>
  <c r="U82" i="7"/>
  <c r="T82" i="7"/>
  <c r="S82" i="7"/>
  <c r="R82" i="7"/>
  <c r="Q82" i="7"/>
  <c r="P82" i="7"/>
  <c r="O82" i="7"/>
  <c r="N82" i="7"/>
  <c r="M82" i="7"/>
  <c r="L82" i="7"/>
  <c r="K82" i="7"/>
  <c r="J82" i="7"/>
  <c r="I82" i="7"/>
  <c r="H82" i="7"/>
  <c r="G82" i="7"/>
  <c r="F82" i="7"/>
  <c r="E82" i="7"/>
  <c r="D82" i="7"/>
  <c r="C82" i="7"/>
  <c r="AP93" i="7"/>
  <c r="AO93" i="7"/>
  <c r="AL93" i="7"/>
  <c r="AK93" i="7"/>
  <c r="AP131" i="7"/>
  <c r="AO131" i="7"/>
  <c r="AL131" i="7"/>
  <c r="AK131" i="7"/>
  <c r="BS47" i="5"/>
  <c r="BR52" i="5"/>
  <c r="BQ80" i="5" l="1"/>
  <c r="BQ52" i="5"/>
  <c r="BQ5" i="5"/>
  <c r="BQ40" i="5" l="1"/>
  <c r="BR103" i="5"/>
  <c r="BR102" i="5"/>
  <c r="BQ98" i="5" l="1"/>
  <c r="BQ103" i="5"/>
  <c r="BQ102" i="5"/>
  <c r="BQ41" i="5" l="1"/>
  <c r="BQ48" i="5"/>
  <c r="BQ20" i="5"/>
  <c r="BP48" i="5" l="1"/>
  <c r="BP47" i="5"/>
  <c r="D9" i="16" l="1"/>
  <c r="D10" i="16"/>
  <c r="D13" i="16"/>
  <c r="D14" i="16"/>
  <c r="D15" i="16"/>
  <c r="D19" i="16"/>
  <c r="D21" i="16"/>
  <c r="D30" i="16"/>
  <c r="D31" i="16"/>
  <c r="D32" i="16"/>
  <c r="D45" i="16"/>
  <c r="D46" i="16"/>
  <c r="D49" i="16"/>
  <c r="D53" i="16"/>
  <c r="D63" i="16"/>
  <c r="E63" i="16" s="1"/>
  <c r="D66" i="16"/>
  <c r="D68" i="16"/>
  <c r="D69" i="16"/>
  <c r="D70" i="16"/>
  <c r="D71" i="16"/>
  <c r="D72" i="16"/>
  <c r="D73" i="16"/>
  <c r="E73" i="16" s="1"/>
  <c r="D74" i="16"/>
  <c r="D76" i="16"/>
  <c r="D131" i="16"/>
  <c r="D132" i="16"/>
  <c r="D133" i="16"/>
  <c r="D134" i="16"/>
  <c r="D135" i="16"/>
  <c r="D136" i="16"/>
  <c r="D137" i="16"/>
  <c r="E137" i="16" s="1"/>
  <c r="D140" i="16"/>
  <c r="D141" i="16"/>
  <c r="D146" i="16"/>
  <c r="D147" i="16"/>
  <c r="D148" i="16"/>
  <c r="D149" i="16"/>
  <c r="D150" i="16"/>
  <c r="D152" i="16"/>
  <c r="D153" i="16"/>
  <c r="D154" i="16"/>
  <c r="E154" i="16" s="1"/>
  <c r="D158" i="16"/>
  <c r="D159" i="16"/>
  <c r="D160" i="16"/>
  <c r="D161" i="16"/>
  <c r="D162" i="16"/>
  <c r="BV15" i="5"/>
  <c r="K16" i="19"/>
  <c r="F7" i="19"/>
  <c r="D7" i="19" l="1"/>
  <c r="K7" i="19"/>
  <c r="C8" i="19"/>
  <c r="D8" i="19"/>
  <c r="F8" i="19"/>
  <c r="J8" i="19"/>
  <c r="K8" i="19"/>
  <c r="D9" i="19"/>
  <c r="F9" i="19"/>
  <c r="D10" i="19"/>
  <c r="E12" i="19"/>
  <c r="F12" i="19" s="1"/>
  <c r="F10" i="19"/>
  <c r="J10" i="19"/>
  <c r="K10" i="19"/>
  <c r="D11" i="19"/>
  <c r="F11" i="19"/>
  <c r="C12" i="19"/>
  <c r="D12" i="19"/>
  <c r="K12" i="19"/>
  <c r="J13" i="19"/>
  <c r="K14" i="19"/>
  <c r="K13" i="19" s="1"/>
  <c r="C15" i="19"/>
  <c r="K15" i="19"/>
  <c r="C16" i="19"/>
  <c r="E16" i="19"/>
  <c r="J16" i="19"/>
  <c r="K17" i="19"/>
  <c r="AB133" i="7" l="1"/>
  <c r="AG47" i="7"/>
  <c r="AF47" i="7"/>
  <c r="AG48" i="7"/>
  <c r="AF48" i="7"/>
  <c r="BP25" i="5" l="1"/>
  <c r="BP23" i="5"/>
  <c r="BP5" i="5"/>
  <c r="BP52" i="5"/>
  <c r="BP41" i="5"/>
  <c r="BP40" i="5"/>
  <c r="BP150" i="5"/>
  <c r="BP109" i="5"/>
  <c r="BP98" i="5"/>
  <c r="BP110" i="5"/>
  <c r="BP80" i="5" l="1"/>
  <c r="BO100" i="5"/>
  <c r="BP100" i="5"/>
  <c r="BO41" i="5"/>
  <c r="BP20" i="5" l="1"/>
  <c r="BP103" i="5"/>
  <c r="BP102" i="5"/>
  <c r="BP96" i="5" l="1"/>
  <c r="BG304" i="7" l="1"/>
  <c r="BH304" i="7"/>
  <c r="AU304" i="7"/>
  <c r="AV304" i="7"/>
  <c r="BO40" i="5" l="1"/>
  <c r="BP50" i="5"/>
  <c r="BO48" i="5"/>
  <c r="BO23" i="5"/>
  <c r="BO101" i="5" l="1"/>
  <c r="BO98" i="5" l="1"/>
  <c r="BU100" i="5"/>
  <c r="BO103" i="5"/>
  <c r="BO102" i="5"/>
  <c r="BO92" i="5" l="1"/>
  <c r="BJ47" i="5"/>
  <c r="BC20" i="5"/>
  <c r="BB47" i="5"/>
  <c r="BB20" i="5"/>
  <c r="BO80" i="5" l="1"/>
  <c r="BO116" i="5"/>
  <c r="BO105" i="5"/>
  <c r="BO150" i="5" l="1"/>
  <c r="BO109" i="5"/>
  <c r="AF255" i="7"/>
  <c r="AJ304" i="7" l="1"/>
  <c r="BS39" i="5" s="1"/>
  <c r="AI304" i="7"/>
  <c r="BR39" i="5" s="1"/>
  <c r="AH304" i="7"/>
  <c r="BQ39" i="5" s="1"/>
  <c r="AG304" i="7"/>
  <c r="BP39" i="5" s="1"/>
  <c r="AF304" i="7"/>
  <c r="BO39" i="5" s="1"/>
  <c r="BO91" i="5" l="1"/>
  <c r="BN106" i="5"/>
  <c r="BN41" i="5"/>
  <c r="BN110" i="5"/>
  <c r="BN80" i="5"/>
  <c r="BN150" i="5" l="1"/>
  <c r="BN103" i="5"/>
  <c r="BN102" i="5"/>
  <c r="BN98" i="5"/>
  <c r="BN50" i="5" l="1"/>
  <c r="BN93" i="5" l="1"/>
  <c r="BN52" i="5" l="1"/>
  <c r="BN25" i="5" l="1"/>
  <c r="BM100" i="5" l="1"/>
  <c r="BN96" i="5" l="1"/>
  <c r="BM47" i="5"/>
  <c r="BM110" i="5"/>
  <c r="BM80" i="5"/>
  <c r="BM41" i="5"/>
  <c r="BM5" i="5"/>
  <c r="BM40" i="5"/>
  <c r="BM52" i="5"/>
  <c r="BM48" i="5"/>
  <c r="BM109" i="5"/>
  <c r="BM101" i="5"/>
  <c r="BM102" i="5"/>
  <c r="BM117" i="5" l="1"/>
  <c r="BM116" i="5"/>
  <c r="BM141" i="5" l="1"/>
  <c r="BM118" i="5"/>
  <c r="BM98" i="5" l="1"/>
  <c r="BN20" i="5"/>
  <c r="BM92" i="5" l="1"/>
  <c r="BM96" i="5" l="1"/>
  <c r="BM50" i="5" l="1"/>
  <c r="BL48" i="5"/>
  <c r="BM51" i="5"/>
  <c r="BL20" i="5" l="1"/>
  <c r="BK116" i="5" l="1"/>
  <c r="BL98" i="5" l="1"/>
  <c r="BL41" i="5"/>
  <c r="BL40" i="5"/>
  <c r="BM89" i="5"/>
  <c r="BL96" i="5" l="1"/>
  <c r="AB130" i="7" l="1"/>
  <c r="AE31" i="11" l="1"/>
  <c r="AF31" i="11"/>
  <c r="AG31" i="11"/>
  <c r="AH31" i="11"/>
  <c r="AI31" i="11"/>
  <c r="AJ31" i="11"/>
  <c r="AK31" i="11"/>
  <c r="AL31" i="11"/>
  <c r="AM31" i="11"/>
  <c r="AN31" i="11"/>
  <c r="AN33" i="11" s="1"/>
  <c r="Z31" i="11"/>
  <c r="AA31" i="11"/>
  <c r="Y31" i="11"/>
  <c r="CL40" i="5" l="1"/>
  <c r="CX10" i="5"/>
  <c r="BK11" i="5"/>
  <c r="BK9" i="5"/>
  <c r="Z104" i="7" l="1"/>
  <c r="AA104" i="7" s="1"/>
  <c r="AB104" i="7" s="1"/>
  <c r="AC104" i="7" s="1"/>
  <c r="AB96" i="7"/>
  <c r="AC276" i="7" l="1"/>
  <c r="AB269" i="7"/>
  <c r="AC255" i="7"/>
  <c r="AB255" i="7"/>
  <c r="AC283" i="7" l="1"/>
  <c r="AC282" i="7"/>
  <c r="AY52" i="5" l="1"/>
  <c r="BL92" i="5"/>
  <c r="BL47" i="5" l="1"/>
  <c r="BM20" i="5"/>
  <c r="BL100" i="5"/>
  <c r="BL5" i="5" l="1"/>
  <c r="BL101" i="5"/>
  <c r="BN101" i="5"/>
  <c r="BK5" i="5"/>
  <c r="BL50" i="5" l="1"/>
  <c r="BK98" i="5"/>
  <c r="BK109" i="5"/>
  <c r="BK40" i="5" l="1"/>
  <c r="BK52" i="5"/>
  <c r="BF20" i="5"/>
  <c r="BK150" i="5" l="1"/>
  <c r="AD31" i="11" s="1"/>
  <c r="BK20" i="5" l="1"/>
  <c r="BJ118" i="5" l="1"/>
  <c r="BJ96" i="5"/>
  <c r="BJ100" i="5"/>
  <c r="BF96" i="5"/>
  <c r="CY73" i="5"/>
  <c r="CX73" i="5"/>
  <c r="CW73" i="5"/>
  <c r="CV73" i="5"/>
  <c r="CU73" i="5"/>
  <c r="CT73" i="5"/>
  <c r="CS73" i="5"/>
  <c r="CR73" i="5"/>
  <c r="CQ73" i="5"/>
  <c r="CP73" i="5"/>
  <c r="CO73" i="5"/>
  <c r="CN73" i="5"/>
  <c r="CJ73" i="5"/>
  <c r="CI73" i="5"/>
  <c r="CH73" i="5"/>
  <c r="CG73" i="5"/>
  <c r="CF73" i="5"/>
  <c r="CE73" i="5"/>
  <c r="CD73" i="5"/>
  <c r="CC73" i="5"/>
  <c r="CB73" i="5"/>
  <c r="CA73" i="5"/>
  <c r="BZ73" i="5"/>
  <c r="BY73" i="5"/>
  <c r="BU73" i="5"/>
  <c r="BT73" i="5"/>
  <c r="BS73" i="5"/>
  <c r="BR73" i="5"/>
  <c r="BQ73" i="5"/>
  <c r="BP73" i="5"/>
  <c r="BO73" i="5"/>
  <c r="BN73" i="5"/>
  <c r="BM73" i="5"/>
  <c r="BL73" i="5"/>
  <c r="BK73" i="5"/>
  <c r="BJ73" i="5"/>
  <c r="BE73" i="5"/>
  <c r="BD73" i="5"/>
  <c r="BD96" i="5"/>
  <c r="BD47" i="5"/>
  <c r="BD45" i="5"/>
  <c r="BC96" i="5"/>
  <c r="BC104" i="5"/>
  <c r="BC103" i="5"/>
  <c r="BK108" i="5" l="1"/>
  <c r="BK25" i="5" l="1"/>
  <c r="BK48" i="5"/>
  <c r="BK96" i="5" l="1"/>
  <c r="E148" i="16" l="1"/>
  <c r="E152" i="16"/>
  <c r="P61" i="16"/>
  <c r="P65" i="16"/>
  <c r="P73" i="16"/>
  <c r="P75" i="16"/>
  <c r="P139" i="16"/>
  <c r="P140" i="16"/>
  <c r="P145" i="16"/>
  <c r="P146" i="16"/>
  <c r="P148" i="16"/>
  <c r="P149" i="16"/>
  <c r="P151" i="16"/>
  <c r="P152" i="16"/>
  <c r="P157" i="16"/>
  <c r="P158" i="16"/>
  <c r="P159" i="16"/>
  <c r="AD49" i="11"/>
  <c r="AE49" i="11"/>
  <c r="AF49" i="11"/>
  <c r="AG49" i="11"/>
  <c r="AH49" i="11"/>
  <c r="AI49" i="11"/>
  <c r="AJ49" i="11"/>
  <c r="AK49" i="11"/>
  <c r="AL49" i="11"/>
  <c r="AM49" i="11"/>
  <c r="AN49" i="11"/>
  <c r="AD48" i="11"/>
  <c r="AE48" i="11"/>
  <c r="AF48" i="11"/>
  <c r="AG48" i="11"/>
  <c r="AH48" i="11"/>
  <c r="AI48" i="11"/>
  <c r="AJ48" i="11"/>
  <c r="AK48" i="11"/>
  <c r="AL48" i="11"/>
  <c r="AM48" i="11"/>
  <c r="AN48" i="11"/>
  <c r="AE47" i="11"/>
  <c r="AF47" i="11"/>
  <c r="AG47" i="11"/>
  <c r="AH47" i="11"/>
  <c r="AI47" i="11"/>
  <c r="AJ47" i="11"/>
  <c r="AK47" i="11"/>
  <c r="AL47" i="11"/>
  <c r="AM47" i="11"/>
  <c r="AN47" i="11"/>
  <c r="AD47" i="11"/>
  <c r="E149" i="16"/>
  <c r="AC49" i="11"/>
  <c r="AC48" i="11"/>
  <c r="AC47" i="11"/>
  <c r="AB39" i="7" l="1"/>
  <c r="CQ118" i="5" l="1"/>
  <c r="CB118" i="5"/>
  <c r="AM118" i="5"/>
  <c r="CC100" i="5"/>
  <c r="BK101" i="5"/>
  <c r="AB86" i="5" l="1"/>
  <c r="O86" i="5"/>
  <c r="O103" i="5"/>
  <c r="O104" i="5"/>
  <c r="CO99" i="5"/>
  <c r="BZ99" i="5"/>
  <c r="BK99" i="5"/>
  <c r="AB104" i="5" l="1"/>
  <c r="BJ5" i="5"/>
  <c r="AD282" i="7"/>
  <c r="AE282" i="7" s="1"/>
  <c r="AF282" i="7" s="1"/>
  <c r="AG282" i="7" s="1"/>
  <c r="AH282" i="7" s="1"/>
  <c r="AI282" i="7" s="1"/>
  <c r="AB282" i="7"/>
  <c r="C18" i="7"/>
  <c r="AJ282" i="7" l="1"/>
  <c r="AI308" i="7"/>
  <c r="AD284" i="7"/>
  <c r="AE284" i="7" s="1"/>
  <c r="AF284" i="7" s="1"/>
  <c r="AG284" i="7" s="1"/>
  <c r="AH284" i="7" s="1"/>
  <c r="AI284" i="7" s="1"/>
  <c r="AJ284" i="7" s="1"/>
  <c r="AK284" i="7" s="1"/>
  <c r="AL284" i="7" s="1"/>
  <c r="AM284" i="7" s="1"/>
  <c r="AN284" i="7" s="1"/>
  <c r="AO284" i="7" s="1"/>
  <c r="AP284" i="7" s="1"/>
  <c r="AQ284" i="7" s="1"/>
  <c r="AR284" i="7" s="1"/>
  <c r="AS284" i="7" s="1"/>
  <c r="AT284" i="7" s="1"/>
  <c r="AU284" i="7" s="1"/>
  <c r="AV284" i="7" s="1"/>
  <c r="AW284" i="7" s="1"/>
  <c r="AX284" i="7" s="1"/>
  <c r="AY284" i="7" s="1"/>
  <c r="AZ284" i="7" s="1"/>
  <c r="BA284" i="7" s="1"/>
  <c r="BB284" i="7" s="1"/>
  <c r="BC284" i="7" s="1"/>
  <c r="BD284" i="7" s="1"/>
  <c r="BE284" i="7" s="1"/>
  <c r="BF284" i="7" s="1"/>
  <c r="BG284" i="7" s="1"/>
  <c r="BH284" i="7" s="1"/>
  <c r="BI284" i="7" s="1"/>
  <c r="BJ284" i="7" s="1"/>
  <c r="AD283" i="7"/>
  <c r="AE283" i="7" s="1"/>
  <c r="AF283" i="7" s="1"/>
  <c r="AG283" i="7" s="1"/>
  <c r="AH283" i="7" s="1"/>
  <c r="AI283" i="7" s="1"/>
  <c r="AJ283" i="7" s="1"/>
  <c r="AK283" i="7" s="1"/>
  <c r="AL283" i="7" s="1"/>
  <c r="AM283" i="7" s="1"/>
  <c r="AN283" i="7" s="1"/>
  <c r="AO283" i="7" s="1"/>
  <c r="AP283" i="7" s="1"/>
  <c r="AQ283" i="7" s="1"/>
  <c r="AR283" i="7" s="1"/>
  <c r="AS283" i="7" s="1"/>
  <c r="AT283" i="7" s="1"/>
  <c r="AU283" i="7" s="1"/>
  <c r="AV283" i="7" s="1"/>
  <c r="AW283" i="7" s="1"/>
  <c r="AX283" i="7" s="1"/>
  <c r="AY283" i="7" s="1"/>
  <c r="AZ283" i="7" s="1"/>
  <c r="BA283" i="7" s="1"/>
  <c r="BB283" i="7" s="1"/>
  <c r="BC283" i="7" s="1"/>
  <c r="BD283" i="7" s="1"/>
  <c r="BE283" i="7" s="1"/>
  <c r="BF283" i="7" s="1"/>
  <c r="BG283" i="7" s="1"/>
  <c r="BH283" i="7" s="1"/>
  <c r="BI283" i="7" s="1"/>
  <c r="BJ283" i="7" s="1"/>
  <c r="AB283" i="7"/>
  <c r="BJ282" i="7"/>
  <c r="BI282" i="7"/>
  <c r="BH282" i="7"/>
  <c r="BG282" i="7"/>
  <c r="BF282" i="7"/>
  <c r="BE282" i="7"/>
  <c r="BD282" i="7"/>
  <c r="BC282" i="7"/>
  <c r="BB282" i="7"/>
  <c r="BA282" i="7"/>
  <c r="AZ282" i="7"/>
  <c r="AY282" i="7"/>
  <c r="AJ308" i="7" l="1"/>
  <c r="AK282" i="7"/>
  <c r="AD104" i="7"/>
  <c r="AF122" i="7"/>
  <c r="AE122" i="7"/>
  <c r="AD122" i="7"/>
  <c r="AC122" i="7"/>
  <c r="AB122" i="7"/>
  <c r="AA122" i="7"/>
  <c r="BJ150" i="5"/>
  <c r="AC31" i="11" s="1"/>
  <c r="AK308" i="7" l="1"/>
  <c r="AL282" i="7"/>
  <c r="AE104" i="7"/>
  <c r="AF104" i="7" s="1"/>
  <c r="AG104" i="7" s="1"/>
  <c r="AH104" i="7" s="1"/>
  <c r="AI104" i="7" s="1"/>
  <c r="AJ104" i="7" s="1"/>
  <c r="BK50" i="5"/>
  <c r="BJ98" i="5"/>
  <c r="AM282" i="7" l="1"/>
  <c r="AL308" i="7"/>
  <c r="AU161" i="5"/>
  <c r="AM308" i="7" l="1"/>
  <c r="AN282" i="7"/>
  <c r="BV5" i="5"/>
  <c r="D5" i="16" s="1"/>
  <c r="BJ54" i="5"/>
  <c r="BJ33" i="5"/>
  <c r="BJ40" i="5"/>
  <c r="BJ41" i="5"/>
  <c r="AJ104" i="5"/>
  <c r="I28" i="17"/>
  <c r="I27" i="17"/>
  <c r="I26" i="17"/>
  <c r="I25" i="17"/>
  <c r="I24" i="17"/>
  <c r="I30" i="17" s="1"/>
  <c r="AN308" i="7" l="1"/>
  <c r="AO282" i="7"/>
  <c r="P5" i="16"/>
  <c r="AG122" i="7"/>
  <c r="AO308" i="7" l="1"/>
  <c r="AP282" i="7"/>
  <c r="AQ282" i="7" s="1"/>
  <c r="AR282" i="7" s="1"/>
  <c r="AS282" i="7" s="1"/>
  <c r="AT282" i="7" s="1"/>
  <c r="AU282" i="7" s="1"/>
  <c r="AV282" i="7" s="1"/>
  <c r="AW282" i="7" s="1"/>
  <c r="AX282" i="7" s="1"/>
  <c r="BF41" i="5"/>
  <c r="BF40" i="5"/>
  <c r="BF98" i="5" l="1"/>
  <c r="BF108" i="5" l="1"/>
  <c r="BG49" i="5" l="1"/>
  <c r="BG46" i="5"/>
  <c r="BG45" i="5"/>
  <c r="BE116" i="5"/>
  <c r="BD116" i="5"/>
  <c r="BE20" i="5"/>
  <c r="AY96" i="5"/>
  <c r="Y138" i="7" l="1"/>
  <c r="Z138" i="7"/>
  <c r="AA138" i="7"/>
  <c r="AB138" i="7"/>
  <c r="AC138" i="7"/>
  <c r="Z127" i="7"/>
  <c r="BF5" i="5" l="1"/>
  <c r="Z122" i="7"/>
  <c r="BF50" i="5"/>
  <c r="BE41" i="5" l="1"/>
  <c r="BE5" i="5"/>
  <c r="BE40" i="5"/>
  <c r="BE98" i="5"/>
  <c r="BE96" i="5"/>
  <c r="BF68" i="5"/>
  <c r="BF73" i="5" s="1"/>
  <c r="BF48" i="5"/>
  <c r="BF47" i="5"/>
  <c r="BF54" i="5" s="1"/>
  <c r="BE106" i="5"/>
  <c r="BE93" i="5" l="1"/>
  <c r="BE25" i="5"/>
  <c r="BE108" i="5"/>
  <c r="BV120" i="5" l="1"/>
  <c r="D120" i="16" s="1"/>
  <c r="E120" i="16" s="1"/>
  <c r="BV119" i="5"/>
  <c r="D119" i="16" s="1"/>
  <c r="BV117" i="5"/>
  <c r="D117" i="16" s="1"/>
  <c r="BV116" i="5"/>
  <c r="D116" i="16" s="1"/>
  <c r="BV115" i="5"/>
  <c r="D115" i="16" s="1"/>
  <c r="BV114" i="5"/>
  <c r="D114" i="16" s="1"/>
  <c r="BV113" i="5"/>
  <c r="D113" i="16" s="1"/>
  <c r="BV112" i="5"/>
  <c r="D112" i="16" s="1"/>
  <c r="BV111" i="5"/>
  <c r="D111" i="16" s="1"/>
  <c r="BV110" i="5"/>
  <c r="BV109" i="5"/>
  <c r="D109" i="16" s="1"/>
  <c r="BV108" i="5"/>
  <c r="D108" i="16" s="1"/>
  <c r="BV107" i="5"/>
  <c r="D107" i="16" s="1"/>
  <c r="BV105" i="5"/>
  <c r="D105" i="16" s="1"/>
  <c r="BV104" i="5"/>
  <c r="D104" i="16" s="1"/>
  <c r="BV103" i="5"/>
  <c r="D103" i="16" s="1"/>
  <c r="BV102" i="5"/>
  <c r="D102" i="16" s="1"/>
  <c r="BV101" i="5"/>
  <c r="D101" i="16" s="1"/>
  <c r="BV98" i="5"/>
  <c r="D98" i="16" s="1"/>
  <c r="BV97" i="5"/>
  <c r="D97" i="16" s="1"/>
  <c r="BV96" i="5"/>
  <c r="D96" i="16" s="1"/>
  <c r="BV95" i="5"/>
  <c r="D95" i="16" s="1"/>
  <c r="BV92" i="5"/>
  <c r="D92" i="16" s="1"/>
  <c r="BV91" i="5"/>
  <c r="D91" i="16" s="1"/>
  <c r="BV90" i="5"/>
  <c r="D90" i="16" s="1"/>
  <c r="BV89" i="5"/>
  <c r="D89" i="16" s="1"/>
  <c r="BC50" i="5"/>
  <c r="D110" i="16" l="1"/>
  <c r="P102" i="16"/>
  <c r="E102" i="16"/>
  <c r="P109" i="16"/>
  <c r="P90" i="16"/>
  <c r="P112" i="16"/>
  <c r="P97" i="16"/>
  <c r="P116" i="16"/>
  <c r="P88" i="16"/>
  <c r="P110" i="16"/>
  <c r="P113" i="16"/>
  <c r="P100" i="16"/>
  <c r="P118" i="16"/>
  <c r="P103" i="16"/>
  <c r="P106" i="16"/>
  <c r="P108" i="16"/>
  <c r="P89" i="16"/>
  <c r="P111" i="16"/>
  <c r="P94" i="16"/>
  <c r="P114" i="16"/>
  <c r="P96" i="16"/>
  <c r="P115" i="16"/>
  <c r="P119" i="16"/>
  <c r="P104" i="16"/>
  <c r="P101" i="16"/>
  <c r="E101" i="16"/>
  <c r="P107" i="16"/>
  <c r="P91" i="16"/>
  <c r="P95" i="16"/>
  <c r="Z297" i="7"/>
  <c r="AA297" i="7" s="1"/>
  <c r="AB297" i="7" s="1"/>
  <c r="AD297" i="7" s="1"/>
  <c r="AE297" i="7" s="1"/>
  <c r="AF297" i="7" s="1"/>
  <c r="AG297" i="7" s="1"/>
  <c r="AH297" i="7" s="1"/>
  <c r="AI297" i="7" s="1"/>
  <c r="AJ297" i="7" s="1"/>
  <c r="AK297" i="7" s="1"/>
  <c r="AL297" i="7" s="1"/>
  <c r="AM297" i="7" s="1"/>
  <c r="AN297" i="7" s="1"/>
  <c r="AO297" i="7" s="1"/>
  <c r="AP297" i="7" s="1"/>
  <c r="AQ297" i="7" s="1"/>
  <c r="AR297" i="7" s="1"/>
  <c r="AS297" i="7" s="1"/>
  <c r="AT297" i="7" s="1"/>
  <c r="AU297" i="7" s="1"/>
  <c r="AV297" i="7" s="1"/>
  <c r="AW297" i="7" s="1"/>
  <c r="AX297" i="7" s="1"/>
  <c r="AY297" i="7" s="1"/>
  <c r="AZ297" i="7" s="1"/>
  <c r="BA297" i="7" s="1"/>
  <c r="BB297" i="7" s="1"/>
  <c r="BC297" i="7" s="1"/>
  <c r="BD297" i="7" s="1"/>
  <c r="BE297" i="7" s="1"/>
  <c r="BF297" i="7" s="1"/>
  <c r="BG297" i="7" s="1"/>
  <c r="BH297" i="7" s="1"/>
  <c r="BI297" i="7" s="1"/>
  <c r="BJ297" i="7" s="1"/>
  <c r="AA283" i="7"/>
  <c r="Z283" i="7"/>
  <c r="Y283" i="7"/>
  <c r="AA282" i="7"/>
  <c r="Z282" i="7"/>
  <c r="Y282" i="7"/>
  <c r="BJ32" i="7" l="1"/>
  <c r="BI32" i="7"/>
  <c r="BH32" i="7"/>
  <c r="BE32" i="7"/>
  <c r="BD32" i="7"/>
  <c r="BC32" i="7"/>
  <c r="BB32" i="7"/>
  <c r="AZ32" i="7"/>
  <c r="AY32" i="7"/>
  <c r="BG32" i="7"/>
  <c r="BF32" i="7"/>
  <c r="BA32" i="7"/>
  <c r="Z95" i="7"/>
  <c r="Y95" i="7"/>
  <c r="Z307" i="7"/>
  <c r="CN161" i="5"/>
  <c r="CO161" i="5"/>
  <c r="CP161" i="5"/>
  <c r="CQ161" i="5"/>
  <c r="CR161" i="5"/>
  <c r="CS161" i="5"/>
  <c r="CT161" i="5"/>
  <c r="CU161" i="5"/>
  <c r="CV161" i="5"/>
  <c r="CW161" i="5"/>
  <c r="CX161" i="5"/>
  <c r="CY161" i="5"/>
  <c r="AY308" i="7"/>
  <c r="AZ308" i="7"/>
  <c r="BA308" i="7"/>
  <c r="BB308" i="7"/>
  <c r="BC308" i="7"/>
  <c r="BD308" i="7"/>
  <c r="BE308" i="7"/>
  <c r="BF308" i="7"/>
  <c r="BG308" i="7"/>
  <c r="BH308" i="7"/>
  <c r="BI308" i="7"/>
  <c r="BJ308" i="7"/>
  <c r="AY309" i="7"/>
  <c r="AZ309" i="7"/>
  <c r="BA309" i="7"/>
  <c r="BB309" i="7"/>
  <c r="BC309" i="7"/>
  <c r="BD309" i="7"/>
  <c r="BE309" i="7"/>
  <c r="BF309" i="7"/>
  <c r="BG309" i="7"/>
  <c r="BH309" i="7"/>
  <c r="BI309" i="7"/>
  <c r="BJ309" i="7"/>
  <c r="AY304" i="7"/>
  <c r="CN39" i="5" s="1"/>
  <c r="AZ304" i="7"/>
  <c r="CO39" i="5" s="1"/>
  <c r="BA304" i="7"/>
  <c r="CP39" i="5" s="1"/>
  <c r="BB304" i="7"/>
  <c r="CQ39" i="5" s="1"/>
  <c r="BC304" i="7"/>
  <c r="CR39" i="5" s="1"/>
  <c r="CW39" i="5"/>
  <c r="BI304" i="7"/>
  <c r="CX39" i="5" s="1"/>
  <c r="BJ304" i="7"/>
  <c r="CY39" i="5" s="1"/>
  <c r="AY300" i="7"/>
  <c r="CN88" i="5" s="1"/>
  <c r="AZ300" i="7"/>
  <c r="CO88" i="5" s="1"/>
  <c r="BA300" i="7"/>
  <c r="CP88" i="5" s="1"/>
  <c r="BB300" i="7"/>
  <c r="CQ88" i="5" s="1"/>
  <c r="BC300" i="7"/>
  <c r="CR88" i="5" s="1"/>
  <c r="BD300" i="7"/>
  <c r="CS88" i="5" s="1"/>
  <c r="BE300" i="7"/>
  <c r="CT88" i="5" s="1"/>
  <c r="BF300" i="7"/>
  <c r="CU88" i="5" s="1"/>
  <c r="BG300" i="7"/>
  <c r="CV88" i="5" s="1"/>
  <c r="BH300" i="7"/>
  <c r="CW88" i="5" s="1"/>
  <c r="BI300" i="7"/>
  <c r="CX88" i="5" s="1"/>
  <c r="BJ300" i="7"/>
  <c r="CY88" i="5" s="1"/>
  <c r="AY279" i="7"/>
  <c r="AZ279" i="7"/>
  <c r="BA279" i="7"/>
  <c r="BB279" i="7"/>
  <c r="BC279" i="7"/>
  <c r="BD279" i="7"/>
  <c r="BE279" i="7"/>
  <c r="BF279" i="7"/>
  <c r="BG279" i="7"/>
  <c r="BH279" i="7"/>
  <c r="BI279" i="7"/>
  <c r="BJ279" i="7"/>
  <c r="AY272" i="7"/>
  <c r="CN85" i="5" s="1"/>
  <c r="AZ272" i="7"/>
  <c r="CO85" i="5" s="1"/>
  <c r="BA272" i="7"/>
  <c r="CP85" i="5" s="1"/>
  <c r="BB272" i="7"/>
  <c r="CQ85" i="5" s="1"/>
  <c r="BC272" i="7"/>
  <c r="CR85" i="5" s="1"/>
  <c r="BD272" i="7"/>
  <c r="CS85" i="5" s="1"/>
  <c r="BE272" i="7"/>
  <c r="CT85" i="5" s="1"/>
  <c r="BF272" i="7"/>
  <c r="CU85" i="5" s="1"/>
  <c r="BG272" i="7"/>
  <c r="CV85" i="5" s="1"/>
  <c r="BH272" i="7"/>
  <c r="CW85" i="5" s="1"/>
  <c r="BI272" i="7"/>
  <c r="BJ272" i="7"/>
  <c r="AY265" i="7"/>
  <c r="CN84" i="5" s="1"/>
  <c r="AZ265" i="7"/>
  <c r="CO84" i="5" s="1"/>
  <c r="BA265" i="7"/>
  <c r="CP84" i="5" s="1"/>
  <c r="BB265" i="7"/>
  <c r="CQ84" i="5" s="1"/>
  <c r="BC265" i="7"/>
  <c r="CR84" i="5" s="1"/>
  <c r="BD265" i="7"/>
  <c r="CS84" i="5" s="1"/>
  <c r="BE265" i="7"/>
  <c r="CT84" i="5" s="1"/>
  <c r="BF265" i="7"/>
  <c r="CU84" i="5" s="1"/>
  <c r="BG265" i="7"/>
  <c r="CV84" i="5" s="1"/>
  <c r="BH265" i="7"/>
  <c r="CW84" i="5" s="1"/>
  <c r="BI265" i="7"/>
  <c r="CX84" i="5" s="1"/>
  <c r="BJ265" i="7"/>
  <c r="CY84" i="5" s="1"/>
  <c r="AY258" i="7"/>
  <c r="CN83" i="5" s="1"/>
  <c r="AZ258" i="7"/>
  <c r="CO83" i="5" s="1"/>
  <c r="BA258" i="7"/>
  <c r="CP83" i="5" s="1"/>
  <c r="BB258" i="7"/>
  <c r="CQ83" i="5" s="1"/>
  <c r="BC258" i="7"/>
  <c r="BD258" i="7"/>
  <c r="BE258" i="7"/>
  <c r="CT83" i="5" s="1"/>
  <c r="BF258" i="7"/>
  <c r="CU83" i="5" s="1"/>
  <c r="BG258" i="7"/>
  <c r="CV83" i="5" s="1"/>
  <c r="BH258" i="7"/>
  <c r="CW83" i="5" s="1"/>
  <c r="BI258" i="7"/>
  <c r="CX83" i="5" s="1"/>
  <c r="BJ258" i="7"/>
  <c r="CY83" i="5" s="1"/>
  <c r="AY251" i="7"/>
  <c r="CN82" i="5" s="1"/>
  <c r="AZ251" i="7"/>
  <c r="CO82" i="5" s="1"/>
  <c r="BA251" i="7"/>
  <c r="CP82" i="5" s="1"/>
  <c r="BB251" i="7"/>
  <c r="CQ82" i="5" s="1"/>
  <c r="BC251" i="7"/>
  <c r="CR82" i="5" s="1"/>
  <c r="BD251" i="7"/>
  <c r="CS82" i="5" s="1"/>
  <c r="BE251" i="7"/>
  <c r="CT82" i="5" s="1"/>
  <c r="BF251" i="7"/>
  <c r="CU82" i="5" s="1"/>
  <c r="BG251" i="7"/>
  <c r="CV82" i="5" s="1"/>
  <c r="BH251" i="7"/>
  <c r="CW82" i="5" s="1"/>
  <c r="BI251" i="7"/>
  <c r="CX82" i="5" s="1"/>
  <c r="BJ251" i="7"/>
  <c r="CY82" i="5" s="1"/>
  <c r="AY244" i="7"/>
  <c r="CN81" i="5" s="1"/>
  <c r="AZ244" i="7"/>
  <c r="CO81" i="5" s="1"/>
  <c r="BA244" i="7"/>
  <c r="CP81" i="5" s="1"/>
  <c r="BB244" i="7"/>
  <c r="CQ81" i="5" s="1"/>
  <c r="BC244" i="7"/>
  <c r="CR81" i="5" s="1"/>
  <c r="BD244" i="7"/>
  <c r="CS81" i="5" s="1"/>
  <c r="BE244" i="7"/>
  <c r="CT81" i="5" s="1"/>
  <c r="BF244" i="7"/>
  <c r="CU81" i="5" s="1"/>
  <c r="BG244" i="7"/>
  <c r="CV81" i="5" s="1"/>
  <c r="BH244" i="7"/>
  <c r="CW81" i="5" s="1"/>
  <c r="BI244" i="7"/>
  <c r="CX81" i="5" s="1"/>
  <c r="BJ244" i="7"/>
  <c r="CY81" i="5" s="1"/>
  <c r="AY237" i="7"/>
  <c r="AZ237" i="7"/>
  <c r="BA237" i="7"/>
  <c r="BB237" i="7"/>
  <c r="BC237" i="7"/>
  <c r="BD237" i="7"/>
  <c r="BE237" i="7"/>
  <c r="BF237" i="7"/>
  <c r="BG237" i="7"/>
  <c r="BH237" i="7"/>
  <c r="BI237" i="7"/>
  <c r="BJ237" i="7"/>
  <c r="AY230" i="7"/>
  <c r="CN80" i="5" s="1"/>
  <c r="AZ230" i="7"/>
  <c r="CO80" i="5" s="1"/>
  <c r="BA230" i="7"/>
  <c r="CP80" i="5" s="1"/>
  <c r="BB230" i="7"/>
  <c r="CQ80" i="5" s="1"/>
  <c r="BC230" i="7"/>
  <c r="CR80" i="5" s="1"/>
  <c r="BD230" i="7"/>
  <c r="CS80" i="5" s="1"/>
  <c r="BE230" i="7"/>
  <c r="CT80" i="5" s="1"/>
  <c r="BF230" i="7"/>
  <c r="CU80" i="5" s="1"/>
  <c r="BG230" i="7"/>
  <c r="CV80" i="5" s="1"/>
  <c r="BH230" i="7"/>
  <c r="CW80" i="5" s="1"/>
  <c r="BI230" i="7"/>
  <c r="CX80" i="5" s="1"/>
  <c r="BJ230" i="7"/>
  <c r="CY80" i="5" s="1"/>
  <c r="AY223" i="7"/>
  <c r="CN79" i="5" s="1"/>
  <c r="AZ223" i="7"/>
  <c r="CO79" i="5" s="1"/>
  <c r="BA223" i="7"/>
  <c r="CP79" i="5" s="1"/>
  <c r="BB223" i="7"/>
  <c r="CQ79" i="5" s="1"/>
  <c r="BC223" i="7"/>
  <c r="CR79" i="5" s="1"/>
  <c r="BD223" i="7"/>
  <c r="CS79" i="5" s="1"/>
  <c r="BE223" i="7"/>
  <c r="CT79" i="5" s="1"/>
  <c r="BF223" i="7"/>
  <c r="CU79" i="5" s="1"/>
  <c r="BG223" i="7"/>
  <c r="CV79" i="5" s="1"/>
  <c r="BH223" i="7"/>
  <c r="CW79" i="5" s="1"/>
  <c r="BI223" i="7"/>
  <c r="CX79" i="5" s="1"/>
  <c r="BJ223" i="7"/>
  <c r="CY79" i="5" s="1"/>
  <c r="AY216" i="7"/>
  <c r="CN78" i="5" s="1"/>
  <c r="AZ216" i="7"/>
  <c r="BA216" i="7"/>
  <c r="CP78" i="5" s="1"/>
  <c r="BB216" i="7"/>
  <c r="BC216" i="7"/>
  <c r="CR78" i="5" s="1"/>
  <c r="BD216" i="7"/>
  <c r="CS78" i="5" s="1"/>
  <c r="BE216" i="7"/>
  <c r="CT78" i="5" s="1"/>
  <c r="BF216" i="7"/>
  <c r="CU78" i="5" s="1"/>
  <c r="BG216" i="7"/>
  <c r="CV78" i="5" s="1"/>
  <c r="BH216" i="7"/>
  <c r="CW78" i="5" s="1"/>
  <c r="BI216" i="7"/>
  <c r="CX78" i="5" s="1"/>
  <c r="BJ216" i="7"/>
  <c r="CY78" i="5" s="1"/>
  <c r="BJ182" i="7"/>
  <c r="AX182" i="7"/>
  <c r="BH176" i="7"/>
  <c r="BH186" i="7" s="1"/>
  <c r="AV176" i="7"/>
  <c r="AY176" i="7"/>
  <c r="AY186" i="7" s="1"/>
  <c r="AZ176" i="7"/>
  <c r="AZ186" i="7" s="1"/>
  <c r="BA176" i="7"/>
  <c r="BA186" i="7" s="1"/>
  <c r="BB176" i="7"/>
  <c r="BB186" i="7" s="1"/>
  <c r="BC176" i="7"/>
  <c r="BC186" i="7" s="1"/>
  <c r="BD176" i="7"/>
  <c r="BD186" i="7" s="1"/>
  <c r="BE176" i="7"/>
  <c r="BE186" i="7" s="1"/>
  <c r="BF176" i="7"/>
  <c r="BF186" i="7" s="1"/>
  <c r="BG176" i="7"/>
  <c r="BG186" i="7" s="1"/>
  <c r="BI176" i="7"/>
  <c r="BI186" i="7" s="1"/>
  <c r="BJ176" i="7"/>
  <c r="BJ186" i="7" s="1"/>
  <c r="AY177" i="7"/>
  <c r="AY187" i="7" s="1"/>
  <c r="AZ177" i="7"/>
  <c r="AZ187" i="7" s="1"/>
  <c r="BA177" i="7"/>
  <c r="BA187" i="7" s="1"/>
  <c r="BB177" i="7"/>
  <c r="BB187" i="7" s="1"/>
  <c r="BC177" i="7"/>
  <c r="BC187" i="7" s="1"/>
  <c r="BD177" i="7"/>
  <c r="BD187" i="7" s="1"/>
  <c r="BE177" i="7"/>
  <c r="BE187" i="7" s="1"/>
  <c r="BF177" i="7"/>
  <c r="BF187" i="7" s="1"/>
  <c r="BG177" i="7"/>
  <c r="BG187" i="7" s="1"/>
  <c r="BH177" i="7"/>
  <c r="BH187" i="7" s="1"/>
  <c r="BI177" i="7"/>
  <c r="BI187" i="7" s="1"/>
  <c r="BJ177" i="7"/>
  <c r="BJ187" i="7" s="1"/>
  <c r="AV173" i="7"/>
  <c r="AY173" i="7"/>
  <c r="AZ173" i="7"/>
  <c r="BA173" i="7"/>
  <c r="BB173" i="7"/>
  <c r="BC173" i="7"/>
  <c r="BD173" i="7"/>
  <c r="BE173" i="7"/>
  <c r="BF173" i="7"/>
  <c r="BG173" i="7"/>
  <c r="BH173" i="7"/>
  <c r="BI173" i="7"/>
  <c r="BJ173" i="7"/>
  <c r="AY138" i="7"/>
  <c r="AZ138" i="7"/>
  <c r="BA138" i="7"/>
  <c r="BB138" i="7"/>
  <c r="BC138" i="7"/>
  <c r="BD138" i="7"/>
  <c r="BE138" i="7"/>
  <c r="BF138" i="7"/>
  <c r="BG138" i="7"/>
  <c r="BH138" i="7"/>
  <c r="BI138" i="7"/>
  <c r="BJ138" i="7"/>
  <c r="AY130" i="7"/>
  <c r="AZ130" i="7"/>
  <c r="BA130" i="7"/>
  <c r="BB130" i="7"/>
  <c r="BC130" i="7"/>
  <c r="BD130" i="7"/>
  <c r="BE130" i="7"/>
  <c r="BF130" i="7"/>
  <c r="BG130" i="7"/>
  <c r="BH130" i="7"/>
  <c r="BI130" i="7"/>
  <c r="BJ130" i="7"/>
  <c r="AY95" i="7"/>
  <c r="AZ95" i="7"/>
  <c r="BA95" i="7"/>
  <c r="BB95" i="7"/>
  <c r="BC95" i="7"/>
  <c r="BD95" i="7"/>
  <c r="BE95" i="7"/>
  <c r="BF95" i="7"/>
  <c r="BG95" i="7"/>
  <c r="BH95" i="7"/>
  <c r="BI95" i="7"/>
  <c r="BJ95" i="7"/>
  <c r="AY92" i="7"/>
  <c r="AZ92" i="7"/>
  <c r="BA92" i="7"/>
  <c r="BB92" i="7"/>
  <c r="BC92" i="7"/>
  <c r="BD92" i="7"/>
  <c r="BE92" i="7"/>
  <c r="BF92" i="7"/>
  <c r="BG92" i="7"/>
  <c r="BH92" i="7"/>
  <c r="BI92" i="7"/>
  <c r="BJ92" i="7"/>
  <c r="AY46" i="7"/>
  <c r="BA46" i="7"/>
  <c r="BB46" i="7"/>
  <c r="BC46" i="7"/>
  <c r="BD46" i="7"/>
  <c r="BE46" i="7"/>
  <c r="BF46" i="7"/>
  <c r="BG46" i="7"/>
  <c r="BH46" i="7"/>
  <c r="BI46" i="7"/>
  <c r="BJ46" i="7"/>
  <c r="AY39" i="7"/>
  <c r="BA39" i="7"/>
  <c r="BB39" i="7"/>
  <c r="BC39" i="7"/>
  <c r="BD39" i="7"/>
  <c r="BF39" i="7"/>
  <c r="BG39" i="7"/>
  <c r="BH39" i="7"/>
  <c r="BI39" i="7"/>
  <c r="BJ39" i="7"/>
  <c r="AY11" i="7"/>
  <c r="AZ11" i="7"/>
  <c r="BA11" i="7"/>
  <c r="BB11" i="7"/>
  <c r="BC11" i="7"/>
  <c r="BD11" i="7"/>
  <c r="BE11" i="7"/>
  <c r="BF11" i="7"/>
  <c r="BG11" i="7"/>
  <c r="BH11" i="7"/>
  <c r="BI11" i="7"/>
  <c r="BJ11" i="7"/>
  <c r="AY8" i="7"/>
  <c r="AZ8" i="7"/>
  <c r="BA8" i="7"/>
  <c r="BB8" i="7"/>
  <c r="BC8" i="7"/>
  <c r="BD8" i="7"/>
  <c r="BE8" i="7"/>
  <c r="BF8" i="7"/>
  <c r="BG8" i="7"/>
  <c r="BH8" i="7"/>
  <c r="BI8" i="7"/>
  <c r="BJ8" i="7"/>
  <c r="BI301" i="7" l="1"/>
  <c r="BI299" i="7" s="1"/>
  <c r="CX85" i="5"/>
  <c r="BG301" i="7"/>
  <c r="BG299" i="7" s="1"/>
  <c r="BD301" i="7"/>
  <c r="BD299" i="7" s="1"/>
  <c r="BC301" i="7"/>
  <c r="BC299" i="7" s="1"/>
  <c r="CS83" i="5"/>
  <c r="CR83" i="5"/>
  <c r="BB301" i="7"/>
  <c r="BB299" i="7" s="1"/>
  <c r="AZ301" i="7"/>
  <c r="AZ299" i="7" s="1"/>
  <c r="BH301" i="7"/>
  <c r="BH299" i="7" s="1"/>
  <c r="BE301" i="7"/>
  <c r="BE299" i="7" s="1"/>
  <c r="AY301" i="7"/>
  <c r="AY299" i="7" s="1"/>
  <c r="BJ301" i="7"/>
  <c r="BJ299" i="7" s="1"/>
  <c r="CQ78" i="5"/>
  <c r="CO78" i="5"/>
  <c r="BF301" i="7"/>
  <c r="BF299" i="7" s="1"/>
  <c r="BA301" i="7"/>
  <c r="BA299" i="7" s="1"/>
  <c r="CY85" i="5"/>
  <c r="CZ136" i="5" l="1"/>
  <c r="CZ135" i="5"/>
  <c r="CZ134" i="5"/>
  <c r="CZ133" i="5"/>
  <c r="CZ132" i="5"/>
  <c r="CZ131" i="5"/>
  <c r="CZ120" i="5"/>
  <c r="CZ119" i="5"/>
  <c r="CZ118" i="5"/>
  <c r="CZ117" i="5"/>
  <c r="CZ116" i="5"/>
  <c r="CZ115" i="5"/>
  <c r="CZ114" i="5"/>
  <c r="CZ113" i="5"/>
  <c r="CZ112" i="5"/>
  <c r="CZ111" i="5"/>
  <c r="CZ110" i="5"/>
  <c r="CZ109" i="5"/>
  <c r="CZ108" i="5"/>
  <c r="CZ107" i="5"/>
  <c r="CO106" i="5"/>
  <c r="CP106" i="5" s="1"/>
  <c r="CQ106" i="5" s="1"/>
  <c r="CR106" i="5" s="1"/>
  <c r="CS106" i="5" s="1"/>
  <c r="CT106" i="5" s="1"/>
  <c r="CZ105" i="5"/>
  <c r="CZ104" i="5"/>
  <c r="CZ103" i="5"/>
  <c r="CZ102" i="5"/>
  <c r="CZ101" i="5"/>
  <c r="CR100" i="5"/>
  <c r="CZ100" i="5" s="1"/>
  <c r="CZ99" i="5"/>
  <c r="CN98" i="5"/>
  <c r="CZ98" i="5" s="1"/>
  <c r="CZ97" i="5"/>
  <c r="CZ96" i="5"/>
  <c r="CZ95" i="5"/>
  <c r="CZ94" i="5"/>
  <c r="CX93" i="5"/>
  <c r="CU93" i="5"/>
  <c r="CR93" i="5"/>
  <c r="CO93" i="5"/>
  <c r="CZ92" i="5"/>
  <c r="CZ91" i="5"/>
  <c r="CZ90" i="5"/>
  <c r="CZ89" i="5"/>
  <c r="CZ87" i="5"/>
  <c r="CZ86" i="5"/>
  <c r="CZ84" i="5"/>
  <c r="CZ83" i="5"/>
  <c r="CZ80" i="5"/>
  <c r="CZ79" i="5"/>
  <c r="CZ72" i="5"/>
  <c r="CZ71" i="5"/>
  <c r="CZ70" i="5"/>
  <c r="CZ69" i="5"/>
  <c r="CZ68" i="5"/>
  <c r="CZ63" i="5"/>
  <c r="CY61" i="5"/>
  <c r="CY65" i="5" s="1"/>
  <c r="CX61" i="5"/>
  <c r="CX65" i="5" s="1"/>
  <c r="CX75" i="5" s="1"/>
  <c r="CW61" i="5"/>
  <c r="CW65" i="5" s="1"/>
  <c r="CW75" i="5" s="1"/>
  <c r="CV61" i="5"/>
  <c r="CV65" i="5" s="1"/>
  <c r="CV75" i="5" s="1"/>
  <c r="CU61" i="5"/>
  <c r="CU65" i="5" s="1"/>
  <c r="CT61" i="5"/>
  <c r="CT65" i="5" s="1"/>
  <c r="CS61" i="5"/>
  <c r="CS65" i="5" s="1"/>
  <c r="CR61" i="5"/>
  <c r="CR65" i="5" s="1"/>
  <c r="CQ61" i="5"/>
  <c r="CQ65" i="5" s="1"/>
  <c r="CP61" i="5"/>
  <c r="CP65" i="5" s="1"/>
  <c r="CO61" i="5"/>
  <c r="CO65" i="5" s="1"/>
  <c r="CN61" i="5"/>
  <c r="CN65" i="5" s="1"/>
  <c r="CZ60" i="5"/>
  <c r="CZ61" i="5" s="1"/>
  <c r="CY54" i="5"/>
  <c r="CX54" i="5"/>
  <c r="CW54" i="5"/>
  <c r="CV54" i="5"/>
  <c r="CU54" i="5"/>
  <c r="CT54" i="5"/>
  <c r="CP54" i="5"/>
  <c r="CO54" i="5"/>
  <c r="CN54" i="5"/>
  <c r="CZ53" i="5"/>
  <c r="CZ52" i="5"/>
  <c r="CS54" i="5"/>
  <c r="CR54" i="5"/>
  <c r="CQ54" i="5"/>
  <c r="CZ50" i="5"/>
  <c r="CZ49" i="5"/>
  <c r="CZ48" i="5"/>
  <c r="CZ47" i="5"/>
  <c r="CZ46" i="5"/>
  <c r="CZ45" i="5"/>
  <c r="CY42" i="5"/>
  <c r="CZ41" i="5"/>
  <c r="CZ40" i="5"/>
  <c r="CX42" i="5"/>
  <c r="CW42" i="5"/>
  <c r="CW57" i="5" s="1"/>
  <c r="CR42" i="5"/>
  <c r="CQ42" i="5"/>
  <c r="CP42" i="5"/>
  <c r="CO42" i="5"/>
  <c r="CZ32" i="5"/>
  <c r="CZ31" i="5"/>
  <c r="CZ30" i="5"/>
  <c r="CZ29" i="5"/>
  <c r="CZ28" i="5"/>
  <c r="CZ27" i="5"/>
  <c r="CZ26" i="5"/>
  <c r="CX25" i="5"/>
  <c r="CR25" i="5"/>
  <c r="CO25" i="5"/>
  <c r="CZ24" i="5"/>
  <c r="CZ23" i="5"/>
  <c r="CZ22" i="5"/>
  <c r="CZ21" i="5"/>
  <c r="CY20" i="5"/>
  <c r="CY33" i="5" s="1"/>
  <c r="CX20" i="5"/>
  <c r="CW20" i="5"/>
  <c r="CW33" i="5" s="1"/>
  <c r="CV20" i="5"/>
  <c r="CV33" i="5" s="1"/>
  <c r="CU20" i="5"/>
  <c r="CU33" i="5" s="1"/>
  <c r="CT20" i="5"/>
  <c r="CT33" i="5" s="1"/>
  <c r="CS20" i="5"/>
  <c r="CS33" i="5" s="1"/>
  <c r="CR20" i="5"/>
  <c r="CQ20" i="5"/>
  <c r="CQ33" i="5" s="1"/>
  <c r="CP20" i="5"/>
  <c r="CP33" i="5" s="1"/>
  <c r="CO20" i="5"/>
  <c r="CN20" i="5"/>
  <c r="CN33" i="5" s="1"/>
  <c r="CZ19" i="5"/>
  <c r="CZ14" i="5"/>
  <c r="CZ13" i="5"/>
  <c r="CZ12" i="5"/>
  <c r="CZ11" i="5"/>
  <c r="CZ10" i="5"/>
  <c r="CZ9" i="5"/>
  <c r="CZ5" i="5"/>
  <c r="CZ73" i="5" l="1"/>
  <c r="CX57" i="5"/>
  <c r="CP75" i="5"/>
  <c r="CY57" i="5"/>
  <c r="CS75" i="5"/>
  <c r="CN75" i="5"/>
  <c r="CX33" i="5"/>
  <c r="CO75" i="5"/>
  <c r="CU106" i="5"/>
  <c r="CV106" i="5" s="1"/>
  <c r="CW106" i="5" s="1"/>
  <c r="CX106" i="5" s="1"/>
  <c r="CY106" i="5" s="1"/>
  <c r="CY121" i="5" s="1"/>
  <c r="CY126" i="5" s="1"/>
  <c r="CT121" i="5"/>
  <c r="CT126" i="5" s="1"/>
  <c r="CR75" i="5"/>
  <c r="CT75" i="5"/>
  <c r="CO33" i="5"/>
  <c r="CZ65" i="5"/>
  <c r="CZ75" i="5" s="1"/>
  <c r="CQ57" i="5"/>
  <c r="CO57" i="5"/>
  <c r="CP57" i="5"/>
  <c r="CR57" i="5"/>
  <c r="CZ85" i="5"/>
  <c r="CQ121" i="5"/>
  <c r="CQ126" i="5" s="1"/>
  <c r="CZ81" i="5"/>
  <c r="CP121" i="5"/>
  <c r="CP126" i="5" s="1"/>
  <c r="CR33" i="5"/>
  <c r="CZ25" i="5"/>
  <c r="CQ75" i="5"/>
  <c r="CU75" i="5"/>
  <c r="CY75" i="5"/>
  <c r="CZ78" i="5"/>
  <c r="CR121" i="5"/>
  <c r="CV121" i="5"/>
  <c r="CV126" i="5" s="1"/>
  <c r="CZ88" i="5"/>
  <c r="CZ93" i="5"/>
  <c r="CO121" i="5"/>
  <c r="CS121" i="5"/>
  <c r="CS126" i="5" s="1"/>
  <c r="CZ82" i="5"/>
  <c r="CZ20" i="5"/>
  <c r="CN42" i="5"/>
  <c r="CN57" i="5" s="1"/>
  <c r="CZ51" i="5"/>
  <c r="CZ54" i="5" s="1"/>
  <c r="CZ55" i="5" s="1"/>
  <c r="CN121" i="5"/>
  <c r="CN126" i="5" s="1"/>
  <c r="CX121" i="5" l="1"/>
  <c r="CX126" i="5" s="1"/>
  <c r="CW121" i="5"/>
  <c r="CW126" i="5" s="1"/>
  <c r="CZ33" i="5"/>
  <c r="CZ34" i="5" s="1"/>
  <c r="CU121" i="5"/>
  <c r="CU126" i="5" s="1"/>
  <c r="CZ106" i="5"/>
  <c r="CZ121" i="5" s="1"/>
  <c r="CO126" i="5"/>
  <c r="CR126" i="5"/>
  <c r="CZ122" i="5" l="1"/>
  <c r="CZ126" i="5"/>
  <c r="D11" i="17" l="1"/>
  <c r="D12" i="17" s="1"/>
  <c r="D5" i="17"/>
  <c r="BD20" i="5"/>
  <c r="BB41" i="5"/>
  <c r="BD5" i="5" l="1"/>
  <c r="BD40" i="5"/>
  <c r="BD50" i="5"/>
  <c r="BD11" i="5"/>
  <c r="BE92" i="5"/>
  <c r="BD98" i="5" l="1"/>
  <c r="W269" i="7" l="1"/>
  <c r="T27" i="7" l="1"/>
  <c r="BG72" i="5" l="1"/>
  <c r="AQ104" i="5"/>
  <c r="AQ86" i="5"/>
  <c r="BD48" i="5" l="1"/>
  <c r="BB116" i="5"/>
  <c r="BC41" i="5"/>
  <c r="BD25" i="5" l="1"/>
  <c r="BC110" i="5"/>
  <c r="BC40" i="5"/>
  <c r="BC47" i="5"/>
  <c r="BC5" i="5"/>
  <c r="BC98" i="5"/>
  <c r="BC48" i="5"/>
  <c r="BC108" i="5" l="1"/>
  <c r="BC25" i="5"/>
  <c r="BB48" i="5" l="1"/>
  <c r="BA48" i="5" l="1"/>
  <c r="AO12" i="5" l="1"/>
  <c r="AO11" i="5"/>
  <c r="BC23" i="5"/>
  <c r="BB108" i="5" l="1"/>
  <c r="BB5" i="5"/>
  <c r="BB40" i="5"/>
  <c r="BB106" i="5" l="1"/>
  <c r="CK100" i="5"/>
  <c r="BV100" i="5"/>
  <c r="D100" i="16" s="1"/>
  <c r="E100" i="16" s="1"/>
  <c r="BB98" i="5"/>
  <c r="DB99" i="5"/>
  <c r="BA41" i="5"/>
  <c r="AZ100" i="5"/>
  <c r="AY41" i="5"/>
  <c r="AY133" i="5"/>
  <c r="AY100" i="5"/>
  <c r="AW96" i="5"/>
  <c r="AW41" i="5"/>
  <c r="AV41" i="5"/>
  <c r="AV96" i="5"/>
  <c r="AU96" i="5"/>
  <c r="AN96" i="5"/>
  <c r="AM96" i="5"/>
  <c r="AI60" i="5"/>
  <c r="AI96" i="5"/>
  <c r="AI116" i="5"/>
  <c r="AH116" i="5"/>
  <c r="AI118" i="5"/>
  <c r="P99" i="16" l="1"/>
  <c r="AI32" i="5"/>
  <c r="AI99" i="5"/>
  <c r="U25" i="7" l="1"/>
  <c r="T25" i="7"/>
  <c r="BC150" i="5" l="1"/>
  <c r="BB150" i="5"/>
  <c r="BB11" i="5"/>
  <c r="S40" i="7" l="1"/>
  <c r="S34" i="7"/>
  <c r="BB96" i="5" l="1"/>
  <c r="BB31" i="5" l="1"/>
  <c r="BB51" i="5" l="1"/>
  <c r="BG134" i="5" l="1"/>
  <c r="BB50" i="5" l="1"/>
  <c r="BA98" i="5" l="1"/>
  <c r="BA51" i="5"/>
  <c r="BA40" i="5"/>
  <c r="BA5" i="5"/>
  <c r="BA106" i="5" l="1"/>
  <c r="BA108" i="5"/>
  <c r="BM94" i="5" l="1"/>
  <c r="BK94" i="5"/>
  <c r="BV94" i="5" s="1"/>
  <c r="D94" i="16" s="1"/>
  <c r="BB94" i="5"/>
  <c r="P93" i="16" l="1"/>
  <c r="BA94" i="5"/>
  <c r="N125" i="7"/>
  <c r="V282" i="7" l="1"/>
  <c r="W282" i="7"/>
  <c r="X282" i="7"/>
  <c r="U282" i="7"/>
  <c r="S282" i="7"/>
  <c r="S307" i="7" s="1"/>
  <c r="BG9" i="5" l="1"/>
  <c r="BG11" i="5"/>
  <c r="BG12" i="5"/>
  <c r="BG13" i="5"/>
  <c r="BG14" i="5"/>
  <c r="BG19" i="5"/>
  <c r="BG22" i="5"/>
  <c r="BG24" i="5"/>
  <c r="BG26" i="5"/>
  <c r="BG27" i="5"/>
  <c r="BG28" i="5"/>
  <c r="BG29" i="5"/>
  <c r="BG30" i="5"/>
  <c r="BG31" i="5"/>
  <c r="BG32" i="5"/>
  <c r="BG53" i="5"/>
  <c r="BG60" i="5"/>
  <c r="BG61" i="5" s="1"/>
  <c r="BG63" i="5"/>
  <c r="BG68" i="5"/>
  <c r="BG69" i="5"/>
  <c r="BG70" i="5"/>
  <c r="BG71" i="5"/>
  <c r="BG87" i="5"/>
  <c r="BG89" i="5"/>
  <c r="BG90" i="5"/>
  <c r="BG91" i="5"/>
  <c r="BG94" i="5"/>
  <c r="BG95" i="5"/>
  <c r="BG97" i="5"/>
  <c r="BG100" i="5"/>
  <c r="BG101" i="5"/>
  <c r="BG102" i="5"/>
  <c r="BG103" i="5"/>
  <c r="BG104" i="5"/>
  <c r="BG105" i="5"/>
  <c r="BG109" i="5"/>
  <c r="BG111" i="5"/>
  <c r="BG112" i="5"/>
  <c r="BG113" i="5"/>
  <c r="BG114" i="5"/>
  <c r="BG115" i="5"/>
  <c r="BG117" i="5"/>
  <c r="BG119" i="5"/>
  <c r="BG120" i="5"/>
  <c r="BG131" i="5"/>
  <c r="BG133" i="5"/>
  <c r="BG135" i="5"/>
  <c r="BG136" i="5"/>
  <c r="BG73" i="5" l="1"/>
  <c r="BG75" i="5" s="1"/>
  <c r="BG65" i="5"/>
  <c r="U122" i="7" l="1"/>
  <c r="U48" i="7" l="1"/>
  <c r="AZ116" i="5"/>
  <c r="AZ98" i="5"/>
  <c r="BA118" i="5" l="1"/>
  <c r="AZ25" i="5" l="1"/>
  <c r="AZ40" i="5"/>
  <c r="AZ106" i="5"/>
  <c r="M112" i="7"/>
  <c r="L112" i="7"/>
  <c r="K112" i="7"/>
  <c r="J112" i="7"/>
  <c r="I112" i="7"/>
  <c r="C112" i="7"/>
  <c r="D112" i="7"/>
  <c r="E112" i="7"/>
  <c r="F112" i="7"/>
  <c r="G112" i="7"/>
  <c r="H112" i="7"/>
  <c r="AZ41" i="5" l="1"/>
  <c r="AZ48" i="5"/>
  <c r="AZ47" i="5" l="1"/>
  <c r="AZ96" i="5" l="1"/>
  <c r="E89" i="16" l="1"/>
  <c r="E90" i="16"/>
  <c r="E91" i="16"/>
  <c r="E94" i="16"/>
  <c r="E95" i="16"/>
  <c r="E96" i="16"/>
  <c r="E97" i="16"/>
  <c r="E103" i="16"/>
  <c r="E104" i="16"/>
  <c r="E107" i="16"/>
  <c r="E108" i="16"/>
  <c r="E109" i="16"/>
  <c r="E110" i="16"/>
  <c r="E111" i="16"/>
  <c r="E112" i="16"/>
  <c r="E113" i="16"/>
  <c r="E114" i="16"/>
  <c r="E115" i="16"/>
  <c r="E116" i="16"/>
  <c r="E119" i="16"/>
  <c r="E140" i="16"/>
  <c r="E146" i="16"/>
  <c r="E5" i="16"/>
  <c r="CK86" i="5" l="1"/>
  <c r="CK72" i="5"/>
  <c r="BV72" i="5"/>
  <c r="T279" i="7"/>
  <c r="AZ86" i="5" s="1"/>
  <c r="AV39" i="7"/>
  <c r="E71" i="16" l="1"/>
  <c r="P71" i="16"/>
  <c r="AZ150" i="5"/>
  <c r="AZ23" i="5" l="1"/>
  <c r="N106" i="7"/>
  <c r="T55" i="7" l="1"/>
  <c r="AX304" i="7" l="1"/>
  <c r="AW304" i="7"/>
  <c r="AQ304" i="7"/>
  <c r="AP304" i="7"/>
  <c r="AO304" i="7"/>
  <c r="AN304" i="7"/>
  <c r="AM304" i="7"/>
  <c r="AL304" i="7"/>
  <c r="BU39" i="5" s="1"/>
  <c r="AK304" i="7"/>
  <c r="BT39" i="5" s="1"/>
  <c r="AE304" i="7"/>
  <c r="BN39" i="5" s="1"/>
  <c r="AD304" i="7"/>
  <c r="BM39" i="5" s="1"/>
  <c r="AC304" i="7"/>
  <c r="AB304" i="7"/>
  <c r="BK39" i="5" s="1"/>
  <c r="BK42" i="5" s="1"/>
  <c r="AA304" i="7"/>
  <c r="BJ39" i="5" s="1"/>
  <c r="BJ42" i="5" s="1"/>
  <c r="BJ57" i="5" s="1"/>
  <c r="Z304" i="7"/>
  <c r="BF39" i="5" s="1"/>
  <c r="Y304" i="7"/>
  <c r="BE39" i="5" s="1"/>
  <c r="X304" i="7"/>
  <c r="BD39" i="5" s="1"/>
  <c r="W304" i="7"/>
  <c r="BC39" i="5" s="1"/>
  <c r="V304" i="7"/>
  <c r="BB39" i="5" s="1"/>
  <c r="BB42" i="5" s="1"/>
  <c r="R304" i="7"/>
  <c r="S304" i="7"/>
  <c r="BL39" i="5" l="1"/>
  <c r="AZ92" i="5"/>
  <c r="BG92" i="5" s="1"/>
  <c r="BD49" i="11" l="1"/>
  <c r="BC49" i="11"/>
  <c r="BB49" i="11"/>
  <c r="BA49" i="11"/>
  <c r="AZ49" i="11"/>
  <c r="AY49" i="11"/>
  <c r="AX49" i="11"/>
  <c r="AW49" i="11"/>
  <c r="AV49" i="11"/>
  <c r="AU49" i="11"/>
  <c r="AT49" i="11"/>
  <c r="AS49" i="11"/>
  <c r="BD48" i="11"/>
  <c r="BC48" i="11"/>
  <c r="BB48" i="11"/>
  <c r="BA48" i="11"/>
  <c r="AZ48" i="11"/>
  <c r="AY48" i="11"/>
  <c r="AX48" i="11"/>
  <c r="AW48" i="11"/>
  <c r="AV48" i="11"/>
  <c r="AU48" i="11"/>
  <c r="AT48" i="11"/>
  <c r="AS48" i="11"/>
  <c r="BD47" i="11"/>
  <c r="BC47" i="11"/>
  <c r="BB47" i="11"/>
  <c r="BA47" i="11"/>
  <c r="AZ47" i="11"/>
  <c r="AY47" i="11"/>
  <c r="AX47" i="11"/>
  <c r="AW47" i="11"/>
  <c r="AV47" i="11"/>
  <c r="AU47" i="11"/>
  <c r="AT47" i="11"/>
  <c r="AS47" i="11"/>
  <c r="BD31" i="11"/>
  <c r="BD33" i="11" s="1"/>
  <c r="BC31" i="11"/>
  <c r="BC33" i="11" s="1"/>
  <c r="BB31" i="11"/>
  <c r="BB33" i="11" s="1"/>
  <c r="BA31" i="11"/>
  <c r="BA33" i="11" s="1"/>
  <c r="AZ31" i="11"/>
  <c r="AZ33" i="11" s="1"/>
  <c r="AY31" i="11"/>
  <c r="AY33" i="11" s="1"/>
  <c r="AX31" i="11"/>
  <c r="AX33" i="11" s="1"/>
  <c r="AW31" i="11"/>
  <c r="AW33" i="11" s="1"/>
  <c r="AV31" i="11"/>
  <c r="AV33" i="11" s="1"/>
  <c r="AU31" i="11"/>
  <c r="AU33" i="11" s="1"/>
  <c r="AT31" i="11"/>
  <c r="AT33" i="11" s="1"/>
  <c r="AS31" i="11"/>
  <c r="AS33" i="11" s="1"/>
  <c r="AS34" i="11" s="1"/>
  <c r="AS30" i="11"/>
  <c r="BD27" i="11"/>
  <c r="BD29" i="11" s="1"/>
  <c r="BC27" i="11"/>
  <c r="BC29" i="11" s="1"/>
  <c r="BB27" i="11"/>
  <c r="BB29" i="11" s="1"/>
  <c r="BA27" i="11"/>
  <c r="BA29" i="11" s="1"/>
  <c r="AZ27" i="11"/>
  <c r="AZ29" i="11" s="1"/>
  <c r="AY27" i="11"/>
  <c r="AY29" i="11" s="1"/>
  <c r="AX27" i="11"/>
  <c r="AX29" i="11" s="1"/>
  <c r="AW27" i="11"/>
  <c r="AW29" i="11" s="1"/>
  <c r="AV27" i="11"/>
  <c r="AV29" i="11" s="1"/>
  <c r="AU27" i="11"/>
  <c r="AU29" i="11" s="1"/>
  <c r="AT27" i="11"/>
  <c r="AT29" i="11" s="1"/>
  <c r="AT30" i="11" s="1"/>
  <c r="AS27" i="11"/>
  <c r="AS29" i="11" s="1"/>
  <c r="CA80" i="5"/>
  <c r="CB80" i="5"/>
  <c r="CC80" i="5"/>
  <c r="CD80" i="5"/>
  <c r="CE80" i="5"/>
  <c r="CF80" i="5"/>
  <c r="CG80" i="5"/>
  <c r="CH80" i="5"/>
  <c r="CI80" i="5"/>
  <c r="CJ80" i="5"/>
  <c r="BZ80" i="5"/>
  <c r="CJ161" i="5"/>
  <c r="CI161" i="5"/>
  <c r="CH161" i="5"/>
  <c r="CG161" i="5"/>
  <c r="CF161" i="5"/>
  <c r="CE161" i="5"/>
  <c r="CD161" i="5"/>
  <c r="CC161" i="5"/>
  <c r="CB161" i="5"/>
  <c r="CA161" i="5"/>
  <c r="BZ161" i="5"/>
  <c r="BY161" i="5"/>
  <c r="CK136" i="5"/>
  <c r="CK135" i="5"/>
  <c r="CK134" i="5"/>
  <c r="CK133" i="5"/>
  <c r="CK132" i="5"/>
  <c r="CK131" i="5"/>
  <c r="CK120" i="5"/>
  <c r="CK119" i="5"/>
  <c r="CK117" i="5"/>
  <c r="CK116" i="5"/>
  <c r="CK115" i="5"/>
  <c r="CK114" i="5"/>
  <c r="CK113" i="5"/>
  <c r="CK112" i="5"/>
  <c r="CK111" i="5"/>
  <c r="CK110" i="5"/>
  <c r="CK109" i="5"/>
  <c r="CK108" i="5"/>
  <c r="CK107" i="5"/>
  <c r="CK105" i="5"/>
  <c r="CK104" i="5"/>
  <c r="CK103" i="5"/>
  <c r="CK102" i="5"/>
  <c r="CK101" i="5"/>
  <c r="CK99" i="5"/>
  <c r="BY98" i="5"/>
  <c r="CK98" i="5" s="1"/>
  <c r="CK97" i="5"/>
  <c r="CK96" i="5"/>
  <c r="CK95" i="5"/>
  <c r="CK94" i="5"/>
  <c r="CI93" i="5"/>
  <c r="CF93" i="5"/>
  <c r="CC93" i="5"/>
  <c r="BZ93" i="5"/>
  <c r="CK92" i="5"/>
  <c r="CK91" i="5"/>
  <c r="CK90" i="5"/>
  <c r="CK89" i="5"/>
  <c r="CK87" i="5"/>
  <c r="BD17" i="11"/>
  <c r="BC17" i="11"/>
  <c r="BB17" i="11"/>
  <c r="BA17" i="11"/>
  <c r="AZ17" i="11"/>
  <c r="AY17" i="11"/>
  <c r="AX17" i="11"/>
  <c r="AW17" i="11"/>
  <c r="AV17" i="11"/>
  <c r="AU17" i="11"/>
  <c r="AT17" i="11"/>
  <c r="AS17" i="11"/>
  <c r="CK71" i="5"/>
  <c r="CK70" i="5"/>
  <c r="CK69" i="5"/>
  <c r="CK68" i="5"/>
  <c r="CK63" i="5"/>
  <c r="CJ61" i="5"/>
  <c r="CJ65" i="5" s="1"/>
  <c r="CI61" i="5"/>
  <c r="CI65" i="5" s="1"/>
  <c r="CH61" i="5"/>
  <c r="CH65" i="5" s="1"/>
  <c r="CG61" i="5"/>
  <c r="BA16" i="11" s="1"/>
  <c r="CF61" i="5"/>
  <c r="AZ16" i="11" s="1"/>
  <c r="CE61" i="5"/>
  <c r="CE65" i="5" s="1"/>
  <c r="CD61" i="5"/>
  <c r="CD65" i="5" s="1"/>
  <c r="CC61" i="5"/>
  <c r="CC65" i="5" s="1"/>
  <c r="CB61" i="5"/>
  <c r="CB65" i="5" s="1"/>
  <c r="CA61" i="5"/>
  <c r="CA65" i="5" s="1"/>
  <c r="BZ61" i="5"/>
  <c r="BZ65" i="5" s="1"/>
  <c r="BY61" i="5"/>
  <c r="AS16" i="11" s="1"/>
  <c r="CK60" i="5"/>
  <c r="CK61" i="5" s="1"/>
  <c r="CJ54" i="5"/>
  <c r="BD11" i="11" s="1"/>
  <c r="CI54" i="5"/>
  <c r="BC11" i="11" s="1"/>
  <c r="CH54" i="5"/>
  <c r="BB11" i="11" s="1"/>
  <c r="CG54" i="5"/>
  <c r="BA11" i="11" s="1"/>
  <c r="CF54" i="5"/>
  <c r="AZ11" i="11" s="1"/>
  <c r="CE54" i="5"/>
  <c r="AY11" i="11" s="1"/>
  <c r="CA54" i="5"/>
  <c r="AU11" i="11" s="1"/>
  <c r="BZ54" i="5"/>
  <c r="AT11" i="11" s="1"/>
  <c r="BY54" i="5"/>
  <c r="AS11" i="11" s="1"/>
  <c r="CK53" i="5"/>
  <c r="CK52" i="5"/>
  <c r="CD54" i="5"/>
  <c r="AX11" i="11" s="1"/>
  <c r="CC54" i="5"/>
  <c r="AW11" i="11" s="1"/>
  <c r="CK50" i="5"/>
  <c r="CK49" i="5"/>
  <c r="CK48" i="5"/>
  <c r="CK47" i="5"/>
  <c r="CK46" i="5"/>
  <c r="CK45" i="5"/>
  <c r="CK41" i="5"/>
  <c r="CK40" i="5"/>
  <c r="CK32" i="5"/>
  <c r="CK31" i="5"/>
  <c r="CK30" i="5"/>
  <c r="CK29" i="5"/>
  <c r="CK28" i="5"/>
  <c r="CK27" i="5"/>
  <c r="CK26" i="5"/>
  <c r="CI25" i="5"/>
  <c r="CC25" i="5"/>
  <c r="BZ25" i="5"/>
  <c r="CK24" i="5"/>
  <c r="CK23" i="5"/>
  <c r="CK22" i="5"/>
  <c r="CK21" i="5"/>
  <c r="CJ20" i="5"/>
  <c r="CJ33" i="5" s="1"/>
  <c r="BD5" i="11" s="1"/>
  <c r="CI20" i="5"/>
  <c r="CH20" i="5"/>
  <c r="CH33" i="5" s="1"/>
  <c r="BB5" i="11" s="1"/>
  <c r="CG20" i="5"/>
  <c r="CG33" i="5" s="1"/>
  <c r="BA5" i="11" s="1"/>
  <c r="CF20" i="5"/>
  <c r="CF33" i="5" s="1"/>
  <c r="AZ5" i="11" s="1"/>
  <c r="CE20" i="5"/>
  <c r="CE33" i="5" s="1"/>
  <c r="AY5" i="11" s="1"/>
  <c r="CD20" i="5"/>
  <c r="CD33" i="5" s="1"/>
  <c r="AX5" i="11" s="1"/>
  <c r="CC20" i="5"/>
  <c r="CB20" i="5"/>
  <c r="CB33" i="5" s="1"/>
  <c r="AV5" i="11" s="1"/>
  <c r="CA20" i="5"/>
  <c r="CA33" i="5" s="1"/>
  <c r="AU5" i="11" s="1"/>
  <c r="BZ20" i="5"/>
  <c r="BY20" i="5"/>
  <c r="BY33" i="5" s="1"/>
  <c r="AS5" i="11" s="1"/>
  <c r="CK19" i="5"/>
  <c r="CK14" i="5"/>
  <c r="CK13" i="5"/>
  <c r="CK12" i="5"/>
  <c r="CK11" i="5"/>
  <c r="CI10" i="5"/>
  <c r="CK10" i="5" s="1"/>
  <c r="CK9" i="5"/>
  <c r="CK5" i="5"/>
  <c r="AD33" i="11"/>
  <c r="AE33" i="11"/>
  <c r="AF33" i="11"/>
  <c r="AG33" i="11"/>
  <c r="AH33" i="11"/>
  <c r="AI33" i="11"/>
  <c r="AJ33" i="11"/>
  <c r="AK33" i="11"/>
  <c r="AL33" i="11"/>
  <c r="AM33" i="11"/>
  <c r="AC33" i="11"/>
  <c r="AD27" i="11"/>
  <c r="AD29" i="11" s="1"/>
  <c r="AE27" i="11"/>
  <c r="AE29" i="11" s="1"/>
  <c r="AF27" i="11"/>
  <c r="AF29" i="11" s="1"/>
  <c r="AG27" i="11"/>
  <c r="AG29" i="11" s="1"/>
  <c r="AH27" i="11"/>
  <c r="AH29" i="11" s="1"/>
  <c r="AI27" i="11"/>
  <c r="AI29" i="11" s="1"/>
  <c r="AJ27" i="11"/>
  <c r="AJ29" i="11" s="1"/>
  <c r="AK27" i="11"/>
  <c r="AK29" i="11" s="1"/>
  <c r="AL27" i="11"/>
  <c r="AL29" i="11" s="1"/>
  <c r="AM27" i="11"/>
  <c r="AM29" i="11" s="1"/>
  <c r="AN27" i="11"/>
  <c r="AN29" i="11" s="1"/>
  <c r="AC27" i="11"/>
  <c r="AC29" i="11" s="1"/>
  <c r="BT20" i="5"/>
  <c r="BU20" i="5"/>
  <c r="T247" i="7"/>
  <c r="AF46" i="7"/>
  <c r="AC46" i="7"/>
  <c r="S46" i="7"/>
  <c r="S47" i="7"/>
  <c r="CK73" i="5" l="1"/>
  <c r="CK65" i="5"/>
  <c r="CI33" i="5"/>
  <c r="BC5" i="11" s="1"/>
  <c r="AC50" i="11"/>
  <c r="AD50" i="11"/>
  <c r="BZ75" i="5"/>
  <c r="CH75" i="5"/>
  <c r="CK25" i="5"/>
  <c r="CC75" i="5"/>
  <c r="CD75" i="5"/>
  <c r="BD50" i="11"/>
  <c r="AT50" i="11"/>
  <c r="AU50" i="11"/>
  <c r="AS50" i="11"/>
  <c r="AW50" i="11"/>
  <c r="AX50" i="11"/>
  <c r="AY50" i="11"/>
  <c r="AZ50" i="11"/>
  <c r="BA50" i="11"/>
  <c r="BB50" i="11"/>
  <c r="BC50" i="11"/>
  <c r="AE50" i="11"/>
  <c r="AF50" i="11"/>
  <c r="AH50" i="11"/>
  <c r="AI50" i="11"/>
  <c r="AJ50" i="11"/>
  <c r="AK50" i="11"/>
  <c r="AL50" i="11"/>
  <c r="AM50" i="11"/>
  <c r="AN50" i="11"/>
  <c r="AG50" i="11"/>
  <c r="AV50" i="11"/>
  <c r="AT16" i="11"/>
  <c r="AT19" i="11" s="1"/>
  <c r="AX16" i="11"/>
  <c r="AX19" i="11" s="1"/>
  <c r="BB16" i="11"/>
  <c r="BB19" i="11" s="1"/>
  <c r="AS19" i="11"/>
  <c r="AS20" i="11" s="1"/>
  <c r="BA19" i="11"/>
  <c r="BE17" i="11"/>
  <c r="AU30" i="11"/>
  <c r="AV30" i="11" s="1"/>
  <c r="AW30" i="11" s="1"/>
  <c r="AX30" i="11" s="1"/>
  <c r="AY30" i="11" s="1"/>
  <c r="AZ30" i="11" s="1"/>
  <c r="BA30" i="11" s="1"/>
  <c r="BB30" i="11" s="1"/>
  <c r="BC30" i="11" s="1"/>
  <c r="BD30" i="11" s="1"/>
  <c r="AZ19" i="11"/>
  <c r="CK20" i="5"/>
  <c r="CF65" i="5"/>
  <c r="CF75" i="5" s="1"/>
  <c r="CE75" i="5"/>
  <c r="BZ33" i="5"/>
  <c r="AT5" i="11" s="1"/>
  <c r="CA75" i="5"/>
  <c r="CI75" i="5"/>
  <c r="BY65" i="5"/>
  <c r="BY75" i="5" s="1"/>
  <c r="CG65" i="5"/>
  <c r="CG75" i="5" s="1"/>
  <c r="AV16" i="11"/>
  <c r="AV19" i="11" s="1"/>
  <c r="BD16" i="11"/>
  <c r="BD19" i="11" s="1"/>
  <c r="AW16" i="11"/>
  <c r="AW19" i="11" s="1"/>
  <c r="CK93" i="5"/>
  <c r="AU16" i="11"/>
  <c r="AU19" i="11" s="1"/>
  <c r="AY16" i="11"/>
  <c r="AY19" i="11" s="1"/>
  <c r="BC16" i="11"/>
  <c r="BC19" i="11" s="1"/>
  <c r="AT34" i="11"/>
  <c r="AU34" i="11" s="1"/>
  <c r="AV34" i="11" s="1"/>
  <c r="AW34" i="11" s="1"/>
  <c r="AX34" i="11" s="1"/>
  <c r="AY34" i="11" s="1"/>
  <c r="AZ34" i="11" s="1"/>
  <c r="BA34" i="11" s="1"/>
  <c r="BB34" i="11" s="1"/>
  <c r="BC34" i="11" s="1"/>
  <c r="BD34" i="11" s="1"/>
  <c r="BE31" i="11"/>
  <c r="BE34" i="11" s="1"/>
  <c r="BE27" i="11"/>
  <c r="BE30" i="11" s="1"/>
  <c r="CC33" i="5"/>
  <c r="CK75" i="5"/>
  <c r="CK106" i="5"/>
  <c r="CK51" i="5"/>
  <c r="CK54" i="5" s="1"/>
  <c r="CB54" i="5"/>
  <c r="CB75" i="5"/>
  <c r="CJ75" i="5"/>
  <c r="CK118" i="5"/>
  <c r="AC34" i="11"/>
  <c r="AD34" i="11" s="1"/>
  <c r="AE34" i="11" s="1"/>
  <c r="AF34" i="11" s="1"/>
  <c r="AG34" i="11" s="1"/>
  <c r="AH34" i="11" s="1"/>
  <c r="AI34" i="11" s="1"/>
  <c r="AJ34" i="11" s="1"/>
  <c r="AK34" i="11" s="1"/>
  <c r="AL34" i="11" s="1"/>
  <c r="AM34" i="11" s="1"/>
  <c r="AN34" i="11" s="1"/>
  <c r="AO31" i="11"/>
  <c r="AO34" i="11" s="1"/>
  <c r="AO27" i="11"/>
  <c r="AO30" i="11" s="1"/>
  <c r="AY20" i="5"/>
  <c r="AY47" i="5"/>
  <c r="CK33" i="5" l="1"/>
  <c r="CK34" i="5" s="1"/>
  <c r="AT20" i="11"/>
  <c r="AU20" i="11" s="1"/>
  <c r="AV20" i="11" s="1"/>
  <c r="AW20" i="11" s="1"/>
  <c r="AX20" i="11" s="1"/>
  <c r="AY20" i="11" s="1"/>
  <c r="AZ20" i="11" s="1"/>
  <c r="BA20" i="11" s="1"/>
  <c r="BB20" i="11" s="1"/>
  <c r="BC20" i="11" s="1"/>
  <c r="BD20" i="11" s="1"/>
  <c r="BE16" i="11"/>
  <c r="BE20" i="11" s="1"/>
  <c r="CK55" i="5"/>
  <c r="AV11" i="11"/>
  <c r="AW5" i="11"/>
  <c r="AY25" i="5"/>
  <c r="AY106" i="5"/>
  <c r="C7" i="7"/>
  <c r="S48" i="7"/>
  <c r="S12" i="7"/>
  <c r="T304" i="7" l="1"/>
  <c r="AZ39" i="5" s="1"/>
  <c r="U304" i="7"/>
  <c r="BA39" i="5" s="1"/>
  <c r="BE11" i="11"/>
  <c r="BE5" i="11"/>
  <c r="AY161" i="5"/>
  <c r="AY110" i="5"/>
  <c r="AY5" i="5" l="1"/>
  <c r="AY40" i="5"/>
  <c r="AY150" i="5" l="1"/>
  <c r="AY98" i="5" l="1"/>
  <c r="AW40" i="5" l="1"/>
  <c r="AX41" i="5"/>
  <c r="BG41" i="5" s="1"/>
  <c r="AX40" i="5"/>
  <c r="AV40" i="5"/>
  <c r="BG40" i="5" l="1"/>
  <c r="R96" i="7"/>
  <c r="Q96" i="7"/>
  <c r="Q139" i="7"/>
  <c r="Z118" i="7" l="1"/>
  <c r="T11" i="7"/>
  <c r="T8" i="7"/>
  <c r="S122" i="7" l="1"/>
  <c r="F34" i="7" l="1"/>
  <c r="N32" i="7"/>
  <c r="AY21" i="5" l="1"/>
  <c r="BG21" i="5" s="1"/>
  <c r="AY48" i="5" l="1"/>
  <c r="AY50" i="5" l="1"/>
  <c r="AY23" i="5" l="1"/>
  <c r="BG23" i="5" s="1"/>
  <c r="AX110" i="5"/>
  <c r="AX20" i="5"/>
  <c r="AX5" i="5"/>
  <c r="AX106" i="5" l="1"/>
  <c r="AX150" i="5" l="1"/>
  <c r="BG150" i="5" s="1"/>
  <c r="AX96" i="5" l="1"/>
  <c r="AX98" i="5" l="1"/>
  <c r="AX50" i="5" l="1"/>
  <c r="AX48" i="5"/>
  <c r="AW98" i="5" l="1"/>
  <c r="AW116" i="5"/>
  <c r="BG116" i="5" s="1"/>
  <c r="AW20" i="5"/>
  <c r="AX52" i="5"/>
  <c r="AW107" i="5"/>
  <c r="BG107" i="5" s="1"/>
  <c r="AW25" i="5" l="1"/>
  <c r="AW110" i="5"/>
  <c r="BG110" i="5" s="1"/>
  <c r="AX47" i="5"/>
  <c r="AW132" i="5" l="1"/>
  <c r="BG132" i="5" s="1"/>
  <c r="AV20" i="5" l="1"/>
  <c r="Q276" i="7" l="1"/>
  <c r="Q279" i="7" s="1"/>
  <c r="AW86" i="5" s="1"/>
  <c r="R279" i="7" l="1"/>
  <c r="AX86" i="5" s="1"/>
  <c r="S279" i="7"/>
  <c r="AY86" i="5" s="1"/>
  <c r="U279" i="7"/>
  <c r="BA86" i="5" s="1"/>
  <c r="V279" i="7"/>
  <c r="BB86" i="5" s="1"/>
  <c r="W279" i="7"/>
  <c r="BC86" i="5" s="1"/>
  <c r="X279" i="7"/>
  <c r="BD86" i="5" s="1"/>
  <c r="Y279" i="7"/>
  <c r="BE86" i="5" s="1"/>
  <c r="Z279" i="7"/>
  <c r="BF86" i="5" s="1"/>
  <c r="AA279" i="7"/>
  <c r="BJ86" i="5" s="1"/>
  <c r="AB279" i="7"/>
  <c r="BK86" i="5" s="1"/>
  <c r="AC279" i="7"/>
  <c r="BL86" i="5" s="1"/>
  <c r="AD279" i="7"/>
  <c r="BM86" i="5" s="1"/>
  <c r="AE279" i="7"/>
  <c r="BN86" i="5" s="1"/>
  <c r="AF279" i="7"/>
  <c r="BO86" i="5" s="1"/>
  <c r="AG279" i="7"/>
  <c r="BP86" i="5" s="1"/>
  <c r="AH279" i="7"/>
  <c r="BQ86" i="5" s="1"/>
  <c r="AI279" i="7"/>
  <c r="BR86" i="5" s="1"/>
  <c r="AJ279" i="7"/>
  <c r="BS86" i="5" s="1"/>
  <c r="AK279" i="7"/>
  <c r="BT86" i="5" s="1"/>
  <c r="AL279" i="7"/>
  <c r="BU86" i="5" s="1"/>
  <c r="AM279" i="7"/>
  <c r="AN279" i="7"/>
  <c r="AO279" i="7"/>
  <c r="AP279" i="7"/>
  <c r="AQ279" i="7"/>
  <c r="AR279" i="7"/>
  <c r="AS279" i="7"/>
  <c r="AT279" i="7"/>
  <c r="AU279" i="7"/>
  <c r="AV279" i="7"/>
  <c r="AW279" i="7"/>
  <c r="AX279" i="7"/>
  <c r="C279" i="7"/>
  <c r="D279" i="7"/>
  <c r="E279" i="7"/>
  <c r="F279" i="7"/>
  <c r="G279" i="7"/>
  <c r="H279" i="7"/>
  <c r="I279" i="7"/>
  <c r="J279" i="7"/>
  <c r="K279" i="7"/>
  <c r="L279" i="7"/>
  <c r="M279" i="7"/>
  <c r="N279" i="7"/>
  <c r="O279" i="7"/>
  <c r="P279" i="7"/>
  <c r="BV86" i="5" l="1"/>
  <c r="D86" i="16" s="1"/>
  <c r="AW50" i="5"/>
  <c r="BG50" i="5" s="1"/>
  <c r="AW48" i="5"/>
  <c r="AV93" i="5"/>
  <c r="AV98" i="5"/>
  <c r="BG96" i="5"/>
  <c r="AV25" i="5"/>
  <c r="P85" i="16" l="1"/>
  <c r="AV52" i="5"/>
  <c r="AV106" i="5" l="1"/>
  <c r="AV108" i="5" l="1"/>
  <c r="BG108" i="5" s="1"/>
  <c r="AX51" i="5" l="1"/>
  <c r="AV5" i="5" l="1"/>
  <c r="AV99" i="5" l="1"/>
  <c r="BG99" i="5" s="1"/>
  <c r="AV54" i="5"/>
  <c r="AP78" i="5"/>
  <c r="AO78" i="5"/>
  <c r="AH88" i="5" l="1"/>
  <c r="AP85" i="5" l="1"/>
  <c r="AP84" i="5"/>
  <c r="AP83" i="5"/>
  <c r="AP80" i="5"/>
  <c r="AG80" i="5"/>
  <c r="AF80" i="5"/>
  <c r="AE80" i="5"/>
  <c r="Q304" i="7" l="1"/>
  <c r="P304" i="7"/>
  <c r="CJ39" i="5"/>
  <c r="CJ42" i="5" s="1"/>
  <c r="CI39" i="5"/>
  <c r="CI42" i="5" s="1"/>
  <c r="CH39" i="5"/>
  <c r="CH42" i="5" s="1"/>
  <c r="CC39" i="5"/>
  <c r="CC42" i="5" s="1"/>
  <c r="CB39" i="5"/>
  <c r="CB42" i="5" s="1"/>
  <c r="CA39" i="5"/>
  <c r="CA42" i="5" s="1"/>
  <c r="BZ39" i="5"/>
  <c r="BZ42" i="5" s="1"/>
  <c r="BY39" i="5"/>
  <c r="BY42" i="5" s="1"/>
  <c r="O83" i="5"/>
  <c r="AB85" i="5"/>
  <c r="AB84" i="5"/>
  <c r="AB83" i="5"/>
  <c r="AB82" i="5"/>
  <c r="AQ83" i="5"/>
  <c r="AQ82" i="5"/>
  <c r="BV87" i="5"/>
  <c r="D87" i="16" s="1"/>
  <c r="O82" i="5"/>
  <c r="BU80" i="5"/>
  <c r="BT80" i="5"/>
  <c r="BK80" i="5"/>
  <c r="O304" i="7"/>
  <c r="N304" i="7"/>
  <c r="M304" i="7"/>
  <c r="L304" i="7"/>
  <c r="K304" i="7"/>
  <c r="J304" i="7"/>
  <c r="I304" i="7"/>
  <c r="H304" i="7"/>
  <c r="G304" i="7"/>
  <c r="F304" i="7"/>
  <c r="E304" i="7"/>
  <c r="D304" i="7"/>
  <c r="C304" i="7"/>
  <c r="C56" i="7"/>
  <c r="D52" i="7" s="1"/>
  <c r="D56" i="7" s="1"/>
  <c r="P86" i="16" l="1"/>
  <c r="E86" i="16"/>
  <c r="BZ57" i="5"/>
  <c r="AT10" i="11"/>
  <c r="AT13" i="11" s="1"/>
  <c r="CA57" i="5"/>
  <c r="AU10" i="11"/>
  <c r="AU13" i="11" s="1"/>
  <c r="CH57" i="5"/>
  <c r="BB10" i="11"/>
  <c r="BB13" i="11" s="1"/>
  <c r="CJ57" i="5"/>
  <c r="BD10" i="11"/>
  <c r="BD13" i="11" s="1"/>
  <c r="AV10" i="11"/>
  <c r="AV13" i="11" s="1"/>
  <c r="CB57" i="5"/>
  <c r="AW10" i="11"/>
  <c r="AW13" i="11" s="1"/>
  <c r="CC57" i="5"/>
  <c r="BY57" i="5"/>
  <c r="AS10" i="11"/>
  <c r="AS13" i="11" s="1"/>
  <c r="BC10" i="11"/>
  <c r="BC13" i="11" s="1"/>
  <c r="CI57" i="5"/>
  <c r="AX39" i="5"/>
  <c r="E52" i="7"/>
  <c r="E56" i="7" s="1"/>
  <c r="AS14" i="11" l="1"/>
  <c r="AT14" i="11" s="1"/>
  <c r="AU14" i="11" s="1"/>
  <c r="AV14" i="11" s="1"/>
  <c r="AW14" i="11" s="1"/>
  <c r="F52" i="7"/>
  <c r="F56" i="7" s="1"/>
  <c r="G52" i="7" l="1"/>
  <c r="G56" i="7" s="1"/>
  <c r="H52" i="7" l="1"/>
  <c r="H56" i="7" s="1"/>
  <c r="I52" i="7" l="1"/>
  <c r="I56" i="7" s="1"/>
  <c r="J52" i="7" l="1"/>
  <c r="J56" i="7" s="1"/>
  <c r="K52" i="7" l="1"/>
  <c r="K56" i="7" s="1"/>
  <c r="L52" i="7" l="1"/>
  <c r="L56" i="7" s="1"/>
  <c r="M52" i="7" l="1"/>
  <c r="M56" i="7" s="1"/>
  <c r="N52" i="7" l="1"/>
  <c r="N56" i="7" s="1"/>
  <c r="O52" i="7" l="1"/>
  <c r="O56" i="7" s="1"/>
  <c r="P52" i="7" l="1"/>
  <c r="P56" i="7" s="1"/>
  <c r="Q52" i="7" l="1"/>
  <c r="Q56" i="7" s="1"/>
  <c r="R52" i="7" l="1"/>
  <c r="R56" i="7" s="1"/>
  <c r="S52" i="7" l="1"/>
  <c r="S56" i="7" s="1"/>
  <c r="T52" i="7" l="1"/>
  <c r="T56" i="7" s="1"/>
  <c r="U52" i="7" l="1"/>
  <c r="U56" i="7" s="1"/>
  <c r="V52" i="7" l="1"/>
  <c r="V56" i="7" s="1"/>
  <c r="W52" i="7" l="1"/>
  <c r="W56" i="7" s="1"/>
  <c r="X52" i="7" l="1"/>
  <c r="X56" i="7" s="1"/>
  <c r="Y52" i="7" l="1"/>
  <c r="Y56" i="7" s="1"/>
  <c r="Z52" i="7" l="1"/>
  <c r="Z56" i="7" s="1"/>
  <c r="AA52" i="7" l="1"/>
  <c r="AA56" i="7" s="1"/>
  <c r="AN32" i="7"/>
  <c r="AB32" i="7"/>
  <c r="AW32" i="7"/>
  <c r="AV32" i="7"/>
  <c r="AK32" i="7"/>
  <c r="AP39" i="7" s="1"/>
  <c r="AJ32" i="7"/>
  <c r="Y32" i="7"/>
  <c r="AD39" i="7" s="1"/>
  <c r="AC39" i="7"/>
  <c r="H39" i="7"/>
  <c r="G39" i="7"/>
  <c r="R46" i="7" s="1"/>
  <c r="AX32" i="7"/>
  <c r="AU32" i="7"/>
  <c r="AT32" i="7"/>
  <c r="AS32" i="7"/>
  <c r="AX39" i="7" s="1"/>
  <c r="AR32" i="7"/>
  <c r="AW39" i="7" s="1"/>
  <c r="AQ32" i="7"/>
  <c r="AP32" i="7"/>
  <c r="AU39" i="7" s="1"/>
  <c r="AO32" i="7"/>
  <c r="AT39" i="7" s="1"/>
  <c r="AM32" i="7"/>
  <c r="AR39" i="7" s="1"/>
  <c r="AL32" i="7"/>
  <c r="AQ39" i="7" s="1"/>
  <c r="AI32" i="7"/>
  <c r="AH32" i="7"/>
  <c r="AM39" i="7" s="1"/>
  <c r="AX46" i="7" s="1"/>
  <c r="AG32" i="7"/>
  <c r="AL39" i="7" s="1"/>
  <c r="AW46" i="7" s="1"/>
  <c r="AF32" i="7"/>
  <c r="AK39" i="7" s="1"/>
  <c r="AV46" i="7" s="1"/>
  <c r="AE32" i="7"/>
  <c r="AJ39" i="7" s="1"/>
  <c r="AU46" i="7" s="1"/>
  <c r="AD32" i="7"/>
  <c r="AC32" i="7"/>
  <c r="AA32" i="7"/>
  <c r="AF39" i="7" s="1"/>
  <c r="AQ46" i="7" s="1"/>
  <c r="Z32" i="7"/>
  <c r="AE39" i="7" s="1"/>
  <c r="AP46" i="7" s="1"/>
  <c r="W32" i="7"/>
  <c r="V32" i="7"/>
  <c r="U32" i="7"/>
  <c r="Z39" i="7" s="1"/>
  <c r="AK46" i="7" s="1"/>
  <c r="T32" i="7"/>
  <c r="Y39" i="7" s="1"/>
  <c r="AJ46" i="7" s="1"/>
  <c r="S32" i="7"/>
  <c r="X39" i="7" s="1"/>
  <c r="AI46" i="7" s="1"/>
  <c r="R32" i="7"/>
  <c r="W39" i="7" s="1"/>
  <c r="AH46" i="7" s="1"/>
  <c r="Q32" i="7"/>
  <c r="V39" i="7" s="1"/>
  <c r="AG46" i="7" s="1"/>
  <c r="P26" i="7"/>
  <c r="P32" i="7" s="1"/>
  <c r="O32" i="7"/>
  <c r="T39" i="7" s="1"/>
  <c r="AE46" i="7" s="1"/>
  <c r="S39" i="7"/>
  <c r="L32" i="7"/>
  <c r="Q39" i="7" s="1"/>
  <c r="K32" i="7"/>
  <c r="P39" i="7" s="1"/>
  <c r="AA46" i="7" s="1"/>
  <c r="J26" i="7"/>
  <c r="J32" i="7" s="1"/>
  <c r="I32" i="7"/>
  <c r="N39" i="7" s="1"/>
  <c r="Y46" i="7" s="1"/>
  <c r="H32" i="7"/>
  <c r="G32" i="7"/>
  <c r="L39" i="7" s="1"/>
  <c r="W46" i="7" s="1"/>
  <c r="F32" i="7"/>
  <c r="K39" i="7" s="1"/>
  <c r="V46" i="7" s="1"/>
  <c r="E32" i="7"/>
  <c r="J39" i="7" s="1"/>
  <c r="U46" i="7" s="1"/>
  <c r="D32" i="7"/>
  <c r="I39" i="7" s="1"/>
  <c r="T46" i="7" s="1"/>
  <c r="C32" i="7"/>
  <c r="C35" i="7" s="1"/>
  <c r="C69" i="7" s="1"/>
  <c r="C86" i="7" s="1"/>
  <c r="M26" i="7"/>
  <c r="M32" i="7" s="1"/>
  <c r="P46" i="7"/>
  <c r="O46" i="7"/>
  <c r="N46" i="7"/>
  <c r="M46" i="7"/>
  <c r="L46" i="7"/>
  <c r="K46" i="7"/>
  <c r="J46" i="7"/>
  <c r="I46" i="7"/>
  <c r="H46" i="7"/>
  <c r="G46" i="7"/>
  <c r="F46" i="7"/>
  <c r="E46" i="7"/>
  <c r="D46" i="7"/>
  <c r="C46" i="7"/>
  <c r="F39" i="7"/>
  <c r="E39" i="7"/>
  <c r="D39" i="7"/>
  <c r="C39" i="7"/>
  <c r="C28" i="7"/>
  <c r="C66" i="7" s="1"/>
  <c r="C85" i="7" s="1"/>
  <c r="D19" i="7"/>
  <c r="E19" i="7" s="1"/>
  <c r="F19" i="7" s="1"/>
  <c r="G19" i="7" s="1"/>
  <c r="H19" i="7" s="1"/>
  <c r="I19" i="7" s="1"/>
  <c r="J19" i="7" s="1"/>
  <c r="K19" i="7" s="1"/>
  <c r="L19" i="7" s="1"/>
  <c r="M19" i="7" s="1"/>
  <c r="N19" i="7" s="1"/>
  <c r="N8" i="7"/>
  <c r="D20" i="7"/>
  <c r="E20" i="7" s="1"/>
  <c r="F20" i="7" s="1"/>
  <c r="AX11" i="7"/>
  <c r="AW11" i="7"/>
  <c r="AV11" i="7"/>
  <c r="AU11" i="7"/>
  <c r="AT11" i="7"/>
  <c r="AS11" i="7"/>
  <c r="AR11" i="7"/>
  <c r="AQ11" i="7"/>
  <c r="AP11" i="7"/>
  <c r="AO11" i="7"/>
  <c r="AN11" i="7"/>
  <c r="AM11" i="7"/>
  <c r="AL11" i="7"/>
  <c r="AK11" i="7"/>
  <c r="AJ11" i="7"/>
  <c r="AI11" i="7"/>
  <c r="AH11" i="7"/>
  <c r="AG11" i="7"/>
  <c r="AF11" i="7"/>
  <c r="AE11" i="7"/>
  <c r="AD11" i="7"/>
  <c r="AC11" i="7"/>
  <c r="AB11" i="7"/>
  <c r="AA11" i="7"/>
  <c r="Z11" i="7"/>
  <c r="Y11" i="7"/>
  <c r="X11" i="7"/>
  <c r="W11" i="7"/>
  <c r="V11" i="7"/>
  <c r="U11" i="7"/>
  <c r="S11" i="7"/>
  <c r="R11" i="7"/>
  <c r="Q11" i="7"/>
  <c r="P11" i="7"/>
  <c r="O11" i="7"/>
  <c r="N11" i="7"/>
  <c r="M11" i="7"/>
  <c r="L11" i="7"/>
  <c r="K11" i="7"/>
  <c r="J11" i="7"/>
  <c r="I11" i="7"/>
  <c r="H11" i="7"/>
  <c r="G11" i="7"/>
  <c r="F11" i="7"/>
  <c r="E11" i="7"/>
  <c r="D11" i="7"/>
  <c r="C11" i="7"/>
  <c r="AX8" i="7"/>
  <c r="AW8" i="7"/>
  <c r="AV8" i="7"/>
  <c r="AU8" i="7"/>
  <c r="AT8" i="7"/>
  <c r="AS8" i="7"/>
  <c r="AR8" i="7"/>
  <c r="AQ8" i="7"/>
  <c r="AP8" i="7"/>
  <c r="AO8" i="7"/>
  <c r="AN8" i="7"/>
  <c r="AM8" i="7"/>
  <c r="AL8" i="7"/>
  <c r="AK8" i="7"/>
  <c r="AJ8" i="7"/>
  <c r="AI8" i="7"/>
  <c r="AH8" i="7"/>
  <c r="AG8" i="7"/>
  <c r="AF8" i="7"/>
  <c r="AE8" i="7"/>
  <c r="AD8" i="7"/>
  <c r="AC8" i="7"/>
  <c r="AB8" i="7"/>
  <c r="AA8" i="7"/>
  <c r="Z8" i="7"/>
  <c r="Y8" i="7"/>
  <c r="X8" i="7"/>
  <c r="W8" i="7"/>
  <c r="V8" i="7"/>
  <c r="U8" i="7"/>
  <c r="S8" i="7"/>
  <c r="R8" i="7"/>
  <c r="Q8" i="7"/>
  <c r="P8" i="7"/>
  <c r="O8" i="7"/>
  <c r="M8" i="7"/>
  <c r="L8" i="7"/>
  <c r="K8" i="7"/>
  <c r="J8" i="7"/>
  <c r="I8" i="7"/>
  <c r="H8" i="7"/>
  <c r="G8" i="7"/>
  <c r="F8" i="7"/>
  <c r="E8" i="7"/>
  <c r="D8" i="7"/>
  <c r="C8" i="7"/>
  <c r="AI39" i="7" l="1"/>
  <c r="AT46" i="7" s="1"/>
  <c r="AH39" i="7"/>
  <c r="AS46" i="7"/>
  <c r="AO39" i="7"/>
  <c r="AZ41" i="7" s="1"/>
  <c r="AA39" i="7"/>
  <c r="AL46" i="7" s="1"/>
  <c r="O39" i="7"/>
  <c r="M34" i="7"/>
  <c r="M39" i="7" s="1"/>
  <c r="AR46" i="7"/>
  <c r="U39" i="7"/>
  <c r="AD46" i="7"/>
  <c r="AO46" i="7"/>
  <c r="AB52" i="7"/>
  <c r="AB56" i="7" s="1"/>
  <c r="D31" i="7"/>
  <c r="D35" i="7" s="1"/>
  <c r="D69" i="7" s="1"/>
  <c r="D86" i="7" s="1"/>
  <c r="D24" i="7"/>
  <c r="D28" i="7" s="1"/>
  <c r="D66" i="7" s="1"/>
  <c r="D85" i="7" s="1"/>
  <c r="R39" i="7"/>
  <c r="Z46" i="7"/>
  <c r="E18" i="7"/>
  <c r="D18" i="7"/>
  <c r="C14" i="7"/>
  <c r="C60" i="7" s="1"/>
  <c r="O19" i="7"/>
  <c r="F18" i="7"/>
  <c r="X285" i="7"/>
  <c r="W285" i="7"/>
  <c r="V285" i="7"/>
  <c r="U285" i="7"/>
  <c r="T285" i="7"/>
  <c r="S285" i="7"/>
  <c r="R285" i="7"/>
  <c r="Q285" i="7"/>
  <c r="P285" i="7"/>
  <c r="X283" i="7"/>
  <c r="W283" i="7"/>
  <c r="V283" i="7"/>
  <c r="U283" i="7"/>
  <c r="T283" i="7"/>
  <c r="S283" i="7"/>
  <c r="R283" i="7"/>
  <c r="Q283" i="7"/>
  <c r="P283" i="7"/>
  <c r="T282" i="7"/>
  <c r="R282" i="7"/>
  <c r="Q282" i="7"/>
  <c r="P282" i="7"/>
  <c r="P307" i="7" s="1"/>
  <c r="AM46" i="7" l="1"/>
  <c r="X46" i="7"/>
  <c r="Q41" i="7"/>
  <c r="Q46" i="7" s="1"/>
  <c r="BG86" i="5"/>
  <c r="AC52" i="7"/>
  <c r="AC56" i="7" s="1"/>
  <c r="C21" i="7"/>
  <c r="E31" i="7"/>
  <c r="E35" i="7" s="1"/>
  <c r="E69" i="7" s="1"/>
  <c r="E86" i="7" s="1"/>
  <c r="E24" i="7"/>
  <c r="E28" i="7" s="1"/>
  <c r="E66" i="7" s="1"/>
  <c r="E85" i="7" s="1"/>
  <c r="C42" i="7"/>
  <c r="D38" i="7" s="1"/>
  <c r="D42" i="7" s="1"/>
  <c r="E38" i="7" s="1"/>
  <c r="E42" i="7" s="1"/>
  <c r="C49" i="7"/>
  <c r="D7" i="7"/>
  <c r="D14" i="7" s="1"/>
  <c r="D60" i="7" s="1"/>
  <c r="C17" i="7"/>
  <c r="P19" i="7"/>
  <c r="G20" i="7"/>
  <c r="G18" i="7" s="1"/>
  <c r="AU98" i="5"/>
  <c r="BG98" i="5" s="1"/>
  <c r="F38" i="7" l="1"/>
  <c r="F42" i="7" s="1"/>
  <c r="E72" i="7"/>
  <c r="AD52" i="7"/>
  <c r="AD56" i="7" s="1"/>
  <c r="D17" i="7"/>
  <c r="D45" i="7"/>
  <c r="D49" i="7" s="1"/>
  <c r="D78" i="7" s="1"/>
  <c r="D87" i="7" s="1"/>
  <c r="C78" i="7"/>
  <c r="C87" i="7" s="1"/>
  <c r="F31" i="7"/>
  <c r="F35" i="7" s="1"/>
  <c r="F69" i="7" s="1"/>
  <c r="F86" i="7" s="1"/>
  <c r="F24" i="7"/>
  <c r="F28" i="7" s="1"/>
  <c r="F66" i="7" s="1"/>
  <c r="F85" i="7" s="1"/>
  <c r="E7" i="7"/>
  <c r="E14" i="7" s="1"/>
  <c r="E60" i="7" s="1"/>
  <c r="D21" i="7"/>
  <c r="Q19" i="7"/>
  <c r="H20" i="7"/>
  <c r="H18" i="7" s="1"/>
  <c r="AU5" i="5"/>
  <c r="BG5" i="5" s="1"/>
  <c r="BT10" i="5"/>
  <c r="O122" i="7"/>
  <c r="E81" i="7" l="1"/>
  <c r="AE52" i="7"/>
  <c r="AE56" i="7" s="1"/>
  <c r="G38" i="7"/>
  <c r="G42" i="7" s="1"/>
  <c r="F72" i="7"/>
  <c r="E17" i="7"/>
  <c r="F7" i="7"/>
  <c r="F14" i="7" s="1"/>
  <c r="F60" i="7" s="1"/>
  <c r="E45" i="7"/>
  <c r="E49" i="7" s="1"/>
  <c r="E78" i="7" s="1"/>
  <c r="G31" i="7"/>
  <c r="G35" i="7" s="1"/>
  <c r="G69" i="7" s="1"/>
  <c r="G86" i="7" s="1"/>
  <c r="G24" i="7"/>
  <c r="G28" i="7" s="1"/>
  <c r="G66" i="7" s="1"/>
  <c r="G85" i="7" s="1"/>
  <c r="E21" i="7"/>
  <c r="R19" i="7"/>
  <c r="I20" i="7"/>
  <c r="E87" i="7" l="1"/>
  <c r="F81" i="7"/>
  <c r="H38" i="7"/>
  <c r="H42" i="7" s="1"/>
  <c r="G72" i="7"/>
  <c r="AF52" i="7"/>
  <c r="F45" i="7"/>
  <c r="F49" i="7" s="1"/>
  <c r="F78" i="7" s="1"/>
  <c r="H31" i="7"/>
  <c r="H35" i="7" s="1"/>
  <c r="H69" i="7" s="1"/>
  <c r="H86" i="7" s="1"/>
  <c r="F17" i="7"/>
  <c r="H24" i="7"/>
  <c r="H28" i="7" s="1"/>
  <c r="H66" i="7" s="1"/>
  <c r="H85" i="7" s="1"/>
  <c r="F21" i="7"/>
  <c r="G7" i="7"/>
  <c r="G14" i="7" s="1"/>
  <c r="G60" i="7" s="1"/>
  <c r="J20" i="7"/>
  <c r="J18" i="7" s="1"/>
  <c r="I18" i="7"/>
  <c r="S19" i="7"/>
  <c r="AU20" i="5"/>
  <c r="BG20" i="5" s="1"/>
  <c r="AU47" i="5"/>
  <c r="BG47" i="5" s="1"/>
  <c r="F87" i="7" l="1"/>
  <c r="G81" i="7"/>
  <c r="AF56" i="7"/>
  <c r="AG52" i="7" s="1"/>
  <c r="AG56" i="7" s="1"/>
  <c r="I38" i="7"/>
  <c r="I42" i="7" s="1"/>
  <c r="H72" i="7"/>
  <c r="G45" i="7"/>
  <c r="G49" i="7" s="1"/>
  <c r="G78" i="7" s="1"/>
  <c r="I31" i="7"/>
  <c r="I35" i="7" s="1"/>
  <c r="I69" i="7" s="1"/>
  <c r="I86" i="7" s="1"/>
  <c r="G17" i="7"/>
  <c r="I24" i="7"/>
  <c r="I28" i="7" s="1"/>
  <c r="I66" i="7" s="1"/>
  <c r="I85" i="7" s="1"/>
  <c r="G21" i="7"/>
  <c r="H7" i="7"/>
  <c r="H14" i="7" s="1"/>
  <c r="H60" i="7" s="1"/>
  <c r="T19" i="7"/>
  <c r="K20" i="7"/>
  <c r="K18" i="7" s="1"/>
  <c r="G87" i="7" l="1"/>
  <c r="H81" i="7"/>
  <c r="J38" i="7"/>
  <c r="J42" i="7" s="1"/>
  <c r="I72" i="7"/>
  <c r="AH52" i="7"/>
  <c r="AH56" i="7" s="1"/>
  <c r="H45" i="7"/>
  <c r="H49" i="7" s="1"/>
  <c r="H78" i="7" s="1"/>
  <c r="J31" i="7"/>
  <c r="J35" i="7" s="1"/>
  <c r="J69" i="7" s="1"/>
  <c r="J86" i="7" s="1"/>
  <c r="H17" i="7"/>
  <c r="H21" i="7"/>
  <c r="J24" i="7"/>
  <c r="J28" i="7" s="1"/>
  <c r="J66" i="7" s="1"/>
  <c r="J85" i="7" s="1"/>
  <c r="I7" i="7"/>
  <c r="I14" i="7" s="1"/>
  <c r="I60" i="7" s="1"/>
  <c r="U19" i="7"/>
  <c r="L20" i="7"/>
  <c r="H87" i="7" l="1"/>
  <c r="I81" i="7"/>
  <c r="AI52" i="7"/>
  <c r="AI56" i="7" s="1"/>
  <c r="K38" i="7"/>
  <c r="K42" i="7" s="1"/>
  <c r="J72" i="7"/>
  <c r="I45" i="7"/>
  <c r="I49" i="7" s="1"/>
  <c r="I78" i="7" s="1"/>
  <c r="K31" i="7"/>
  <c r="K35" i="7" s="1"/>
  <c r="K69" i="7" s="1"/>
  <c r="K86" i="7" s="1"/>
  <c r="I17" i="7"/>
  <c r="I21" i="7"/>
  <c r="J7" i="7"/>
  <c r="J14" i="7" s="1"/>
  <c r="K24" i="7"/>
  <c r="K28" i="7" s="1"/>
  <c r="K66" i="7" s="1"/>
  <c r="K85" i="7" s="1"/>
  <c r="L18" i="7"/>
  <c r="V19" i="7"/>
  <c r="M20" i="7"/>
  <c r="I87" i="7" l="1"/>
  <c r="L38" i="7"/>
  <c r="L42" i="7" s="1"/>
  <c r="K72" i="7"/>
  <c r="K7" i="7"/>
  <c r="K14" i="7" s="1"/>
  <c r="K60" i="7" s="1"/>
  <c r="J60" i="7"/>
  <c r="J81" i="7" s="1"/>
  <c r="AJ52" i="7"/>
  <c r="AJ56" i="7" s="1"/>
  <c r="J45" i="7"/>
  <c r="J49" i="7" s="1"/>
  <c r="J78" i="7" s="1"/>
  <c r="J87" i="7" s="1"/>
  <c r="J21" i="7"/>
  <c r="L31" i="7"/>
  <c r="L35" i="7" s="1"/>
  <c r="L69" i="7" s="1"/>
  <c r="L86" i="7" s="1"/>
  <c r="J17" i="7"/>
  <c r="L24" i="7"/>
  <c r="L28" i="7" s="1"/>
  <c r="L66" i="7" s="1"/>
  <c r="L85" i="7" s="1"/>
  <c r="M18" i="7"/>
  <c r="W19" i="7"/>
  <c r="N20" i="7"/>
  <c r="AU52" i="5"/>
  <c r="BG52" i="5" s="1"/>
  <c r="J309" i="7"/>
  <c r="K309" i="7"/>
  <c r="L309" i="7"/>
  <c r="M309" i="7"/>
  <c r="N309" i="7"/>
  <c r="O309" i="7"/>
  <c r="P309" i="7"/>
  <c r="Q309" i="7"/>
  <c r="R309" i="7"/>
  <c r="S309" i="7"/>
  <c r="T309" i="7"/>
  <c r="U309" i="7"/>
  <c r="V309" i="7"/>
  <c r="W309" i="7"/>
  <c r="X309" i="7"/>
  <c r="Y309" i="7"/>
  <c r="Z309" i="7"/>
  <c r="AA309" i="7"/>
  <c r="AB309" i="7"/>
  <c r="AC309" i="7"/>
  <c r="AD309" i="7"/>
  <c r="AE309" i="7"/>
  <c r="AF309" i="7"/>
  <c r="AG309" i="7"/>
  <c r="AH309" i="7"/>
  <c r="AI309" i="7"/>
  <c r="AJ309" i="7"/>
  <c r="AK309" i="7"/>
  <c r="AL309" i="7"/>
  <c r="AM309" i="7"/>
  <c r="AN309" i="7"/>
  <c r="AO309" i="7"/>
  <c r="AP309" i="7"/>
  <c r="AQ309" i="7"/>
  <c r="AR309" i="7"/>
  <c r="AS309" i="7"/>
  <c r="AT309" i="7"/>
  <c r="AU309" i="7"/>
  <c r="AV309" i="7"/>
  <c r="AW309" i="7"/>
  <c r="AX309" i="7"/>
  <c r="I309" i="7"/>
  <c r="D309" i="7"/>
  <c r="E309" i="7"/>
  <c r="F309" i="7"/>
  <c r="G309" i="7"/>
  <c r="C309" i="7"/>
  <c r="G308" i="7"/>
  <c r="H308" i="7"/>
  <c r="I308" i="7"/>
  <c r="J308" i="7"/>
  <c r="K308" i="7"/>
  <c r="L308" i="7"/>
  <c r="M308" i="7"/>
  <c r="N308" i="7"/>
  <c r="O308" i="7"/>
  <c r="P308" i="7"/>
  <c r="Q308" i="7"/>
  <c r="R308" i="7"/>
  <c r="S308" i="7"/>
  <c r="T308" i="7"/>
  <c r="U308" i="7"/>
  <c r="V308" i="7"/>
  <c r="W308" i="7"/>
  <c r="X308" i="7"/>
  <c r="Y308" i="7"/>
  <c r="Z308" i="7"/>
  <c r="AA308" i="7"/>
  <c r="AB308" i="7"/>
  <c r="AC308" i="7"/>
  <c r="AD308" i="7"/>
  <c r="AE308" i="7"/>
  <c r="AF308" i="7"/>
  <c r="AG308" i="7"/>
  <c r="AH308" i="7"/>
  <c r="AP308" i="7"/>
  <c r="AQ308" i="7"/>
  <c r="AR308" i="7"/>
  <c r="AS308" i="7"/>
  <c r="AT308" i="7"/>
  <c r="AU308" i="7"/>
  <c r="AV308" i="7"/>
  <c r="AW308" i="7"/>
  <c r="AX308" i="7"/>
  <c r="F308" i="7"/>
  <c r="D308" i="7"/>
  <c r="C308" i="7"/>
  <c r="L296" i="7"/>
  <c r="M296" i="7" s="1"/>
  <c r="N296" i="7" s="1"/>
  <c r="O296" i="7" s="1"/>
  <c r="Q296" i="7" s="1"/>
  <c r="R296" i="7" s="1"/>
  <c r="S296" i="7" s="1"/>
  <c r="T296" i="7" s="1"/>
  <c r="U296" i="7" s="1"/>
  <c r="V296" i="7" s="1"/>
  <c r="W296" i="7" s="1"/>
  <c r="X296" i="7" s="1"/>
  <c r="Z296" i="7" s="1"/>
  <c r="AB296" i="7" s="1"/>
  <c r="AD296" i="7" s="1"/>
  <c r="AE296" i="7" s="1"/>
  <c r="AF296" i="7" s="1"/>
  <c r="AH296" i="7" s="1"/>
  <c r="AJ296" i="7" s="1"/>
  <c r="AK296" i="7" s="1"/>
  <c r="AL296" i="7" s="1"/>
  <c r="AM296" i="7" s="1"/>
  <c r="AN296" i="7" s="1"/>
  <c r="AO296" i="7" s="1"/>
  <c r="AP296" i="7" s="1"/>
  <c r="AQ296" i="7" s="1"/>
  <c r="AR296" i="7" s="1"/>
  <c r="AS296" i="7" s="1"/>
  <c r="AT296" i="7" s="1"/>
  <c r="AU296" i="7" s="1"/>
  <c r="AV296" i="7" s="1"/>
  <c r="AW296" i="7" s="1"/>
  <c r="AX296" i="7" s="1"/>
  <c r="AX272" i="7" s="1"/>
  <c r="CJ85" i="5" s="1"/>
  <c r="C296" i="7"/>
  <c r="D296" i="7" s="1"/>
  <c r="E296" i="7" s="1"/>
  <c r="F296" i="7" s="1"/>
  <c r="G296" i="7" s="1"/>
  <c r="H296" i="7" s="1"/>
  <c r="I296" i="7" s="1"/>
  <c r="J296" i="7" s="1"/>
  <c r="K296" i="7" s="1"/>
  <c r="K272" i="7" s="1"/>
  <c r="C265" i="7"/>
  <c r="C289" i="7"/>
  <c r="D289" i="7" s="1"/>
  <c r="E289" i="7" s="1"/>
  <c r="F289" i="7" s="1"/>
  <c r="G289" i="7" s="1"/>
  <c r="H289" i="7" s="1"/>
  <c r="I289" i="7" s="1"/>
  <c r="J289" i="7" s="1"/>
  <c r="K289" i="7" s="1"/>
  <c r="K251" i="7" s="1"/>
  <c r="L289" i="7"/>
  <c r="M289" i="7" s="1"/>
  <c r="N289" i="7" s="1"/>
  <c r="O289" i="7" s="1"/>
  <c r="Q289" i="7" s="1"/>
  <c r="R289" i="7" s="1"/>
  <c r="S289" i="7" s="1"/>
  <c r="T289" i="7" s="1"/>
  <c r="U289" i="7" s="1"/>
  <c r="V289" i="7" s="1"/>
  <c r="W289" i="7" s="1"/>
  <c r="X289" i="7" s="1"/>
  <c r="AA289" i="7" s="1"/>
  <c r="C288" i="7"/>
  <c r="D288" i="7" s="1"/>
  <c r="E288" i="7" s="1"/>
  <c r="F288" i="7" s="1"/>
  <c r="G288" i="7" s="1"/>
  <c r="H288" i="7" s="1"/>
  <c r="I288" i="7" s="1"/>
  <c r="J288" i="7" s="1"/>
  <c r="K288" i="7" s="1"/>
  <c r="L288" i="7"/>
  <c r="M288" i="7" s="1"/>
  <c r="N288" i="7" s="1"/>
  <c r="O288" i="7" s="1"/>
  <c r="P288" i="7" s="1"/>
  <c r="Q288" i="7" s="1"/>
  <c r="R288" i="7" s="1"/>
  <c r="S288" i="7" s="1"/>
  <c r="T288" i="7" s="1"/>
  <c r="U288" i="7" s="1"/>
  <c r="V288" i="7" s="1"/>
  <c r="W288" i="7" s="1"/>
  <c r="X288" i="7" s="1"/>
  <c r="Y288" i="7" s="1"/>
  <c r="Z288" i="7" s="1"/>
  <c r="AA288" i="7" s="1"/>
  <c r="AB288" i="7" s="1"/>
  <c r="AC288" i="7" s="1"/>
  <c r="AD288" i="7" s="1"/>
  <c r="AE288" i="7" s="1"/>
  <c r="AF288" i="7" s="1"/>
  <c r="AG288" i="7" s="1"/>
  <c r="AH288" i="7" s="1"/>
  <c r="AI288" i="7" s="1"/>
  <c r="AJ288" i="7" s="1"/>
  <c r="AK288" i="7" s="1"/>
  <c r="AL288" i="7" s="1"/>
  <c r="AM288" i="7" s="1"/>
  <c r="AN288" i="7" s="1"/>
  <c r="AO288" i="7" s="1"/>
  <c r="AP288" i="7" s="1"/>
  <c r="AQ288" i="7" s="1"/>
  <c r="AR288" i="7" s="1"/>
  <c r="AS288" i="7" s="1"/>
  <c r="AT288" i="7" s="1"/>
  <c r="AU288" i="7" s="1"/>
  <c r="AV288" i="7" s="1"/>
  <c r="AW288" i="7" s="1"/>
  <c r="AX288" i="7" s="1"/>
  <c r="L287" i="7"/>
  <c r="L244" i="7" s="1"/>
  <c r="C287" i="7"/>
  <c r="D287" i="7" s="1"/>
  <c r="E287" i="7" s="1"/>
  <c r="F287" i="7" s="1"/>
  <c r="G287" i="7" s="1"/>
  <c r="H287" i="7" s="1"/>
  <c r="I287" i="7" s="1"/>
  <c r="J287" i="7" s="1"/>
  <c r="K287" i="7" s="1"/>
  <c r="K244" i="7" s="1"/>
  <c r="C194" i="7"/>
  <c r="O181" i="7"/>
  <c r="P181" i="7"/>
  <c r="Q181" i="7"/>
  <c r="R181" i="7"/>
  <c r="S181" i="7"/>
  <c r="T181" i="7"/>
  <c r="U181" i="7"/>
  <c r="V181" i="7"/>
  <c r="W181" i="7"/>
  <c r="X181" i="7"/>
  <c r="Y181" i="7"/>
  <c r="Z181" i="7"/>
  <c r="AA181" i="7"/>
  <c r="AB181" i="7"/>
  <c r="AC181" i="7"/>
  <c r="AD181" i="7"/>
  <c r="AE181" i="7"/>
  <c r="AF181" i="7"/>
  <c r="AG181" i="7"/>
  <c r="AH181" i="7"/>
  <c r="AI181" i="7"/>
  <c r="AJ181" i="7"/>
  <c r="AK181" i="7"/>
  <c r="AL181" i="7"/>
  <c r="AM181" i="7"/>
  <c r="AN181" i="7"/>
  <c r="AO181" i="7"/>
  <c r="AP181" i="7"/>
  <c r="AQ181" i="7"/>
  <c r="AR181" i="7"/>
  <c r="AS181" i="7"/>
  <c r="AT181" i="7"/>
  <c r="AU181" i="7"/>
  <c r="AV181" i="7"/>
  <c r="AW181" i="7"/>
  <c r="AX181" i="7"/>
  <c r="D181" i="7"/>
  <c r="E181" i="7"/>
  <c r="F181" i="7"/>
  <c r="G181" i="7"/>
  <c r="H181" i="7"/>
  <c r="I181" i="7"/>
  <c r="J181" i="7"/>
  <c r="K181" i="7"/>
  <c r="L181" i="7"/>
  <c r="M181" i="7"/>
  <c r="N181" i="7"/>
  <c r="C181" i="7"/>
  <c r="D162" i="7"/>
  <c r="C146" i="7"/>
  <c r="C158" i="7"/>
  <c r="S138" i="7"/>
  <c r="T138" i="7"/>
  <c r="U138" i="7"/>
  <c r="V138" i="7"/>
  <c r="W138" i="7"/>
  <c r="X138" i="7"/>
  <c r="AD138" i="7"/>
  <c r="AE138" i="7"/>
  <c r="AF138" i="7"/>
  <c r="AG138" i="7"/>
  <c r="AH138" i="7"/>
  <c r="AI138" i="7"/>
  <c r="AJ138" i="7"/>
  <c r="AK138" i="7"/>
  <c r="AL138" i="7"/>
  <c r="AM138" i="7"/>
  <c r="AN138" i="7"/>
  <c r="AO138" i="7"/>
  <c r="AP138" i="7"/>
  <c r="AQ138" i="7"/>
  <c r="AR138" i="7"/>
  <c r="AS138" i="7"/>
  <c r="AT138" i="7"/>
  <c r="AU138" i="7"/>
  <c r="AV138" i="7"/>
  <c r="AW138" i="7"/>
  <c r="AX138" i="7"/>
  <c r="R138" i="7"/>
  <c r="Q138" i="7"/>
  <c r="M138" i="7"/>
  <c r="N138" i="7"/>
  <c r="O138" i="7"/>
  <c r="P138" i="7"/>
  <c r="H141" i="7"/>
  <c r="D138" i="7"/>
  <c r="E138" i="7"/>
  <c r="F138" i="7"/>
  <c r="G138" i="7"/>
  <c r="H138" i="7"/>
  <c r="I138" i="7"/>
  <c r="J138" i="7"/>
  <c r="K138" i="7"/>
  <c r="L138" i="7"/>
  <c r="C138" i="7"/>
  <c r="C142" i="7" s="1"/>
  <c r="D137" i="7" s="1"/>
  <c r="D130" i="7"/>
  <c r="E130" i="7"/>
  <c r="F130" i="7"/>
  <c r="G130" i="7"/>
  <c r="H130" i="7"/>
  <c r="I130" i="7"/>
  <c r="J130" i="7"/>
  <c r="K130" i="7"/>
  <c r="L130" i="7"/>
  <c r="M130" i="7"/>
  <c r="N130" i="7"/>
  <c r="O130" i="7"/>
  <c r="P130" i="7"/>
  <c r="Q130" i="7"/>
  <c r="R130" i="7"/>
  <c r="S130" i="7"/>
  <c r="T130" i="7"/>
  <c r="U130" i="7"/>
  <c r="V130" i="7"/>
  <c r="W130" i="7"/>
  <c r="X130" i="7"/>
  <c r="Y130" i="7"/>
  <c r="Z130" i="7"/>
  <c r="AA130" i="7"/>
  <c r="AC130" i="7"/>
  <c r="AD130" i="7"/>
  <c r="AE130" i="7"/>
  <c r="AF130" i="7"/>
  <c r="AG130" i="7"/>
  <c r="AH130" i="7"/>
  <c r="AI130" i="7"/>
  <c r="AJ130" i="7"/>
  <c r="AK130" i="7"/>
  <c r="AL130" i="7"/>
  <c r="AM130" i="7"/>
  <c r="AN130" i="7"/>
  <c r="AO130" i="7"/>
  <c r="AP130" i="7"/>
  <c r="AQ130" i="7"/>
  <c r="AR130" i="7"/>
  <c r="AS130" i="7"/>
  <c r="AT130" i="7"/>
  <c r="AU130" i="7"/>
  <c r="AV130" i="7"/>
  <c r="AW130" i="7"/>
  <c r="AX130" i="7"/>
  <c r="C130" i="7"/>
  <c r="C134" i="7" s="1"/>
  <c r="D129" i="7" s="1"/>
  <c r="Q122" i="7"/>
  <c r="P122" i="7"/>
  <c r="N122" i="7"/>
  <c r="M122" i="7"/>
  <c r="L122" i="7"/>
  <c r="K122" i="7"/>
  <c r="J122" i="7"/>
  <c r="I122" i="7"/>
  <c r="H122" i="7"/>
  <c r="G122" i="7"/>
  <c r="F122" i="7"/>
  <c r="E122" i="7"/>
  <c r="D122" i="7"/>
  <c r="C122" i="7"/>
  <c r="C126" i="7" s="1"/>
  <c r="D121" i="7" s="1"/>
  <c r="E133" i="7"/>
  <c r="D104" i="7"/>
  <c r="K81" i="7" l="1"/>
  <c r="AV4" i="5"/>
  <c r="AV6" i="5" s="1"/>
  <c r="AV16" i="5" s="1"/>
  <c r="AY4" i="5"/>
  <c r="BF4" i="5"/>
  <c r="AB289" i="7"/>
  <c r="AB251" i="7" s="1"/>
  <c r="BK82" i="5" s="1"/>
  <c r="K21" i="7"/>
  <c r="L7" i="7"/>
  <c r="L14" i="7" s="1"/>
  <c r="L60" i="7" s="1"/>
  <c r="K17" i="7"/>
  <c r="M38" i="7"/>
  <c r="M42" i="7" s="1"/>
  <c r="L72" i="7"/>
  <c r="AK52" i="7"/>
  <c r="AK56" i="7" s="1"/>
  <c r="K45" i="7"/>
  <c r="K49" i="7" s="1"/>
  <c r="K78" i="7" s="1"/>
  <c r="M31" i="7"/>
  <c r="M35" i="7" s="1"/>
  <c r="M69" i="7" s="1"/>
  <c r="M86" i="7" s="1"/>
  <c r="M24" i="7"/>
  <c r="M28" i="7" s="1"/>
  <c r="M66" i="7" s="1"/>
  <c r="M85" i="7" s="1"/>
  <c r="N18" i="7"/>
  <c r="X19" i="7"/>
  <c r="U272" i="7"/>
  <c r="BA85" i="5" s="1"/>
  <c r="G272" i="7"/>
  <c r="F272" i="7"/>
  <c r="O20" i="7"/>
  <c r="AM272" i="7"/>
  <c r="BY85" i="5" s="1"/>
  <c r="AL272" i="7"/>
  <c r="BU85" i="5" s="1"/>
  <c r="AK272" i="7"/>
  <c r="BT85" i="5" s="1"/>
  <c r="W272" i="7"/>
  <c r="BC85" i="5" s="1"/>
  <c r="V272" i="7"/>
  <c r="BB85" i="5" s="1"/>
  <c r="E272" i="7"/>
  <c r="AJ272" i="7"/>
  <c r="BS85" i="5" s="1"/>
  <c r="D272" i="7"/>
  <c r="C272" i="7"/>
  <c r="AF272" i="7"/>
  <c r="BO85" i="5" s="1"/>
  <c r="T272" i="7"/>
  <c r="AZ85" i="5" s="1"/>
  <c r="AI272" i="7"/>
  <c r="AH272" i="7"/>
  <c r="BQ85" i="5" s="1"/>
  <c r="R272" i="7"/>
  <c r="AX85" i="5" s="1"/>
  <c r="AW272" i="7"/>
  <c r="CI85" i="5" s="1"/>
  <c r="AG272" i="7"/>
  <c r="BP85" i="5" s="1"/>
  <c r="Q272" i="7"/>
  <c r="AW85" i="5" s="1"/>
  <c r="AV272" i="7"/>
  <c r="CH85" i="5" s="1"/>
  <c r="P272" i="7"/>
  <c r="AV85" i="5" s="1"/>
  <c r="AU272" i="7"/>
  <c r="CG85" i="5" s="1"/>
  <c r="AE272" i="7"/>
  <c r="BN85" i="5" s="1"/>
  <c r="O272" i="7"/>
  <c r="AT272" i="7"/>
  <c r="CF85" i="5" s="1"/>
  <c r="AD272" i="7"/>
  <c r="BM85" i="5" s="1"/>
  <c r="N272" i="7"/>
  <c r="AS272" i="7"/>
  <c r="CE85" i="5" s="1"/>
  <c r="AC272" i="7"/>
  <c r="BL85" i="5" s="1"/>
  <c r="M272" i="7"/>
  <c r="AR272" i="7"/>
  <c r="CD85" i="5" s="1"/>
  <c r="AB272" i="7"/>
  <c r="BK85" i="5" s="1"/>
  <c r="L272" i="7"/>
  <c r="AQ272" i="7"/>
  <c r="CC85" i="5" s="1"/>
  <c r="AA272" i="7"/>
  <c r="BJ85" i="5" s="1"/>
  <c r="AO272" i="7"/>
  <c r="CA85" i="5" s="1"/>
  <c r="Y272" i="7"/>
  <c r="BE85" i="5" s="1"/>
  <c r="I272" i="7"/>
  <c r="AP272" i="7"/>
  <c r="CB85" i="5" s="1"/>
  <c r="Z272" i="7"/>
  <c r="BF85" i="5" s="1"/>
  <c r="J272" i="7"/>
  <c r="AN272" i="7"/>
  <c r="BZ85" i="5" s="1"/>
  <c r="X272" i="7"/>
  <c r="BD85" i="5" s="1"/>
  <c r="H272" i="7"/>
  <c r="I251" i="7"/>
  <c r="Y251" i="7"/>
  <c r="BE82" i="5" s="1"/>
  <c r="C251" i="7"/>
  <c r="S251" i="7"/>
  <c r="AY82" i="5" s="1"/>
  <c r="AA251" i="7"/>
  <c r="BJ82" i="5" s="1"/>
  <c r="Q251" i="7"/>
  <c r="AW82" i="5" s="1"/>
  <c r="Z251" i="7"/>
  <c r="BF82" i="5" s="1"/>
  <c r="R251" i="7"/>
  <c r="AX82" i="5" s="1"/>
  <c r="J251" i="7"/>
  <c r="X251" i="7"/>
  <c r="BD82" i="5" s="1"/>
  <c r="P251" i="7"/>
  <c r="AV82" i="5" s="1"/>
  <c r="H251" i="7"/>
  <c r="W251" i="7"/>
  <c r="BC82" i="5" s="1"/>
  <c r="O251" i="7"/>
  <c r="G251" i="7"/>
  <c r="V251" i="7"/>
  <c r="BB82" i="5" s="1"/>
  <c r="N251" i="7"/>
  <c r="F251" i="7"/>
  <c r="U251" i="7"/>
  <c r="BA82" i="5" s="1"/>
  <c r="M251" i="7"/>
  <c r="E251" i="7"/>
  <c r="T251" i="7"/>
  <c r="AZ82" i="5" s="1"/>
  <c r="L251" i="7"/>
  <c r="D251" i="7"/>
  <c r="E244" i="7"/>
  <c r="G244" i="7"/>
  <c r="M287" i="7"/>
  <c r="F244" i="7"/>
  <c r="D244" i="7"/>
  <c r="C244" i="7"/>
  <c r="J244" i="7"/>
  <c r="I244" i="7"/>
  <c r="H244" i="7"/>
  <c r="D142" i="7"/>
  <c r="E137" i="7" s="1"/>
  <c r="E142" i="7" s="1"/>
  <c r="F137" i="7" s="1"/>
  <c r="F142" i="7" s="1"/>
  <c r="G137" i="7" s="1"/>
  <c r="G142" i="7" s="1"/>
  <c r="H137" i="7" s="1"/>
  <c r="H142" i="7" s="1"/>
  <c r="I137" i="7" s="1"/>
  <c r="D134" i="7"/>
  <c r="E129" i="7" s="1"/>
  <c r="E134" i="7" s="1"/>
  <c r="F129" i="7" s="1"/>
  <c r="F134" i="7" s="1"/>
  <c r="G129" i="7" s="1"/>
  <c r="G134" i="7" s="1"/>
  <c r="H129" i="7" s="1"/>
  <c r="H134" i="7" s="1"/>
  <c r="I129" i="7" s="1"/>
  <c r="I134" i="7" s="1"/>
  <c r="J129" i="7" s="1"/>
  <c r="J134" i="7" s="1"/>
  <c r="K129" i="7" s="1"/>
  <c r="K134" i="7" s="1"/>
  <c r="L129" i="7" s="1"/>
  <c r="L134" i="7" s="1"/>
  <c r="M129" i="7" s="1"/>
  <c r="M134" i="7" s="1"/>
  <c r="N129" i="7" s="1"/>
  <c r="N134" i="7" s="1"/>
  <c r="O129" i="7" s="1"/>
  <c r="O134" i="7" s="1"/>
  <c r="P129" i="7" s="1"/>
  <c r="P134" i="7" s="1"/>
  <c r="Q129" i="7" s="1"/>
  <c r="Q134" i="7" s="1"/>
  <c r="R129" i="7" s="1"/>
  <c r="R134" i="7" s="1"/>
  <c r="S129" i="7" s="1"/>
  <c r="S134" i="7" s="1"/>
  <c r="T129" i="7" s="1"/>
  <c r="T134" i="7" s="1"/>
  <c r="U129" i="7" s="1"/>
  <c r="U134" i="7" s="1"/>
  <c r="V129" i="7" s="1"/>
  <c r="V134" i="7" s="1"/>
  <c r="W129" i="7" s="1"/>
  <c r="W134" i="7" s="1"/>
  <c r="X129" i="7" s="1"/>
  <c r="X134" i="7" s="1"/>
  <c r="Y129" i="7" s="1"/>
  <c r="Y134" i="7" s="1"/>
  <c r="Z129" i="7" s="1"/>
  <c r="K87" i="7" l="1"/>
  <c r="L81" i="7"/>
  <c r="BG82" i="5"/>
  <c r="Z134" i="7"/>
  <c r="AA129" i="7" s="1"/>
  <c r="AA134" i="7" s="1"/>
  <c r="AB129" i="7" s="1"/>
  <c r="AB134" i="7" s="1"/>
  <c r="AC129" i="7" s="1"/>
  <c r="AC134" i="7" s="1"/>
  <c r="AD129" i="7" s="1"/>
  <c r="AD134" i="7" s="1"/>
  <c r="AE129" i="7" s="1"/>
  <c r="AE134" i="7" s="1"/>
  <c r="AF129" i="7" s="1"/>
  <c r="AF134" i="7" s="1"/>
  <c r="AG129" i="7" s="1"/>
  <c r="AG134" i="7" s="1"/>
  <c r="AH129" i="7" s="1"/>
  <c r="AH134" i="7" s="1"/>
  <c r="AI129" i="7" s="1"/>
  <c r="AI134" i="7" s="1"/>
  <c r="AJ129" i="7" s="1"/>
  <c r="Z155" i="7"/>
  <c r="AD289" i="7"/>
  <c r="AC251" i="7"/>
  <c r="BL82" i="5" s="1"/>
  <c r="CK85" i="5"/>
  <c r="BV85" i="5"/>
  <c r="L17" i="7"/>
  <c r="L21" i="7"/>
  <c r="M7" i="7"/>
  <c r="M14" i="7" s="1"/>
  <c r="M60" i="7" s="1"/>
  <c r="AL52" i="7"/>
  <c r="AL56" i="7" s="1"/>
  <c r="N38" i="7"/>
  <c r="N42" i="7" s="1"/>
  <c r="M72" i="7"/>
  <c r="L45" i="7"/>
  <c r="L49" i="7" s="1"/>
  <c r="L78" i="7" s="1"/>
  <c r="N31" i="7"/>
  <c r="N35" i="7" s="1"/>
  <c r="N69" i="7" s="1"/>
  <c r="N86" i="7" s="1"/>
  <c r="N24" i="7"/>
  <c r="N28" i="7" s="1"/>
  <c r="N66" i="7" s="1"/>
  <c r="N85" i="7" s="1"/>
  <c r="P20" i="7"/>
  <c r="O18" i="7"/>
  <c r="Y19" i="7"/>
  <c r="N287" i="7"/>
  <c r="M244" i="7"/>
  <c r="I142" i="7"/>
  <c r="J137" i="7" s="1"/>
  <c r="I158" i="7"/>
  <c r="L87" i="7" l="1"/>
  <c r="M81" i="7"/>
  <c r="D85" i="16"/>
  <c r="E85" i="16" s="1"/>
  <c r="AJ134" i="7"/>
  <c r="AK129" i="7" s="1"/>
  <c r="AK134" i="7" s="1"/>
  <c r="AL129" i="7" s="1"/>
  <c r="AL134" i="7" s="1"/>
  <c r="AM129" i="7" s="1"/>
  <c r="AM134" i="7" s="1"/>
  <c r="AN129" i="7" s="1"/>
  <c r="AN134" i="7" s="1"/>
  <c r="AO129" i="7" s="1"/>
  <c r="AO134" i="7" s="1"/>
  <c r="AP129" i="7" s="1"/>
  <c r="AP134" i="7" s="1"/>
  <c r="AQ129" i="7" s="1"/>
  <c r="AQ134" i="7" s="1"/>
  <c r="AR129" i="7" s="1"/>
  <c r="AR134" i="7" s="1"/>
  <c r="AS129" i="7" s="1"/>
  <c r="AS134" i="7" s="1"/>
  <c r="AT129" i="7" s="1"/>
  <c r="AT134" i="7" s="1"/>
  <c r="AU129" i="7" s="1"/>
  <c r="AU134" i="7" s="1"/>
  <c r="AV129" i="7" s="1"/>
  <c r="AV134" i="7" s="1"/>
  <c r="AW129" i="7" s="1"/>
  <c r="AW134" i="7" s="1"/>
  <c r="AX129" i="7" s="1"/>
  <c r="AX134" i="7" s="1"/>
  <c r="AY129" i="7" s="1"/>
  <c r="AY134" i="7" s="1"/>
  <c r="AZ129" i="7" s="1"/>
  <c r="AZ134" i="7" s="1"/>
  <c r="BA129" i="7" s="1"/>
  <c r="AJ155" i="7"/>
  <c r="P84" i="16"/>
  <c r="AE289" i="7"/>
  <c r="AD251" i="7"/>
  <c r="BM82" i="5" s="1"/>
  <c r="M17" i="7"/>
  <c r="M21" i="7"/>
  <c r="N7" i="7"/>
  <c r="N14" i="7" s="1"/>
  <c r="O38" i="7"/>
  <c r="O42" i="7" s="1"/>
  <c r="N72" i="7"/>
  <c r="AM52" i="7"/>
  <c r="AM56" i="7" s="1"/>
  <c r="M45" i="7"/>
  <c r="M49" i="7" s="1"/>
  <c r="M78" i="7" s="1"/>
  <c r="O31" i="7"/>
  <c r="O35" i="7" s="1"/>
  <c r="O69" i="7" s="1"/>
  <c r="O86" i="7" s="1"/>
  <c r="O24" i="7"/>
  <c r="O28" i="7" s="1"/>
  <c r="O66" i="7" s="1"/>
  <c r="O85" i="7" s="1"/>
  <c r="Z19" i="7"/>
  <c r="Q20" i="7"/>
  <c r="P18" i="7"/>
  <c r="O287" i="7"/>
  <c r="N244" i="7"/>
  <c r="J142" i="7"/>
  <c r="K137" i="7" s="1"/>
  <c r="J158" i="7"/>
  <c r="M87" i="7" l="1"/>
  <c r="AF289" i="7"/>
  <c r="AE251" i="7"/>
  <c r="BN82" i="5" s="1"/>
  <c r="BA134" i="7"/>
  <c r="BB129" i="7" s="1"/>
  <c r="N60" i="7"/>
  <c r="N81" i="7" s="1"/>
  <c r="N21" i="7"/>
  <c r="O7" i="7"/>
  <c r="O14" i="7" s="1"/>
  <c r="O60" i="7" s="1"/>
  <c r="N17" i="7"/>
  <c r="AN52" i="7"/>
  <c r="AN56" i="7" s="1"/>
  <c r="P38" i="7"/>
  <c r="P42" i="7" s="1"/>
  <c r="O72" i="7"/>
  <c r="N45" i="7"/>
  <c r="N49" i="7" s="1"/>
  <c r="N78" i="7" s="1"/>
  <c r="N87" i="7" s="1"/>
  <c r="P31" i="7"/>
  <c r="P35" i="7" s="1"/>
  <c r="P69" i="7" s="1"/>
  <c r="P86" i="7" s="1"/>
  <c r="P24" i="7"/>
  <c r="P28" i="7" s="1"/>
  <c r="P66" i="7" s="1"/>
  <c r="P85" i="7" s="1"/>
  <c r="AA19" i="7"/>
  <c r="R20" i="7"/>
  <c r="Q18" i="7"/>
  <c r="O244" i="7"/>
  <c r="K142" i="7"/>
  <c r="L137" i="7" s="1"/>
  <c r="K158" i="7"/>
  <c r="AU48" i="5"/>
  <c r="BG48" i="5" s="1"/>
  <c r="O81" i="7" l="1"/>
  <c r="AG289" i="7"/>
  <c r="AF251" i="7"/>
  <c r="BO82" i="5" s="1"/>
  <c r="BB134" i="7"/>
  <c r="BC129" i="7" s="1"/>
  <c r="O17" i="7"/>
  <c r="P7" i="7"/>
  <c r="P14" i="7" s="1"/>
  <c r="P60" i="7" s="1"/>
  <c r="O21" i="7"/>
  <c r="Q38" i="7"/>
  <c r="Q42" i="7" s="1"/>
  <c r="P72" i="7"/>
  <c r="AO52" i="7"/>
  <c r="AO56" i="7" s="1"/>
  <c r="O45" i="7"/>
  <c r="O49" i="7" s="1"/>
  <c r="O78" i="7" s="1"/>
  <c r="Q31" i="7"/>
  <c r="Q35" i="7" s="1"/>
  <c r="Q69" i="7" s="1"/>
  <c r="Q86" i="7" s="1"/>
  <c r="Q24" i="7"/>
  <c r="Q28" i="7" s="1"/>
  <c r="Q66" i="7" s="1"/>
  <c r="Q85" i="7" s="1"/>
  <c r="S20" i="7"/>
  <c r="R18" i="7"/>
  <c r="AB19" i="7"/>
  <c r="Q287" i="7"/>
  <c r="P244" i="7"/>
  <c r="AV81" i="5" s="1"/>
  <c r="L142" i="7"/>
  <c r="M137" i="7" s="1"/>
  <c r="L158" i="7"/>
  <c r="AU4" i="5"/>
  <c r="AU6" i="5" s="1"/>
  <c r="C300" i="7"/>
  <c r="AE88" i="5" s="1"/>
  <c r="D300" i="7"/>
  <c r="AF88" i="5" s="1"/>
  <c r="E300" i="7"/>
  <c r="O87" i="7" l="1"/>
  <c r="P81" i="7"/>
  <c r="AH289" i="7"/>
  <c r="AG251" i="7"/>
  <c r="BP82" i="5" s="1"/>
  <c r="BC134" i="7"/>
  <c r="BD129" i="7" s="1"/>
  <c r="Q7" i="7"/>
  <c r="Q14" i="7" s="1"/>
  <c r="Q60" i="7" s="1"/>
  <c r="P21" i="7"/>
  <c r="P17" i="7"/>
  <c r="AP52" i="7"/>
  <c r="AP56" i="7" s="1"/>
  <c r="R38" i="7"/>
  <c r="R42" i="7" s="1"/>
  <c r="Q72" i="7"/>
  <c r="P45" i="7"/>
  <c r="P49" i="7" s="1"/>
  <c r="P78" i="7" s="1"/>
  <c r="R31" i="7"/>
  <c r="R35" i="7" s="1"/>
  <c r="R69" i="7" s="1"/>
  <c r="R86" i="7" s="1"/>
  <c r="R24" i="7"/>
  <c r="R28" i="7" s="1"/>
  <c r="R66" i="7" s="1"/>
  <c r="R85" i="7" s="1"/>
  <c r="T20" i="7"/>
  <c r="S18" i="7"/>
  <c r="AC19" i="7"/>
  <c r="R287" i="7"/>
  <c r="Q244" i="7"/>
  <c r="AW81" i="5" s="1"/>
  <c r="M142" i="7"/>
  <c r="N137" i="7" s="1"/>
  <c r="M158" i="7"/>
  <c r="P300" i="7"/>
  <c r="AV88" i="5" s="1"/>
  <c r="O300" i="7"/>
  <c r="AU88" i="5" s="1"/>
  <c r="Q125" i="7"/>
  <c r="T122" i="7"/>
  <c r="Q49" i="11"/>
  <c r="R49" i="11"/>
  <c r="S49" i="11"/>
  <c r="T49" i="11"/>
  <c r="U49" i="11"/>
  <c r="V49" i="11"/>
  <c r="W49" i="11"/>
  <c r="X49" i="11"/>
  <c r="Y49" i="11"/>
  <c r="Z49" i="11"/>
  <c r="AA49" i="11"/>
  <c r="Q48" i="11"/>
  <c r="R48" i="11"/>
  <c r="S48" i="11"/>
  <c r="T48" i="11"/>
  <c r="U48" i="11"/>
  <c r="V48" i="11"/>
  <c r="W48" i="11"/>
  <c r="X48" i="11"/>
  <c r="Y48" i="11"/>
  <c r="Z48" i="11"/>
  <c r="AA48" i="11"/>
  <c r="Q47" i="11"/>
  <c r="R47" i="11"/>
  <c r="S47" i="11"/>
  <c r="T47" i="11"/>
  <c r="U47" i="11"/>
  <c r="V47" i="11"/>
  <c r="W47" i="11"/>
  <c r="X47" i="11"/>
  <c r="Y47" i="11"/>
  <c r="Z47" i="11"/>
  <c r="AA47" i="11"/>
  <c r="P48" i="11"/>
  <c r="P49" i="11"/>
  <c r="P47" i="11"/>
  <c r="P87" i="7" l="1"/>
  <c r="Q81" i="7"/>
  <c r="AI289" i="7"/>
  <c r="AH251" i="7"/>
  <c r="BQ82" i="5" s="1"/>
  <c r="BD134" i="7"/>
  <c r="BE129" i="7" s="1"/>
  <c r="R7" i="7"/>
  <c r="R14" i="7" s="1"/>
  <c r="R60" i="7" s="1"/>
  <c r="Q21" i="7"/>
  <c r="Q17" i="7"/>
  <c r="S38" i="7"/>
  <c r="S42" i="7" s="1"/>
  <c r="R72" i="7"/>
  <c r="AQ52" i="7"/>
  <c r="AQ56" i="7" s="1"/>
  <c r="Q45" i="7"/>
  <c r="Q49" i="7" s="1"/>
  <c r="S31" i="7"/>
  <c r="S35" i="7" s="1"/>
  <c r="S69" i="7" s="1"/>
  <c r="S86" i="7" s="1"/>
  <c r="S24" i="7"/>
  <c r="S28" i="7" s="1"/>
  <c r="S66" i="7" s="1"/>
  <c r="S85" i="7" s="1"/>
  <c r="U20" i="7"/>
  <c r="T18" i="7"/>
  <c r="AD19" i="7"/>
  <c r="S287" i="7"/>
  <c r="R244" i="7"/>
  <c r="AX81" i="5" s="1"/>
  <c r="N142" i="7"/>
  <c r="O137" i="7" s="1"/>
  <c r="N158" i="7"/>
  <c r="BU161" i="5"/>
  <c r="BT161" i="5"/>
  <c r="BS161" i="5"/>
  <c r="BR161" i="5"/>
  <c r="BQ161" i="5"/>
  <c r="BP161" i="5"/>
  <c r="BO161" i="5"/>
  <c r="BN161" i="5"/>
  <c r="BM161" i="5"/>
  <c r="BL161" i="5"/>
  <c r="BK161" i="5"/>
  <c r="BJ161" i="5"/>
  <c r="BV136" i="5"/>
  <c r="BV135" i="5"/>
  <c r="BV134" i="5"/>
  <c r="BV133" i="5"/>
  <c r="BV132" i="5"/>
  <c r="BV131" i="5"/>
  <c r="BV118" i="5"/>
  <c r="D118" i="16" s="1"/>
  <c r="E118" i="16" s="1"/>
  <c r="BV99" i="5"/>
  <c r="D99" i="16" s="1"/>
  <c r="E99" i="16" s="1"/>
  <c r="BT93" i="5"/>
  <c r="BV93" i="5"/>
  <c r="D93" i="16" s="1"/>
  <c r="E93" i="16" s="1"/>
  <c r="AN17" i="11"/>
  <c r="AM17" i="11"/>
  <c r="AL17" i="11"/>
  <c r="AK17" i="11"/>
  <c r="AJ17" i="11"/>
  <c r="AI17" i="11"/>
  <c r="AH17" i="11"/>
  <c r="AG17" i="11"/>
  <c r="AF17" i="11"/>
  <c r="AE17" i="11"/>
  <c r="AD17" i="11"/>
  <c r="AC17" i="11"/>
  <c r="BV71" i="5"/>
  <c r="BV70" i="5"/>
  <c r="BV69" i="5"/>
  <c r="BV68" i="5"/>
  <c r="BV63" i="5"/>
  <c r="BU61" i="5"/>
  <c r="BT61" i="5"/>
  <c r="BS61" i="5"/>
  <c r="BR61" i="5"/>
  <c r="BQ61" i="5"/>
  <c r="BP61" i="5"/>
  <c r="BO61" i="5"/>
  <c r="BN61" i="5"/>
  <c r="BM61" i="5"/>
  <c r="BL61" i="5"/>
  <c r="BK61" i="5"/>
  <c r="BJ61" i="5"/>
  <c r="BV60" i="5"/>
  <c r="D60" i="16" s="1"/>
  <c r="BU54" i="5"/>
  <c r="AN11" i="11" s="1"/>
  <c r="BT54" i="5"/>
  <c r="AM11" i="11" s="1"/>
  <c r="BS54" i="5"/>
  <c r="AL11" i="11" s="1"/>
  <c r="BR54" i="5"/>
  <c r="AK11" i="11" s="1"/>
  <c r="BQ54" i="5"/>
  <c r="AJ11" i="11" s="1"/>
  <c r="BP54" i="5"/>
  <c r="AI11" i="11" s="1"/>
  <c r="BK54" i="5"/>
  <c r="AD11" i="11" s="1"/>
  <c r="BV53" i="5"/>
  <c r="BV52" i="5"/>
  <c r="D52" i="16" s="1"/>
  <c r="BO54" i="5"/>
  <c r="AH11" i="11" s="1"/>
  <c r="BN54" i="5"/>
  <c r="AG11" i="11" s="1"/>
  <c r="BM54" i="5"/>
  <c r="AF11" i="11" s="1"/>
  <c r="AC11" i="11"/>
  <c r="BV50" i="5"/>
  <c r="D50" i="16" s="1"/>
  <c r="BV49" i="5"/>
  <c r="BV48" i="5"/>
  <c r="D48" i="16" s="1"/>
  <c r="BV46" i="5"/>
  <c r="BV45" i="5"/>
  <c r="BV41" i="5"/>
  <c r="D41" i="16" s="1"/>
  <c r="BV32" i="5"/>
  <c r="BV31" i="5"/>
  <c r="BV30" i="5"/>
  <c r="BV29" i="5"/>
  <c r="D29" i="16" s="1"/>
  <c r="BV28" i="5"/>
  <c r="D28" i="16" s="1"/>
  <c r="BV27" i="5"/>
  <c r="D27" i="16" s="1"/>
  <c r="BV26" i="5"/>
  <c r="D26" i="16" s="1"/>
  <c r="BT25" i="5"/>
  <c r="BV24" i="5"/>
  <c r="D24" i="16" s="1"/>
  <c r="BV23" i="5"/>
  <c r="D23" i="16" s="1"/>
  <c r="BV22" i="5"/>
  <c r="D22" i="16" s="1"/>
  <c r="BV21" i="5"/>
  <c r="BU33" i="5"/>
  <c r="AN5" i="11" s="1"/>
  <c r="BS33" i="5"/>
  <c r="AL5" i="11" s="1"/>
  <c r="BR33" i="5"/>
  <c r="AK5" i="11" s="1"/>
  <c r="BQ33" i="5"/>
  <c r="AJ5" i="11" s="1"/>
  <c r="BP33" i="5"/>
  <c r="AI5" i="11" s="1"/>
  <c r="BO33" i="5"/>
  <c r="AH5" i="11" s="1"/>
  <c r="BM33" i="5"/>
  <c r="AF5" i="11" s="1"/>
  <c r="BL33" i="5"/>
  <c r="AE5" i="11" s="1"/>
  <c r="BV19" i="5"/>
  <c r="BV14" i="5"/>
  <c r="BV13" i="5"/>
  <c r="BV12" i="5"/>
  <c r="D12" i="16" s="1"/>
  <c r="BV11" i="5"/>
  <c r="D11" i="16" s="1"/>
  <c r="BV10" i="5"/>
  <c r="BV9" i="5"/>
  <c r="AU51" i="5"/>
  <c r="BG51" i="5" s="1"/>
  <c r="BG54" i="5" s="1"/>
  <c r="AO116" i="5"/>
  <c r="AP110" i="5"/>
  <c r="AP5" i="5"/>
  <c r="AP40" i="5"/>
  <c r="AP10" i="5"/>
  <c r="R81" i="7" l="1"/>
  <c r="P20" i="16"/>
  <c r="E69" i="16"/>
  <c r="P69" i="16"/>
  <c r="P21" i="16"/>
  <c r="E21" i="16"/>
  <c r="P12" i="16"/>
  <c r="E12" i="16"/>
  <c r="P29" i="16"/>
  <c r="E29" i="16"/>
  <c r="E30" i="16"/>
  <c r="P30" i="16"/>
  <c r="E31" i="16"/>
  <c r="P31" i="16"/>
  <c r="P62" i="16"/>
  <c r="P44" i="16"/>
  <c r="BV61" i="5"/>
  <c r="P59" i="16"/>
  <c r="P48" i="16"/>
  <c r="E48" i="16"/>
  <c r="E22" i="16"/>
  <c r="P22" i="16"/>
  <c r="P23" i="16"/>
  <c r="E23" i="16"/>
  <c r="P130" i="16"/>
  <c r="E13" i="16"/>
  <c r="P13" i="16"/>
  <c r="P26" i="16"/>
  <c r="E26" i="16"/>
  <c r="P133" i="16"/>
  <c r="E133" i="16"/>
  <c r="P27" i="16"/>
  <c r="E27" i="16"/>
  <c r="E52" i="16"/>
  <c r="P52" i="16"/>
  <c r="P134" i="16"/>
  <c r="E134" i="16"/>
  <c r="BV73" i="5"/>
  <c r="P67" i="16"/>
  <c r="E45" i="16"/>
  <c r="P45" i="16"/>
  <c r="E70" i="16"/>
  <c r="P70" i="16"/>
  <c r="E10" i="16"/>
  <c r="P10" i="16"/>
  <c r="E11" i="16"/>
  <c r="P11" i="16"/>
  <c r="P14" i="16"/>
  <c r="E14" i="16"/>
  <c r="P18" i="16"/>
  <c r="P51" i="16"/>
  <c r="P28" i="16"/>
  <c r="E28" i="16"/>
  <c r="P135" i="16"/>
  <c r="E135" i="16"/>
  <c r="E98" i="16"/>
  <c r="P98" i="16"/>
  <c r="E117" i="16"/>
  <c r="P117" i="16"/>
  <c r="P49" i="16"/>
  <c r="E49" i="16"/>
  <c r="E131" i="16"/>
  <c r="P131" i="16"/>
  <c r="E132" i="16"/>
  <c r="P132" i="16"/>
  <c r="P68" i="16"/>
  <c r="E68" i="16"/>
  <c r="P40" i="16"/>
  <c r="P25" i="16"/>
  <c r="E92" i="16"/>
  <c r="P92" i="16"/>
  <c r="P9" i="16"/>
  <c r="E9" i="16"/>
  <c r="P47" i="16"/>
  <c r="AJ289" i="7"/>
  <c r="AI251" i="7"/>
  <c r="BR82" i="5" s="1"/>
  <c r="BE134" i="7"/>
  <c r="BF129" i="7" s="1"/>
  <c r="AO17" i="11"/>
  <c r="BN65" i="5"/>
  <c r="BN75" i="5" s="1"/>
  <c r="AG16" i="11"/>
  <c r="AG19" i="11" s="1"/>
  <c r="BR65" i="5"/>
  <c r="BR75" i="5" s="1"/>
  <c r="AK16" i="11"/>
  <c r="AK19" i="11" s="1"/>
  <c r="BK65" i="5"/>
  <c r="BK75" i="5" s="1"/>
  <c r="AD16" i="11"/>
  <c r="AD19" i="11" s="1"/>
  <c r="BO65" i="5"/>
  <c r="BO75" i="5" s="1"/>
  <c r="AH16" i="11"/>
  <c r="AH19" i="11" s="1"/>
  <c r="BS65" i="5"/>
  <c r="BS75" i="5" s="1"/>
  <c r="AL16" i="11"/>
  <c r="AL19" i="11" s="1"/>
  <c r="BJ65" i="5"/>
  <c r="BJ75" i="5" s="1"/>
  <c r="AC16" i="11"/>
  <c r="BL65" i="5"/>
  <c r="BL75" i="5" s="1"/>
  <c r="AE16" i="11"/>
  <c r="AE19" i="11" s="1"/>
  <c r="BP65" i="5"/>
  <c r="BP75" i="5" s="1"/>
  <c r="AI16" i="11"/>
  <c r="AI19" i="11" s="1"/>
  <c r="BT65" i="5"/>
  <c r="BT75" i="5" s="1"/>
  <c r="AM16" i="11"/>
  <c r="AM19" i="11" s="1"/>
  <c r="BM65" i="5"/>
  <c r="BM75" i="5" s="1"/>
  <c r="AF16" i="11"/>
  <c r="AF19" i="11" s="1"/>
  <c r="BQ65" i="5"/>
  <c r="BQ75" i="5" s="1"/>
  <c r="AJ16" i="11"/>
  <c r="AJ19" i="11" s="1"/>
  <c r="BU65" i="5"/>
  <c r="BU75" i="5" s="1"/>
  <c r="AN16" i="11"/>
  <c r="AN19" i="11" s="1"/>
  <c r="Q78" i="7"/>
  <c r="BK33" i="5"/>
  <c r="AD5" i="11" s="1"/>
  <c r="S7" i="7"/>
  <c r="S14" i="7" s="1"/>
  <c r="R17" i="7"/>
  <c r="R21" i="7"/>
  <c r="AR52" i="7"/>
  <c r="AR56" i="7" s="1"/>
  <c r="T38" i="7"/>
  <c r="T42" i="7" s="1"/>
  <c r="S72" i="7"/>
  <c r="R45" i="7"/>
  <c r="R49" i="7" s="1"/>
  <c r="R78" i="7" s="1"/>
  <c r="T31" i="7"/>
  <c r="T35" i="7" s="1"/>
  <c r="T69" i="7" s="1"/>
  <c r="T86" i="7" s="1"/>
  <c r="T24" i="7"/>
  <c r="T28" i="7" s="1"/>
  <c r="T66" i="7" s="1"/>
  <c r="T85" i="7" s="1"/>
  <c r="V20" i="7"/>
  <c r="U18" i="7"/>
  <c r="AE19" i="7"/>
  <c r="T287" i="7"/>
  <c r="S244" i="7"/>
  <c r="AY81" i="5" s="1"/>
  <c r="O142" i="7"/>
  <c r="P137" i="7" s="1"/>
  <c r="O158" i="7"/>
  <c r="BT33" i="5"/>
  <c r="AM5" i="11" s="1"/>
  <c r="BN33" i="5"/>
  <c r="AG5" i="11" s="1"/>
  <c r="BV25" i="5"/>
  <c r="D25" i="16" s="1"/>
  <c r="E25" i="16" s="1"/>
  <c r="BV40" i="5"/>
  <c r="D40" i="16" s="1"/>
  <c r="E40" i="16" s="1"/>
  <c r="BV47" i="5"/>
  <c r="D47" i="16" s="1"/>
  <c r="E47" i="16" s="1"/>
  <c r="BV51" i="5"/>
  <c r="D51" i="16" s="1"/>
  <c r="E51" i="16" s="1"/>
  <c r="BV20" i="5"/>
  <c r="D20" i="16" s="1"/>
  <c r="E20" i="16" s="1"/>
  <c r="AC5" i="11"/>
  <c r="BL54" i="5"/>
  <c r="AE11" i="11" s="1"/>
  <c r="AO11" i="11" s="1"/>
  <c r="AP98" i="5"/>
  <c r="Q87" i="7" l="1"/>
  <c r="R87" i="7"/>
  <c r="BV65" i="5"/>
  <c r="D65" i="16" s="1"/>
  <c r="E65" i="16" s="1"/>
  <c r="D61" i="16"/>
  <c r="E61" i="16" s="1"/>
  <c r="E50" i="16"/>
  <c r="P50" i="16"/>
  <c r="P64" i="16"/>
  <c r="E60" i="16"/>
  <c r="P60" i="16"/>
  <c r="P19" i="16"/>
  <c r="E19" i="16"/>
  <c r="E72" i="16"/>
  <c r="P72" i="16"/>
  <c r="P39" i="16"/>
  <c r="P46" i="16"/>
  <c r="E46" i="16"/>
  <c r="BV33" i="5"/>
  <c r="P24" i="16"/>
  <c r="E24" i="16"/>
  <c r="AK289" i="7"/>
  <c r="AJ251" i="7"/>
  <c r="BS82" i="5" s="1"/>
  <c r="BV106" i="5"/>
  <c r="D106" i="16" s="1"/>
  <c r="E106" i="16" s="1"/>
  <c r="BF134" i="7"/>
  <c r="BG129" i="7" s="1"/>
  <c r="BV75" i="5"/>
  <c r="D75" i="16" s="1"/>
  <c r="E75" i="16" s="1"/>
  <c r="AO5" i="11"/>
  <c r="AO16" i="11"/>
  <c r="AO20" i="11" s="1"/>
  <c r="AC19" i="11"/>
  <c r="AC20" i="11" s="1"/>
  <c r="AD20" i="11" s="1"/>
  <c r="AE20" i="11" s="1"/>
  <c r="AF20" i="11" s="1"/>
  <c r="AG20" i="11" s="1"/>
  <c r="AH20" i="11" s="1"/>
  <c r="AI20" i="11" s="1"/>
  <c r="AJ20" i="11" s="1"/>
  <c r="AK20" i="11" s="1"/>
  <c r="AL20" i="11" s="1"/>
  <c r="AM20" i="11" s="1"/>
  <c r="AN20" i="11" s="1"/>
  <c r="S60" i="7"/>
  <c r="S81" i="7" s="1"/>
  <c r="T7" i="7"/>
  <c r="T14" i="7" s="1"/>
  <c r="U7" i="7" s="1"/>
  <c r="S17" i="7"/>
  <c r="S21" i="7"/>
  <c r="U38" i="7"/>
  <c r="U42" i="7" s="1"/>
  <c r="T72" i="7"/>
  <c r="AS52" i="7"/>
  <c r="AS56" i="7" s="1"/>
  <c r="S45" i="7"/>
  <c r="S49" i="7" s="1"/>
  <c r="S78" i="7" s="1"/>
  <c r="S87" i="7" s="1"/>
  <c r="U31" i="7"/>
  <c r="U35" i="7" s="1"/>
  <c r="U69" i="7" s="1"/>
  <c r="U86" i="7" s="1"/>
  <c r="U24" i="7"/>
  <c r="U28" i="7" s="1"/>
  <c r="U66" i="7" s="1"/>
  <c r="U85" i="7" s="1"/>
  <c r="AF19" i="7"/>
  <c r="W20" i="7"/>
  <c r="V18" i="7"/>
  <c r="U287" i="7"/>
  <c r="T244" i="7"/>
  <c r="AZ81" i="5" s="1"/>
  <c r="P142" i="7"/>
  <c r="Q137" i="7" s="1"/>
  <c r="P158" i="7"/>
  <c r="BV54" i="5"/>
  <c r="D54" i="16" s="1"/>
  <c r="E54" i="16" s="1"/>
  <c r="AP48" i="5"/>
  <c r="AP108" i="5"/>
  <c r="P32" i="16" l="1"/>
  <c r="D33" i="16"/>
  <c r="E33" i="16" s="1"/>
  <c r="BV34" i="5"/>
  <c r="E105" i="16"/>
  <c r="P105" i="16"/>
  <c r="P74" i="16"/>
  <c r="E32" i="16"/>
  <c r="BV55" i="5"/>
  <c r="D55" i="16" s="1"/>
  <c r="P53" i="16"/>
  <c r="E53" i="16"/>
  <c r="AL289" i="7"/>
  <c r="AK251" i="7"/>
  <c r="BT82" i="5" s="1"/>
  <c r="BG134" i="7"/>
  <c r="BH129" i="7" s="1"/>
  <c r="T60" i="7"/>
  <c r="T81" i="7" s="1"/>
  <c r="T21" i="7"/>
  <c r="U14" i="7"/>
  <c r="T17" i="7"/>
  <c r="AT52" i="7"/>
  <c r="AT56" i="7" s="1"/>
  <c r="V38" i="7"/>
  <c r="V42" i="7" s="1"/>
  <c r="U72" i="7"/>
  <c r="T45" i="7"/>
  <c r="T49" i="7" s="1"/>
  <c r="T78" i="7" s="1"/>
  <c r="T87" i="7" s="1"/>
  <c r="V31" i="7"/>
  <c r="V35" i="7" s="1"/>
  <c r="V69" i="7" s="1"/>
  <c r="V86" i="7" s="1"/>
  <c r="V24" i="7"/>
  <c r="V28" i="7" s="1"/>
  <c r="V66" i="7" s="1"/>
  <c r="V85" i="7" s="1"/>
  <c r="AG19" i="7"/>
  <c r="X20" i="7"/>
  <c r="W18" i="7"/>
  <c r="V287" i="7"/>
  <c r="U244" i="7"/>
  <c r="BA81" i="5" s="1"/>
  <c r="Q142" i="7"/>
  <c r="R137" i="7" s="1"/>
  <c r="Q158" i="7"/>
  <c r="AP20" i="5"/>
  <c r="AN80" i="5"/>
  <c r="AP4" i="5"/>
  <c r="AP6" i="5" s="1"/>
  <c r="N307" i="7"/>
  <c r="U60" i="7" l="1"/>
  <c r="U81" i="7" s="1"/>
  <c r="V7" i="7"/>
  <c r="V14" i="7" s="1"/>
  <c r="P33" i="16"/>
  <c r="D34" i="16"/>
  <c r="P54" i="16"/>
  <c r="AM289" i="7"/>
  <c r="AL251" i="7"/>
  <c r="BU82" i="5" s="1"/>
  <c r="BV82" i="5" s="1"/>
  <c r="D82" i="16" s="1"/>
  <c r="BH134" i="7"/>
  <c r="BI129" i="7" s="1"/>
  <c r="U21" i="7"/>
  <c r="U17" i="7"/>
  <c r="W38" i="7"/>
  <c r="W42" i="7" s="1"/>
  <c r="V72" i="7"/>
  <c r="AU52" i="7"/>
  <c r="AU56" i="7" s="1"/>
  <c r="U45" i="7"/>
  <c r="U49" i="7" s="1"/>
  <c r="U78" i="7" s="1"/>
  <c r="U87" i="7" s="1"/>
  <c r="W31" i="7"/>
  <c r="W35" i="7" s="1"/>
  <c r="W69" i="7" s="1"/>
  <c r="W86" i="7" s="1"/>
  <c r="W24" i="7"/>
  <c r="W28" i="7" s="1"/>
  <c r="AH19" i="7"/>
  <c r="Y20" i="7"/>
  <c r="X18" i="7"/>
  <c r="W287" i="7"/>
  <c r="V244" i="7"/>
  <c r="BB81" i="5" s="1"/>
  <c r="R142" i="7"/>
  <c r="S137" i="7" s="1"/>
  <c r="R158" i="7"/>
  <c r="P81" i="16" l="1"/>
  <c r="AN289" i="7"/>
  <c r="AM251" i="7"/>
  <c r="BY82" i="5" s="1"/>
  <c r="BI134" i="7"/>
  <c r="BJ129" i="7" s="1"/>
  <c r="W66" i="7"/>
  <c r="W85" i="7" s="1"/>
  <c r="X24" i="7"/>
  <c r="X28" i="7" s="1"/>
  <c r="X66" i="7" s="1"/>
  <c r="X85" i="7" s="1"/>
  <c r="V21" i="7"/>
  <c r="W7" i="7"/>
  <c r="W14" i="7" s="1"/>
  <c r="V17" i="7"/>
  <c r="V60" i="7"/>
  <c r="V81" i="7" s="1"/>
  <c r="AV52" i="7"/>
  <c r="AV56" i="7" s="1"/>
  <c r="X38" i="7"/>
  <c r="X42" i="7" s="1"/>
  <c r="W72" i="7"/>
  <c r="V45" i="7"/>
  <c r="V49" i="7" s="1"/>
  <c r="V78" i="7" s="1"/>
  <c r="V87" i="7" s="1"/>
  <c r="X31" i="7"/>
  <c r="X35" i="7" s="1"/>
  <c r="X69" i="7" s="1"/>
  <c r="X86" i="7" s="1"/>
  <c r="AI19" i="7"/>
  <c r="Z20" i="7"/>
  <c r="Y18" i="7"/>
  <c r="X287" i="7"/>
  <c r="W244" i="7"/>
  <c r="BC81" i="5" s="1"/>
  <c r="S142" i="7"/>
  <c r="T137" i="7" s="1"/>
  <c r="S158" i="7"/>
  <c r="W60" i="7" l="1"/>
  <c r="W81" i="7" s="1"/>
  <c r="X7" i="7"/>
  <c r="X14" i="7" s="1"/>
  <c r="X60" i="7" s="1"/>
  <c r="AO289" i="7"/>
  <c r="AN251" i="7"/>
  <c r="BZ82" i="5" s="1"/>
  <c r="BJ134" i="7"/>
  <c r="W21" i="7"/>
  <c r="W17" i="7"/>
  <c r="Y38" i="7"/>
  <c r="Y42" i="7" s="1"/>
  <c r="X72" i="7"/>
  <c r="AW52" i="7"/>
  <c r="AW56" i="7" s="1"/>
  <c r="W45" i="7"/>
  <c r="W49" i="7" s="1"/>
  <c r="W78" i="7" s="1"/>
  <c r="W87" i="7" s="1"/>
  <c r="Y31" i="7"/>
  <c r="Y35" i="7" s="1"/>
  <c r="Y69" i="7" s="1"/>
  <c r="Y86" i="7" s="1"/>
  <c r="Y24" i="7"/>
  <c r="Y28" i="7" s="1"/>
  <c r="Y66" i="7" s="1"/>
  <c r="Y85" i="7" s="1"/>
  <c r="AA20" i="7"/>
  <c r="Z18" i="7"/>
  <c r="AJ19" i="7"/>
  <c r="X244" i="7"/>
  <c r="BD81" i="5" s="1"/>
  <c r="T142" i="7"/>
  <c r="U137" i="7" s="1"/>
  <c r="T158" i="7"/>
  <c r="AO48" i="5"/>
  <c r="AP116" i="5"/>
  <c r="X81" i="7" l="1"/>
  <c r="AP289" i="7"/>
  <c r="AO251" i="7"/>
  <c r="CA82" i="5" s="1"/>
  <c r="X21" i="7"/>
  <c r="Y7" i="7"/>
  <c r="Y14" i="7" s="1"/>
  <c r="Y60" i="7" s="1"/>
  <c r="X17" i="7"/>
  <c r="AX52" i="7"/>
  <c r="AX56" i="7" s="1"/>
  <c r="AY52" i="7" s="1"/>
  <c r="AY56" i="7" s="1"/>
  <c r="Z38" i="7"/>
  <c r="Z42" i="7" s="1"/>
  <c r="Y72" i="7"/>
  <c r="X45" i="7"/>
  <c r="X49" i="7" s="1"/>
  <c r="X78" i="7" s="1"/>
  <c r="Z31" i="7"/>
  <c r="Z35" i="7" s="1"/>
  <c r="Z69" i="7" s="1"/>
  <c r="Z86" i="7" s="1"/>
  <c r="Z24" i="7"/>
  <c r="Z28" i="7" s="1"/>
  <c r="Z66" i="7" s="1"/>
  <c r="Z85" i="7" s="1"/>
  <c r="AB20" i="7"/>
  <c r="AA18" i="7"/>
  <c r="AK19" i="7"/>
  <c r="Z287" i="7"/>
  <c r="Y244" i="7"/>
  <c r="BE81" i="5" s="1"/>
  <c r="U142" i="7"/>
  <c r="V137" i="7" s="1"/>
  <c r="U158" i="7"/>
  <c r="AO20" i="5"/>
  <c r="AO5" i="5"/>
  <c r="AO40" i="5"/>
  <c r="X87" i="7" l="1"/>
  <c r="Y81" i="7"/>
  <c r="AQ289" i="7"/>
  <c r="AP251" i="7"/>
  <c r="CB82" i="5" s="1"/>
  <c r="AZ52" i="7"/>
  <c r="AZ56" i="7" s="1"/>
  <c r="Y21" i="7"/>
  <c r="Z7" i="7"/>
  <c r="Z14" i="7" s="1"/>
  <c r="Z60" i="7" s="1"/>
  <c r="Y17" i="7"/>
  <c r="AA38" i="7"/>
  <c r="Z72" i="7"/>
  <c r="Y45" i="7"/>
  <c r="Y49" i="7" s="1"/>
  <c r="Y78" i="7" s="1"/>
  <c r="AA31" i="7"/>
  <c r="AA24" i="7"/>
  <c r="AA28" i="7" s="1"/>
  <c r="AA66" i="7" s="1"/>
  <c r="AA85" i="7" s="1"/>
  <c r="AL19" i="7"/>
  <c r="AC20" i="7"/>
  <c r="AB18" i="7"/>
  <c r="AA287" i="7"/>
  <c r="Z244" i="7"/>
  <c r="V142" i="7"/>
  <c r="W137" i="7" s="1"/>
  <c r="V158" i="7"/>
  <c r="AO109" i="5"/>
  <c r="AO108" i="5"/>
  <c r="AO25" i="5"/>
  <c r="AO33" i="5" s="1"/>
  <c r="AO93" i="5"/>
  <c r="AO47" i="5"/>
  <c r="AO54" i="5" s="1"/>
  <c r="Y87" i="7" l="1"/>
  <c r="Z81" i="7"/>
  <c r="BF81" i="5"/>
  <c r="BG81" i="5" s="1"/>
  <c r="AR289" i="7"/>
  <c r="AQ251" i="7"/>
  <c r="CC82" i="5" s="1"/>
  <c r="BA52" i="7"/>
  <c r="BA56" i="7" s="1"/>
  <c r="AA42" i="7"/>
  <c r="AB46" i="7"/>
  <c r="AA35" i="7"/>
  <c r="AA69" i="7" s="1"/>
  <c r="AA86" i="7" s="1"/>
  <c r="Z21" i="7"/>
  <c r="Z17" i="7"/>
  <c r="AA7" i="7"/>
  <c r="AA14" i="7" s="1"/>
  <c r="AA60" i="7" s="1"/>
  <c r="Z45" i="7"/>
  <c r="Z49" i="7" s="1"/>
  <c r="Z78" i="7" s="1"/>
  <c r="AB24" i="7"/>
  <c r="AB28" i="7" s="1"/>
  <c r="AB66" i="7" s="1"/>
  <c r="AB85" i="7" s="1"/>
  <c r="AD20" i="7"/>
  <c r="AC18" i="7"/>
  <c r="AM19" i="7"/>
  <c r="AB287" i="7"/>
  <c r="AA244" i="7"/>
  <c r="BJ81" i="5" s="1"/>
  <c r="W142" i="7"/>
  <c r="X137" i="7" s="1"/>
  <c r="W158" i="7"/>
  <c r="AO96" i="5"/>
  <c r="Z87" i="7" l="1"/>
  <c r="AB38" i="7"/>
  <c r="AB42" i="7" s="1"/>
  <c r="AA72" i="7"/>
  <c r="AA81" i="7" s="1"/>
  <c r="AS289" i="7"/>
  <c r="AR251" i="7"/>
  <c r="CD82" i="5" s="1"/>
  <c r="BB52" i="7"/>
  <c r="BB56" i="7" s="1"/>
  <c r="AB31" i="7"/>
  <c r="AB35" i="7" s="1"/>
  <c r="AB69" i="7" s="1"/>
  <c r="AB86" i="7" s="1"/>
  <c r="AA17" i="7"/>
  <c r="AB7" i="7"/>
  <c r="AB14" i="7" s="1"/>
  <c r="AB60" i="7" s="1"/>
  <c r="AA21" i="7"/>
  <c r="AA45" i="7"/>
  <c r="AA49" i="7" s="1"/>
  <c r="AA78" i="7" s="1"/>
  <c r="AA87" i="7" s="1"/>
  <c r="AC24" i="7"/>
  <c r="AC28" i="7" s="1"/>
  <c r="AC66" i="7" s="1"/>
  <c r="AC85" i="7" s="1"/>
  <c r="AN19" i="7"/>
  <c r="AE20" i="7"/>
  <c r="AD18" i="7"/>
  <c r="AB244" i="7"/>
  <c r="BK81" i="5" s="1"/>
  <c r="X142" i="7"/>
  <c r="Y137" i="7" s="1"/>
  <c r="X158" i="7"/>
  <c r="AN20" i="5"/>
  <c r="AO97" i="5"/>
  <c r="AC38" i="7" l="1"/>
  <c r="AC42" i="7" s="1"/>
  <c r="AB72" i="7"/>
  <c r="AB81" i="7" s="1"/>
  <c r="AT289" i="7"/>
  <c r="AS251" i="7"/>
  <c r="CE82" i="5" s="1"/>
  <c r="BC52" i="7"/>
  <c r="BC56" i="7" s="1"/>
  <c r="AC31" i="7"/>
  <c r="AC35" i="7" s="1"/>
  <c r="AC69" i="7" s="1"/>
  <c r="AC86" i="7" s="1"/>
  <c r="AC7" i="7"/>
  <c r="AC14" i="7" s="1"/>
  <c r="AC60" i="7" s="1"/>
  <c r="AB21" i="7"/>
  <c r="AB17" i="7"/>
  <c r="AB45" i="7"/>
  <c r="AB49" i="7" s="1"/>
  <c r="AB78" i="7" s="1"/>
  <c r="AB87" i="7" s="1"/>
  <c r="AD24" i="7"/>
  <c r="AD28" i="7" s="1"/>
  <c r="AD66" i="7" s="1"/>
  <c r="AD85" i="7" s="1"/>
  <c r="AO19" i="7"/>
  <c r="AF20" i="7"/>
  <c r="AE18" i="7"/>
  <c r="AD287" i="7"/>
  <c r="AC244" i="7"/>
  <c r="BL81" i="5" s="1"/>
  <c r="Y142" i="7"/>
  <c r="Z137" i="7" s="1"/>
  <c r="Y158" i="7"/>
  <c r="M292" i="7"/>
  <c r="N292" i="7" s="1"/>
  <c r="O292" i="7" s="1"/>
  <c r="P292" i="7" s="1"/>
  <c r="Q292" i="7" s="1"/>
  <c r="R292" i="7" s="1"/>
  <c r="S292" i="7" s="1"/>
  <c r="T292" i="7" s="1"/>
  <c r="U292" i="7" s="1"/>
  <c r="V292" i="7" s="1"/>
  <c r="W292" i="7" s="1"/>
  <c r="X292" i="7" s="1"/>
  <c r="Y292" i="7" s="1"/>
  <c r="Z292" i="7" s="1"/>
  <c r="AB292" i="7" s="1"/>
  <c r="AC72" i="7" l="1"/>
  <c r="AC81" i="7" s="1"/>
  <c r="AD38" i="7"/>
  <c r="AD42" i="7" s="1"/>
  <c r="AC292" i="7"/>
  <c r="AD292" i="7" s="1"/>
  <c r="AE292" i="7" s="1"/>
  <c r="AF292" i="7" s="1"/>
  <c r="AG292" i="7" s="1"/>
  <c r="AH292" i="7" s="1"/>
  <c r="AI292" i="7" s="1"/>
  <c r="AJ292" i="7" s="1"/>
  <c r="AK292" i="7" s="1"/>
  <c r="AL292" i="7" s="1"/>
  <c r="AM292" i="7" s="1"/>
  <c r="AN292" i="7" s="1"/>
  <c r="AO292" i="7" s="1"/>
  <c r="AP292" i="7" s="1"/>
  <c r="AQ292" i="7" s="1"/>
  <c r="AR292" i="7" s="1"/>
  <c r="AS292" i="7" s="1"/>
  <c r="AT292" i="7" s="1"/>
  <c r="AU292" i="7" s="1"/>
  <c r="AV292" i="7" s="1"/>
  <c r="AW292" i="7" s="1"/>
  <c r="AX292" i="7" s="1"/>
  <c r="AB223" i="7"/>
  <c r="BK79" i="5" s="1"/>
  <c r="AU289" i="7"/>
  <c r="AT251" i="7"/>
  <c r="CF82" i="5" s="1"/>
  <c r="BD52" i="7"/>
  <c r="BD56" i="7" s="1"/>
  <c r="AD31" i="7"/>
  <c r="AD35" i="7" s="1"/>
  <c r="AD69" i="7" s="1"/>
  <c r="AD86" i="7" s="1"/>
  <c r="AD7" i="7"/>
  <c r="AD14" i="7" s="1"/>
  <c r="AD60" i="7" s="1"/>
  <c r="AC21" i="7"/>
  <c r="AC17" i="7"/>
  <c r="AC45" i="7"/>
  <c r="AC49" i="7" s="1"/>
  <c r="AC78" i="7" s="1"/>
  <c r="AC87" i="7" s="1"/>
  <c r="AE24" i="7"/>
  <c r="AE28" i="7" s="1"/>
  <c r="AE66" i="7" s="1"/>
  <c r="AE85" i="7" s="1"/>
  <c r="AG20" i="7"/>
  <c r="AF18" i="7"/>
  <c r="AP19" i="7"/>
  <c r="AE287" i="7"/>
  <c r="AD244" i="7"/>
  <c r="BM81" i="5" s="1"/>
  <c r="Z142" i="7"/>
  <c r="AA137" i="7" s="1"/>
  <c r="AA158" i="7" s="1"/>
  <c r="Z158" i="7"/>
  <c r="L290" i="7"/>
  <c r="AD72" i="7" l="1"/>
  <c r="AD81" i="7" s="1"/>
  <c r="AE38" i="7"/>
  <c r="AE42" i="7" s="1"/>
  <c r="AB242" i="7"/>
  <c r="AV289" i="7"/>
  <c r="AU251" i="7"/>
  <c r="CG82" i="5" s="1"/>
  <c r="BE52" i="7"/>
  <c r="BE56" i="7" s="1"/>
  <c r="AE31" i="7"/>
  <c r="AE35" i="7" s="1"/>
  <c r="AE69" i="7" s="1"/>
  <c r="AE86" i="7" s="1"/>
  <c r="AD21" i="7"/>
  <c r="AD17" i="7"/>
  <c r="AE7" i="7"/>
  <c r="AE14" i="7" s="1"/>
  <c r="AE60" i="7" s="1"/>
  <c r="AD45" i="7"/>
  <c r="AD49" i="7" s="1"/>
  <c r="AD78" i="7" s="1"/>
  <c r="AD87" i="7" s="1"/>
  <c r="AF24" i="7"/>
  <c r="AF28" i="7" s="1"/>
  <c r="AF66" i="7" s="1"/>
  <c r="AF85" i="7" s="1"/>
  <c r="AH20" i="7"/>
  <c r="AG18" i="7"/>
  <c r="AQ19" i="7"/>
  <c r="AF287" i="7"/>
  <c r="AE244" i="7"/>
  <c r="BN81" i="5" s="1"/>
  <c r="AA142" i="7"/>
  <c r="AB137" i="7" s="1"/>
  <c r="AB158" i="7" s="1"/>
  <c r="DC60" i="5"/>
  <c r="AE72" i="7" l="1"/>
  <c r="AE81" i="7" s="1"/>
  <c r="AF38" i="7"/>
  <c r="AF42" i="7" s="1"/>
  <c r="AW289" i="7"/>
  <c r="AV251" i="7"/>
  <c r="CH82" i="5" s="1"/>
  <c r="BF52" i="7"/>
  <c r="BF56" i="7" s="1"/>
  <c r="AF31" i="7"/>
  <c r="AF35" i="7" s="1"/>
  <c r="AF69" i="7" s="1"/>
  <c r="AF86" i="7" s="1"/>
  <c r="AE21" i="7"/>
  <c r="AE17" i="7"/>
  <c r="AF7" i="7"/>
  <c r="AF14" i="7" s="1"/>
  <c r="AF60" i="7" s="1"/>
  <c r="AE45" i="7"/>
  <c r="AE49" i="7" s="1"/>
  <c r="AE78" i="7" s="1"/>
  <c r="AE87" i="7" s="1"/>
  <c r="AG24" i="7"/>
  <c r="AG28" i="7" s="1"/>
  <c r="AG66" i="7" s="1"/>
  <c r="AG85" i="7" s="1"/>
  <c r="AI20" i="7"/>
  <c r="AH18" i="7"/>
  <c r="AR19" i="7"/>
  <c r="AG287" i="7"/>
  <c r="AF244" i="7"/>
  <c r="AB142" i="7"/>
  <c r="AC137" i="7" s="1"/>
  <c r="AC158" i="7" s="1"/>
  <c r="AG38" i="7" l="1"/>
  <c r="AF72" i="7"/>
  <c r="AF81" i="7" s="1"/>
  <c r="AX289" i="7"/>
  <c r="AX251" i="7" s="1"/>
  <c r="CJ82" i="5" s="1"/>
  <c r="AW251" i="7"/>
  <c r="CI82" i="5" s="1"/>
  <c r="AG39" i="7"/>
  <c r="BG52" i="7"/>
  <c r="BG56" i="7" s="1"/>
  <c r="AG31" i="7"/>
  <c r="AF17" i="7"/>
  <c r="AG7" i="7"/>
  <c r="AG14" i="7" s="1"/>
  <c r="AG60" i="7" s="1"/>
  <c r="AF21" i="7"/>
  <c r="BO81" i="5"/>
  <c r="AF45" i="7"/>
  <c r="AH24" i="7"/>
  <c r="AH28" i="7" s="1"/>
  <c r="AH66" i="7" s="1"/>
  <c r="AH85" i="7" s="1"/>
  <c r="AJ20" i="7"/>
  <c r="AI18" i="7"/>
  <c r="AS19" i="7"/>
  <c r="AH287" i="7"/>
  <c r="AG244" i="7"/>
  <c r="BP81" i="5" s="1"/>
  <c r="AC142" i="7"/>
  <c r="AD137" i="7" s="1"/>
  <c r="AD158" i="7" s="1"/>
  <c r="CK82" i="5" l="1"/>
  <c r="AN46" i="7"/>
  <c r="AS48" i="7" s="1"/>
  <c r="AG42" i="7"/>
  <c r="AH38" i="7" s="1"/>
  <c r="AH42" i="7" s="1"/>
  <c r="AI38" i="7" s="1"/>
  <c r="AI42" i="7" s="1"/>
  <c r="AG35" i="7"/>
  <c r="AG69" i="7" s="1"/>
  <c r="AG86" i="7" s="1"/>
  <c r="BH52" i="7"/>
  <c r="BH56" i="7" s="1"/>
  <c r="AF49" i="7"/>
  <c r="AF78" i="7" s="1"/>
  <c r="AH7" i="7"/>
  <c r="AH14" i="7" s="1"/>
  <c r="AH60" i="7" s="1"/>
  <c r="AG21" i="7"/>
  <c r="AG17" i="7"/>
  <c r="AI24" i="7"/>
  <c r="AI28" i="7" s="1"/>
  <c r="AI66" i="7" s="1"/>
  <c r="AI85" i="7" s="1"/>
  <c r="AK20" i="7"/>
  <c r="AJ18" i="7"/>
  <c r="AT19" i="7"/>
  <c r="AI287" i="7"/>
  <c r="AH244" i="7"/>
  <c r="BQ81" i="5" s="1"/>
  <c r="AD142" i="7"/>
  <c r="AE137" i="7" s="1"/>
  <c r="BG25" i="5"/>
  <c r="BG33" i="5" s="1"/>
  <c r="AF87" i="7" l="1"/>
  <c r="AR304" i="7"/>
  <c r="CD39" i="5" s="1"/>
  <c r="CD42" i="5" s="1"/>
  <c r="AS304" i="7"/>
  <c r="CE39" i="5" s="1"/>
  <c r="CE42" i="5" s="1"/>
  <c r="AT304" i="7"/>
  <c r="CF39" i="5" s="1"/>
  <c r="AG45" i="7"/>
  <c r="CG39" i="5"/>
  <c r="CG42" i="5" s="1"/>
  <c r="AG72" i="7"/>
  <c r="AG81" i="7" s="1"/>
  <c r="AH72" i="7"/>
  <c r="AH81" i="7" s="1"/>
  <c r="AH31" i="7"/>
  <c r="AH35" i="7" s="1"/>
  <c r="AH69" i="7" s="1"/>
  <c r="AH86" i="7" s="1"/>
  <c r="BI52" i="7"/>
  <c r="BI56" i="7" s="1"/>
  <c r="AI7" i="7"/>
  <c r="AI14" i="7" s="1"/>
  <c r="AI60" i="7" s="1"/>
  <c r="AH21" i="7"/>
  <c r="AH17" i="7"/>
  <c r="AJ38" i="7"/>
  <c r="AJ42" i="7" s="1"/>
  <c r="AJ24" i="7"/>
  <c r="AJ28" i="7" s="1"/>
  <c r="AJ66" i="7" s="1"/>
  <c r="AJ85" i="7" s="1"/>
  <c r="AU19" i="7"/>
  <c r="AL20" i="7"/>
  <c r="AK18" i="7"/>
  <c r="AJ287" i="7"/>
  <c r="AI244" i="7"/>
  <c r="BR81" i="5" s="1"/>
  <c r="AE142" i="7"/>
  <c r="AF137" i="7" s="1"/>
  <c r="AE158" i="7"/>
  <c r="AI81" i="7" l="1"/>
  <c r="AG49" i="7"/>
  <c r="AG78" i="7" s="1"/>
  <c r="CE57" i="5"/>
  <c r="AY10" i="11"/>
  <c r="AY13" i="11" s="1"/>
  <c r="CD57" i="5"/>
  <c r="AX10" i="11"/>
  <c r="AX13" i="11" s="1"/>
  <c r="AX14" i="11" s="1"/>
  <c r="AI21" i="7"/>
  <c r="AI31" i="7"/>
  <c r="AI35" i="7" s="1"/>
  <c r="AI69" i="7" s="1"/>
  <c r="AI86" i="7" s="1"/>
  <c r="CF42" i="5"/>
  <c r="CK39" i="5"/>
  <c r="CK42" i="5" s="1"/>
  <c r="BA10" i="11"/>
  <c r="BA13" i="11" s="1"/>
  <c r="CG57" i="5"/>
  <c r="BJ52" i="7"/>
  <c r="BJ56" i="7" s="1"/>
  <c r="AJ7" i="7"/>
  <c r="AJ14" i="7" s="1"/>
  <c r="AJ60" i="7" s="1"/>
  <c r="AI17" i="7"/>
  <c r="AK38" i="7"/>
  <c r="AK42" i="7" s="1"/>
  <c r="AJ72" i="7"/>
  <c r="AK24" i="7"/>
  <c r="AK28" i="7" s="1"/>
  <c r="AK66" i="7" s="1"/>
  <c r="AK85" i="7" s="1"/>
  <c r="AM20" i="7"/>
  <c r="AL18" i="7"/>
  <c r="AV19" i="7"/>
  <c r="AK287" i="7"/>
  <c r="AJ244" i="7"/>
  <c r="BS81" i="5" s="1"/>
  <c r="AF142" i="7"/>
  <c r="AG137" i="7" s="1"/>
  <c r="AF158" i="7"/>
  <c r="AN116" i="5"/>
  <c r="AG87" i="7" l="1"/>
  <c r="AJ81" i="7"/>
  <c r="AY14" i="11"/>
  <c r="AH45" i="7"/>
  <c r="AH49" i="7" s="1"/>
  <c r="AH78" i="7" s="1"/>
  <c r="AJ31" i="7"/>
  <c r="AJ35" i="7" s="1"/>
  <c r="CK43" i="5"/>
  <c r="CK57" i="5"/>
  <c r="AZ10" i="11"/>
  <c r="CF57" i="5"/>
  <c r="AK7" i="7"/>
  <c r="AK14" i="7" s="1"/>
  <c r="AJ17" i="7"/>
  <c r="AJ21" i="7"/>
  <c r="AL38" i="7"/>
  <c r="AL42" i="7" s="1"/>
  <c r="AK72" i="7"/>
  <c r="AL24" i="7"/>
  <c r="AL28" i="7" s="1"/>
  <c r="AN20" i="7"/>
  <c r="AM18" i="7"/>
  <c r="AW19" i="7"/>
  <c r="AL287" i="7"/>
  <c r="AK244" i="7"/>
  <c r="BT81" i="5" s="1"/>
  <c r="AG142" i="7"/>
  <c r="AH137" i="7" s="1"/>
  <c r="AG158" i="7"/>
  <c r="K307" i="7"/>
  <c r="J307" i="7"/>
  <c r="H309" i="7"/>
  <c r="G307" i="7"/>
  <c r="E308" i="7"/>
  <c r="O282" i="7"/>
  <c r="N282" i="7"/>
  <c r="M282" i="7"/>
  <c r="M307" i="7" s="1"/>
  <c r="L282" i="7"/>
  <c r="K282" i="7"/>
  <c r="J282" i="7"/>
  <c r="I282" i="7"/>
  <c r="H282" i="7"/>
  <c r="G282" i="7"/>
  <c r="L125" i="7"/>
  <c r="K125" i="7"/>
  <c r="J125" i="7"/>
  <c r="G125" i="7"/>
  <c r="C103" i="7"/>
  <c r="D125" i="7"/>
  <c r="D126" i="7" s="1"/>
  <c r="E121" i="7" s="1"/>
  <c r="E126" i="7" s="1"/>
  <c r="F121" i="7" s="1"/>
  <c r="F126" i="7" s="1"/>
  <c r="G121" i="7" s="1"/>
  <c r="D105" i="7"/>
  <c r="E105" i="7" s="1"/>
  <c r="J96" i="7"/>
  <c r="C3" i="14"/>
  <c r="D3" i="14" s="1"/>
  <c r="E3" i="14" s="1"/>
  <c r="F3" i="14" s="1"/>
  <c r="G3" i="14" s="1"/>
  <c r="G4" i="14"/>
  <c r="J4" i="14"/>
  <c r="C5" i="14"/>
  <c r="D5" i="14"/>
  <c r="D6" i="14"/>
  <c r="E5" i="14" s="1"/>
  <c r="G6" i="14"/>
  <c r="C7" i="14"/>
  <c r="D7" i="14"/>
  <c r="E7" i="14"/>
  <c r="E8" i="14"/>
  <c r="F7" i="14" s="1"/>
  <c r="C9" i="14"/>
  <c r="D9" i="14"/>
  <c r="H10" i="14"/>
  <c r="C11" i="14"/>
  <c r="D11" i="14"/>
  <c r="D12" i="14"/>
  <c r="C13" i="14"/>
  <c r="D13" i="14"/>
  <c r="E13" i="14"/>
  <c r="B16" i="14"/>
  <c r="C15" i="14" s="1"/>
  <c r="C16" i="14"/>
  <c r="D16" i="14"/>
  <c r="E16" i="14"/>
  <c r="F16" i="14"/>
  <c r="G16" i="14"/>
  <c r="H16" i="14"/>
  <c r="I16" i="14"/>
  <c r="D17" i="14"/>
  <c r="E17" i="14"/>
  <c r="G17" i="14"/>
  <c r="H17" i="14"/>
  <c r="J17" i="14"/>
  <c r="M17" i="14"/>
  <c r="P17" i="14"/>
  <c r="Q17" i="14"/>
  <c r="U17" i="14"/>
  <c r="W17" i="14"/>
  <c r="Y17" i="14"/>
  <c r="AB17" i="14"/>
  <c r="E21" i="14"/>
  <c r="E22" i="14"/>
  <c r="F22" i="14"/>
  <c r="C35" i="14" s="1"/>
  <c r="E23" i="14"/>
  <c r="E24" i="14"/>
  <c r="E25" i="14"/>
  <c r="I25" i="14"/>
  <c r="E26" i="14"/>
  <c r="I26" i="14"/>
  <c r="M27" i="14"/>
  <c r="D30" i="14"/>
  <c r="E30" i="14" s="1"/>
  <c r="B31" i="14"/>
  <c r="C31" i="14"/>
  <c r="D31" i="14"/>
  <c r="M107" i="14" s="1"/>
  <c r="E31" i="14"/>
  <c r="C40" i="14"/>
  <c r="C111" i="14" s="1"/>
  <c r="C113" i="14" s="1"/>
  <c r="C45" i="14"/>
  <c r="D45" i="14"/>
  <c r="E45" i="14"/>
  <c r="F45" i="14"/>
  <c r="G45" i="14"/>
  <c r="H45" i="14"/>
  <c r="I45" i="14"/>
  <c r="C46" i="14"/>
  <c r="D46" i="14" s="1"/>
  <c r="E46" i="14"/>
  <c r="F46" i="14"/>
  <c r="G46" i="14"/>
  <c r="H46" i="14"/>
  <c r="I46" i="14"/>
  <c r="J46" i="14"/>
  <c r="K46" i="14"/>
  <c r="L46" i="14"/>
  <c r="M46" i="14"/>
  <c r="N46" i="14"/>
  <c r="O46" i="14"/>
  <c r="P46" i="14" s="1"/>
  <c r="Q46" i="14" s="1"/>
  <c r="R46" i="14" s="1"/>
  <c r="S46" i="14" s="1"/>
  <c r="T46" i="14" s="1"/>
  <c r="U46" i="14" s="1"/>
  <c r="V46" i="14" s="1"/>
  <c r="W46" i="14" s="1"/>
  <c r="X46" i="14" s="1"/>
  <c r="Y46" i="14" s="1"/>
  <c r="Z46" i="14" s="1"/>
  <c r="AA46" i="14" s="1"/>
  <c r="AB46" i="14" s="1"/>
  <c r="C47" i="14"/>
  <c r="D47" i="14"/>
  <c r="E47" i="14" s="1"/>
  <c r="F47" i="14" s="1"/>
  <c r="G47" i="14" s="1"/>
  <c r="H47" i="14" s="1"/>
  <c r="I47" i="14" s="1"/>
  <c r="J47" i="14" s="1"/>
  <c r="K47" i="14" s="1"/>
  <c r="L47" i="14" s="1"/>
  <c r="M47" i="14" s="1"/>
  <c r="N47" i="14" s="1"/>
  <c r="O47" i="14" s="1"/>
  <c r="P47" i="14" s="1"/>
  <c r="C48" i="14"/>
  <c r="D48" i="14"/>
  <c r="E48" i="14"/>
  <c r="F48" i="14"/>
  <c r="G48" i="14"/>
  <c r="H48" i="14" s="1"/>
  <c r="I48" i="14" s="1"/>
  <c r="J48" i="14" s="1"/>
  <c r="K48" i="14" s="1"/>
  <c r="L48" i="14" s="1"/>
  <c r="M48" i="14" s="1"/>
  <c r="N48" i="14"/>
  <c r="O48" i="14"/>
  <c r="P48" i="14" s="1"/>
  <c r="Q48" i="14" s="1"/>
  <c r="R48" i="14" s="1"/>
  <c r="S48" i="14" s="1"/>
  <c r="T48" i="14" s="1"/>
  <c r="U48" i="14" s="1"/>
  <c r="V48" i="14" s="1"/>
  <c r="W48" i="14"/>
  <c r="X48" i="14" s="1"/>
  <c r="Y48" i="14" s="1"/>
  <c r="Z48" i="14" s="1"/>
  <c r="AA48" i="14" s="1"/>
  <c r="AB48" i="14" s="1"/>
  <c r="C49" i="14"/>
  <c r="D49" i="14"/>
  <c r="E49" i="14"/>
  <c r="F49" i="14" s="1"/>
  <c r="G49" i="14"/>
  <c r="H49" i="14"/>
  <c r="I49" i="14" s="1"/>
  <c r="J49" i="14" s="1"/>
  <c r="K49" i="14" s="1"/>
  <c r="L49" i="14"/>
  <c r="M49" i="14"/>
  <c r="N49" i="14"/>
  <c r="C50" i="14"/>
  <c r="D50" i="14"/>
  <c r="E50" i="14"/>
  <c r="F50" i="14"/>
  <c r="G50" i="14"/>
  <c r="H50" i="14"/>
  <c r="I50" i="14"/>
  <c r="J50" i="14"/>
  <c r="K50" i="14"/>
  <c r="L50" i="14" s="1"/>
  <c r="C51" i="14"/>
  <c r="D51" i="14"/>
  <c r="E51" i="14"/>
  <c r="F51" i="14" s="1"/>
  <c r="G51" i="14" s="1"/>
  <c r="C52" i="14"/>
  <c r="E52" i="14"/>
  <c r="F52" i="14"/>
  <c r="G52" i="14"/>
  <c r="H52" i="14"/>
  <c r="C53" i="14"/>
  <c r="B58" i="14"/>
  <c r="B62" i="14" s="1"/>
  <c r="E62" i="14" s="1"/>
  <c r="E58" i="14"/>
  <c r="B60" i="14"/>
  <c r="E60" i="14"/>
  <c r="F60" i="14"/>
  <c r="B61" i="14"/>
  <c r="F61" i="14"/>
  <c r="R61" i="14"/>
  <c r="F62" i="14"/>
  <c r="C74" i="14" s="1"/>
  <c r="B63" i="14"/>
  <c r="E64" i="14"/>
  <c r="E65" i="14"/>
  <c r="D68" i="14"/>
  <c r="D69" i="14" s="1"/>
  <c r="E69" i="14" s="1"/>
  <c r="E68" i="14"/>
  <c r="L68" i="14"/>
  <c r="L69" i="14" s="1"/>
  <c r="R68" i="14"/>
  <c r="S68" i="14"/>
  <c r="B69" i="14"/>
  <c r="C69" i="14"/>
  <c r="S73" i="14"/>
  <c r="F74" i="14"/>
  <c r="G74" i="14"/>
  <c r="H74" i="14"/>
  <c r="I74" i="14"/>
  <c r="J74" i="14"/>
  <c r="K86" i="14"/>
  <c r="L86" i="14"/>
  <c r="M86" i="14"/>
  <c r="N86" i="14"/>
  <c r="O86" i="14"/>
  <c r="P86" i="14"/>
  <c r="Q86" i="14"/>
  <c r="R86" i="14"/>
  <c r="S86" i="14"/>
  <c r="C93" i="14"/>
  <c r="K93" i="14"/>
  <c r="N93" i="14"/>
  <c r="O93" i="14"/>
  <c r="P93" i="14"/>
  <c r="Q93" i="14"/>
  <c r="C100" i="14"/>
  <c r="D100" i="14"/>
  <c r="E100" i="14"/>
  <c r="F100" i="14"/>
  <c r="G100" i="14"/>
  <c r="H100" i="14"/>
  <c r="I100" i="14"/>
  <c r="J100" i="14"/>
  <c r="L100" i="14"/>
  <c r="M100" i="14"/>
  <c r="N100" i="14"/>
  <c r="O100" i="14"/>
  <c r="P100" i="14"/>
  <c r="Q100" i="14"/>
  <c r="T100" i="14"/>
  <c r="U100" i="14"/>
  <c r="V100" i="14"/>
  <c r="W100" i="14"/>
  <c r="X100" i="14"/>
  <c r="Y100" i="14"/>
  <c r="Z100" i="14"/>
  <c r="AB100" i="14"/>
  <c r="B103" i="14"/>
  <c r="O105" i="14"/>
  <c r="H107" i="14"/>
  <c r="I107" i="14"/>
  <c r="K107" i="14"/>
  <c r="AB107" i="14"/>
  <c r="C114" i="14"/>
  <c r="D114" i="14"/>
  <c r="E114" i="14"/>
  <c r="F114" i="14"/>
  <c r="G114" i="14"/>
  <c r="H114" i="14"/>
  <c r="I114" i="14"/>
  <c r="J114" i="14"/>
  <c r="K114" i="14"/>
  <c r="L114" i="14"/>
  <c r="M114" i="14"/>
  <c r="N114" i="14"/>
  <c r="AC114" i="14" s="1"/>
  <c r="O114" i="14"/>
  <c r="P114" i="14"/>
  <c r="Q114" i="14"/>
  <c r="R114" i="14"/>
  <c r="S114" i="14"/>
  <c r="T114" i="14"/>
  <c r="U114" i="14"/>
  <c r="V114" i="14"/>
  <c r="W114" i="14"/>
  <c r="X114" i="14"/>
  <c r="Y114" i="14"/>
  <c r="Z114" i="14"/>
  <c r="AA114" i="14"/>
  <c r="AB114" i="14"/>
  <c r="C121" i="14"/>
  <c r="D121" i="14"/>
  <c r="E121" i="14"/>
  <c r="F121" i="14"/>
  <c r="G121" i="14"/>
  <c r="H121" i="14"/>
  <c r="I121" i="14"/>
  <c r="R121" i="14"/>
  <c r="S121" i="14"/>
  <c r="T121" i="14"/>
  <c r="U121" i="14"/>
  <c r="V121" i="14"/>
  <c r="W121" i="14"/>
  <c r="Z121" i="14"/>
  <c r="AA121" i="14"/>
  <c r="AN4" i="5"/>
  <c r="AH87" i="7" l="1"/>
  <c r="AK60" i="7"/>
  <c r="AK81" i="7" s="1"/>
  <c r="AK17" i="7"/>
  <c r="AJ69" i="7"/>
  <c r="AJ86" i="7" s="1"/>
  <c r="AK31" i="7"/>
  <c r="AK35" i="7" s="1"/>
  <c r="AI45" i="7"/>
  <c r="AI49" i="7" s="1"/>
  <c r="AK21" i="7"/>
  <c r="AL7" i="7"/>
  <c r="AL14" i="7" s="1"/>
  <c r="F105" i="7"/>
  <c r="G105" i="7" s="1"/>
  <c r="E103" i="7"/>
  <c r="CK58" i="5"/>
  <c r="AZ13" i="11"/>
  <c r="AZ14" i="11" s="1"/>
  <c r="BA14" i="11" s="1"/>
  <c r="BB14" i="11" s="1"/>
  <c r="BC14" i="11" s="1"/>
  <c r="BD14" i="11" s="1"/>
  <c r="BE10" i="11"/>
  <c r="BE14" i="11" s="1"/>
  <c r="AL66" i="7"/>
  <c r="AL85" i="7" s="1"/>
  <c r="AM24" i="7"/>
  <c r="AM28" i="7" s="1"/>
  <c r="AM66" i="7" s="1"/>
  <c r="AM85" i="7" s="1"/>
  <c r="AM38" i="7"/>
  <c r="AM42" i="7" s="1"/>
  <c r="AL72" i="7"/>
  <c r="AX19" i="7"/>
  <c r="AY19" i="7" s="1"/>
  <c r="AO20" i="7"/>
  <c r="AN18" i="7"/>
  <c r="H307" i="7"/>
  <c r="I307" i="7"/>
  <c r="Q307" i="7"/>
  <c r="AW4" i="5" s="1"/>
  <c r="AW6" i="5" s="1"/>
  <c r="O307" i="7"/>
  <c r="AM287" i="7"/>
  <c r="AL244" i="7"/>
  <c r="BU81" i="5" s="1"/>
  <c r="BV81" i="5" s="1"/>
  <c r="D81" i="16" s="1"/>
  <c r="E81" i="16" s="1"/>
  <c r="AH142" i="7"/>
  <c r="AI137" i="7" s="1"/>
  <c r="AH158" i="7"/>
  <c r="U307" i="7"/>
  <c r="BA4" i="5" s="1"/>
  <c r="N118" i="7"/>
  <c r="R122" i="7"/>
  <c r="T125" i="7" s="1"/>
  <c r="T307" i="7" s="1"/>
  <c r="AZ4" i="5" s="1"/>
  <c r="V122" i="7"/>
  <c r="G126" i="7"/>
  <c r="H121" i="7" s="1"/>
  <c r="H126" i="7" s="1"/>
  <c r="I121" i="7" s="1"/>
  <c r="R307" i="7"/>
  <c r="AX4" i="5" s="1"/>
  <c r="V307" i="7"/>
  <c r="BB4" i="5" s="1"/>
  <c r="W307" i="7"/>
  <c r="BC4" i="5" s="1"/>
  <c r="H105" i="7"/>
  <c r="I105" i="7" s="1"/>
  <c r="G7" i="14"/>
  <c r="I52" i="14"/>
  <c r="H51" i="14"/>
  <c r="I51" i="14" s="1"/>
  <c r="J51" i="14" s="1"/>
  <c r="K51" i="14" s="1"/>
  <c r="L51" i="14" s="1"/>
  <c r="M51" i="14" s="1"/>
  <c r="N51" i="14" s="1"/>
  <c r="O51" i="14" s="1"/>
  <c r="P51" i="14" s="1"/>
  <c r="Q51" i="14" s="1"/>
  <c r="R51" i="14" s="1"/>
  <c r="S51" i="14" s="1"/>
  <c r="J54" i="14"/>
  <c r="N74" i="14"/>
  <c r="O49" i="14"/>
  <c r="Q47" i="14"/>
  <c r="R47" i="14" s="1"/>
  <c r="S47" i="14" s="1"/>
  <c r="T47" i="14" s="1"/>
  <c r="U47" i="14" s="1"/>
  <c r="V47" i="14" s="1"/>
  <c r="W47" i="14" s="1"/>
  <c r="X47" i="14" s="1"/>
  <c r="Y47" i="14" s="1"/>
  <c r="Z47" i="14" s="1"/>
  <c r="AA47" i="14" s="1"/>
  <c r="AB47" i="14" s="1"/>
  <c r="R54" i="14"/>
  <c r="D37" i="14"/>
  <c r="E9" i="14"/>
  <c r="E74" i="14"/>
  <c r="E11" i="14"/>
  <c r="Y73" i="14"/>
  <c r="X73" i="14"/>
  <c r="Z73" i="14"/>
  <c r="AA73" i="14"/>
  <c r="T73" i="14"/>
  <c r="U73" i="14"/>
  <c r="V73" i="14"/>
  <c r="W73" i="14"/>
  <c r="AB73" i="14"/>
  <c r="L75" i="14"/>
  <c r="M50" i="14"/>
  <c r="R107" i="14"/>
  <c r="I73" i="14"/>
  <c r="G73" i="14"/>
  <c r="H73" i="14"/>
  <c r="J73" i="14"/>
  <c r="C73" i="14"/>
  <c r="D73" i="14"/>
  <c r="E73" i="14"/>
  <c r="L73" i="14"/>
  <c r="M73" i="14"/>
  <c r="P107" i="14"/>
  <c r="G75" i="14"/>
  <c r="O107" i="14"/>
  <c r="I86" i="14"/>
  <c r="Y86" i="14"/>
  <c r="J93" i="14"/>
  <c r="Z93" i="14"/>
  <c r="D86" i="14"/>
  <c r="U86" i="14"/>
  <c r="E86" i="14"/>
  <c r="V86" i="14"/>
  <c r="L93" i="14"/>
  <c r="F86" i="14"/>
  <c r="W86" i="14"/>
  <c r="M93" i="14"/>
  <c r="X86" i="14"/>
  <c r="D93" i="14"/>
  <c r="AC93" i="14" s="1"/>
  <c r="W93" i="14"/>
  <c r="Z86" i="14"/>
  <c r="E93" i="14"/>
  <c r="X93" i="14"/>
  <c r="F64" i="14"/>
  <c r="C86" i="14"/>
  <c r="AA86" i="14"/>
  <c r="F93" i="14"/>
  <c r="Y93" i="14"/>
  <c r="G86" i="14"/>
  <c r="AB86" i="14"/>
  <c r="G93" i="14"/>
  <c r="AA93" i="14"/>
  <c r="H86" i="14"/>
  <c r="H93" i="14"/>
  <c r="AB93" i="14"/>
  <c r="F65" i="14"/>
  <c r="C77" i="14" s="1"/>
  <c r="J86" i="14"/>
  <c r="I93" i="14"/>
  <c r="S93" i="14"/>
  <c r="T93" i="14"/>
  <c r="N107" i="14"/>
  <c r="U93" i="14"/>
  <c r="F73" i="14"/>
  <c r="E35" i="14"/>
  <c r="F5" i="14"/>
  <c r="M74" i="14"/>
  <c r="D74" i="14"/>
  <c r="L74" i="14"/>
  <c r="R73" i="14"/>
  <c r="J45" i="14"/>
  <c r="I72" i="14"/>
  <c r="J107" i="14"/>
  <c r="Z107" i="14"/>
  <c r="E107" i="14"/>
  <c r="V107" i="14"/>
  <c r="F107" i="14"/>
  <c r="W107" i="14"/>
  <c r="F23" i="14"/>
  <c r="S107" i="14"/>
  <c r="F24" i="14"/>
  <c r="C37" i="14" s="1"/>
  <c r="T107" i="14"/>
  <c r="U107" i="14"/>
  <c r="F25" i="14"/>
  <c r="C38" i="14" s="1"/>
  <c r="C107" i="14"/>
  <c r="X107" i="14"/>
  <c r="D107" i="14"/>
  <c r="Y107" i="14"/>
  <c r="G107" i="14"/>
  <c r="AA107" i="14"/>
  <c r="F26" i="14"/>
  <c r="Q73" i="14"/>
  <c r="D15" i="14"/>
  <c r="Q107" i="14"/>
  <c r="P73" i="14"/>
  <c r="O73" i="14"/>
  <c r="N73" i="14"/>
  <c r="F59" i="14"/>
  <c r="G72" i="14" s="1"/>
  <c r="V93" i="14"/>
  <c r="K73" i="14"/>
  <c r="F58" i="14"/>
  <c r="C72" i="14" s="1"/>
  <c r="L107" i="14"/>
  <c r="R93" i="14"/>
  <c r="T86" i="14"/>
  <c r="K74" i="14"/>
  <c r="L121" i="14"/>
  <c r="AB121" i="14"/>
  <c r="P121" i="14"/>
  <c r="Q121" i="14"/>
  <c r="J121" i="14"/>
  <c r="K121" i="14"/>
  <c r="M121" i="14"/>
  <c r="M64" i="14"/>
  <c r="D76" i="14" s="1"/>
  <c r="D118" i="14" s="1"/>
  <c r="N121" i="14"/>
  <c r="O121" i="14"/>
  <c r="X121" i="14"/>
  <c r="Y121" i="14"/>
  <c r="AC121" i="14" s="1"/>
  <c r="F72" i="14"/>
  <c r="D53" i="14"/>
  <c r="G34" i="14"/>
  <c r="F13" i="14"/>
  <c r="E39" i="14"/>
  <c r="D39" i="14"/>
  <c r="C39" i="14"/>
  <c r="F34" i="14"/>
  <c r="D35" i="14"/>
  <c r="F63" i="14"/>
  <c r="H3" i="14"/>
  <c r="K100" i="14"/>
  <c r="AC100" i="14" s="1"/>
  <c r="AA100" i="14"/>
  <c r="F21" i="14"/>
  <c r="S100" i="14"/>
  <c r="R100" i="14"/>
  <c r="AI78" i="7" l="1"/>
  <c r="AJ45" i="7"/>
  <c r="AJ49" i="7" s="1"/>
  <c r="AK69" i="7"/>
  <c r="AK86" i="7" s="1"/>
  <c r="AL31" i="7"/>
  <c r="AL35" i="7" s="1"/>
  <c r="AL69" i="7" s="1"/>
  <c r="AL86" i="7" s="1"/>
  <c r="AZ19" i="7"/>
  <c r="AL17" i="7"/>
  <c r="AL21" i="7"/>
  <c r="AL60" i="7"/>
  <c r="AL81" i="7" s="1"/>
  <c r="AM7" i="7"/>
  <c r="AM14" i="7" s="1"/>
  <c r="P80" i="16"/>
  <c r="AM31" i="7"/>
  <c r="X307" i="7"/>
  <c r="BD4" i="5" s="1"/>
  <c r="BD6" i="5" s="1"/>
  <c r="AY6" i="5"/>
  <c r="BC6" i="5"/>
  <c r="BB6" i="5"/>
  <c r="AZ6" i="5"/>
  <c r="AX6" i="5"/>
  <c r="AN38" i="7"/>
  <c r="AM72" i="7"/>
  <c r="AN24" i="7"/>
  <c r="AN28" i="7" s="1"/>
  <c r="AN66" i="7" s="1"/>
  <c r="AN85" i="7" s="1"/>
  <c r="AP20" i="7"/>
  <c r="AO18" i="7"/>
  <c r="AN287" i="7"/>
  <c r="AM244" i="7"/>
  <c r="BY81" i="5" s="1"/>
  <c r="AI142" i="7"/>
  <c r="AJ137" i="7" s="1"/>
  <c r="AI158" i="7"/>
  <c r="I126" i="7"/>
  <c r="J121" i="7" s="1"/>
  <c r="I152" i="7"/>
  <c r="J105" i="7"/>
  <c r="K105" i="7" s="1"/>
  <c r="L105" i="7" s="1"/>
  <c r="M105" i="7" s="1"/>
  <c r="O105" i="7" s="1"/>
  <c r="G78" i="14"/>
  <c r="C78" i="14"/>
  <c r="F78" i="14"/>
  <c r="I78" i="14"/>
  <c r="K45" i="14"/>
  <c r="J72" i="14"/>
  <c r="C75" i="14"/>
  <c r="C90" i="14" s="1"/>
  <c r="C92" i="14" s="1"/>
  <c r="F75" i="14"/>
  <c r="D75" i="14"/>
  <c r="J75" i="14"/>
  <c r="K75" i="14"/>
  <c r="AC107" i="14"/>
  <c r="F76" i="14"/>
  <c r="F118" i="14" s="1"/>
  <c r="H75" i="14"/>
  <c r="C76" i="14"/>
  <c r="C118" i="14" s="1"/>
  <c r="C120" i="14" s="1"/>
  <c r="D120" i="14" s="1"/>
  <c r="E120" i="14" s="1"/>
  <c r="F120" i="14" s="1"/>
  <c r="G120" i="14" s="1"/>
  <c r="H120" i="14" s="1"/>
  <c r="G13" i="14"/>
  <c r="F39" i="14"/>
  <c r="C36" i="14"/>
  <c r="D36" i="14"/>
  <c r="E36" i="14"/>
  <c r="D38" i="14"/>
  <c r="E75" i="14"/>
  <c r="E15" i="14"/>
  <c r="D40" i="14"/>
  <c r="D111" i="14" s="1"/>
  <c r="D113" i="14" s="1"/>
  <c r="G76" i="14"/>
  <c r="G118" i="14" s="1"/>
  <c r="H76" i="14"/>
  <c r="H118" i="14" s="1"/>
  <c r="AC86" i="14"/>
  <c r="H7" i="14"/>
  <c r="G36" i="14"/>
  <c r="I3" i="14"/>
  <c r="H34" i="14"/>
  <c r="E72" i="14"/>
  <c r="D72" i="14"/>
  <c r="H72" i="14"/>
  <c r="O74" i="14"/>
  <c r="P49" i="14"/>
  <c r="T51" i="14"/>
  <c r="U51" i="14" s="1"/>
  <c r="V51" i="14" s="1"/>
  <c r="W51" i="14" s="1"/>
  <c r="X51" i="14" s="1"/>
  <c r="Y51" i="14" s="1"/>
  <c r="Z51" i="14" s="1"/>
  <c r="AA51" i="14" s="1"/>
  <c r="AB51" i="14" s="1"/>
  <c r="F35" i="14"/>
  <c r="G5" i="14"/>
  <c r="E76" i="14"/>
  <c r="E118" i="14" s="1"/>
  <c r="F11" i="14"/>
  <c r="E38" i="14"/>
  <c r="I75" i="14"/>
  <c r="J52" i="14"/>
  <c r="I76" i="14"/>
  <c r="I118" i="14" s="1"/>
  <c r="E53" i="14"/>
  <c r="D77" i="14"/>
  <c r="D34" i="14"/>
  <c r="E34" i="14"/>
  <c r="C34" i="14"/>
  <c r="M75" i="14"/>
  <c r="N50" i="14"/>
  <c r="E37" i="14"/>
  <c r="F9" i="14"/>
  <c r="F36" i="14"/>
  <c r="AI87" i="7" l="1"/>
  <c r="AJ78" i="7"/>
  <c r="AK45" i="7"/>
  <c r="AK49" i="7" s="1"/>
  <c r="AN7" i="7"/>
  <c r="AN14" i="7" s="1"/>
  <c r="AM21" i="7"/>
  <c r="AM60" i="7"/>
  <c r="AM81" i="7" s="1"/>
  <c r="AM17" i="7"/>
  <c r="BA19" i="7"/>
  <c r="AM35" i="7"/>
  <c r="AM69" i="7" s="1"/>
  <c r="AM86" i="7" s="1"/>
  <c r="AN39" i="7"/>
  <c r="BA6" i="5"/>
  <c r="AO24" i="7"/>
  <c r="AO28" i="7" s="1"/>
  <c r="AO66" i="7" s="1"/>
  <c r="AO85" i="7" s="1"/>
  <c r="AQ20" i="7"/>
  <c r="AP18" i="7"/>
  <c r="AO287" i="7"/>
  <c r="AN244" i="7"/>
  <c r="BZ81" i="5" s="1"/>
  <c r="AJ142" i="7"/>
  <c r="AK137" i="7" s="1"/>
  <c r="AJ158" i="7"/>
  <c r="J126" i="7"/>
  <c r="K121" i="7" s="1"/>
  <c r="J152" i="7"/>
  <c r="P105" i="7"/>
  <c r="R105" i="7" s="1"/>
  <c r="S105" i="7" s="1"/>
  <c r="T105" i="7" s="1"/>
  <c r="U105" i="7" s="1"/>
  <c r="V105" i="7" s="1"/>
  <c r="H5" i="14"/>
  <c r="G35" i="14"/>
  <c r="C41" i="14"/>
  <c r="C97" i="14"/>
  <c r="C99" i="14" s="1"/>
  <c r="C83" i="14"/>
  <c r="C85" i="14" s="1"/>
  <c r="C104" i="14"/>
  <c r="C106" i="14" s="1"/>
  <c r="D106" i="14" s="1"/>
  <c r="E106" i="14" s="1"/>
  <c r="F15" i="14"/>
  <c r="E40" i="14"/>
  <c r="E111" i="14" s="1"/>
  <c r="E113" i="14" s="1"/>
  <c r="E83" i="14"/>
  <c r="E41" i="14"/>
  <c r="E97" i="14"/>
  <c r="E104" i="14"/>
  <c r="D41" i="14"/>
  <c r="D97" i="14"/>
  <c r="D104" i="14"/>
  <c r="D83" i="14"/>
  <c r="P74" i="14"/>
  <c r="Q49" i="14"/>
  <c r="F53" i="14"/>
  <c r="E77" i="14"/>
  <c r="H78" i="14"/>
  <c r="J78" i="14"/>
  <c r="K52" i="14"/>
  <c r="J76" i="14"/>
  <c r="J118" i="14" s="1"/>
  <c r="D90" i="14"/>
  <c r="D92" i="14" s="1"/>
  <c r="E92" i="14" s="1"/>
  <c r="D78" i="14"/>
  <c r="L45" i="14"/>
  <c r="K72" i="14"/>
  <c r="E90" i="14"/>
  <c r="E78" i="14"/>
  <c r="H13" i="14"/>
  <c r="G39" i="14"/>
  <c r="I120" i="14"/>
  <c r="J3" i="14"/>
  <c r="I34" i="14"/>
  <c r="H36" i="14"/>
  <c r="I7" i="14"/>
  <c r="F37" i="14"/>
  <c r="F97" i="14" s="1"/>
  <c r="G9" i="14"/>
  <c r="F38" i="14"/>
  <c r="F83" i="14" s="1"/>
  <c r="G11" i="14"/>
  <c r="N75" i="14"/>
  <c r="O50" i="14"/>
  <c r="AJ87" i="7" l="1"/>
  <c r="AL45" i="7"/>
  <c r="AL49" i="7" s="1"/>
  <c r="AK78" i="7"/>
  <c r="AN60" i="7"/>
  <c r="AN17" i="7"/>
  <c r="AN21" i="7"/>
  <c r="AO7" i="7"/>
  <c r="AO14" i="7" s="1"/>
  <c r="BB19" i="7"/>
  <c r="Z105" i="7"/>
  <c r="AA105" i="7" s="1"/>
  <c r="AB105" i="7" s="1"/>
  <c r="AC105" i="7" s="1"/>
  <c r="AD105" i="7" s="1"/>
  <c r="W105" i="7"/>
  <c r="AN42" i="7"/>
  <c r="AO38" i="7" s="1"/>
  <c r="AO42" i="7" s="1"/>
  <c r="AP38" i="7" s="1"/>
  <c r="AP42" i="7" s="1"/>
  <c r="AK105" i="7"/>
  <c r="AL105" i="7" s="1"/>
  <c r="AM105" i="7" s="1"/>
  <c r="AN105" i="7" s="1"/>
  <c r="AO105" i="7" s="1"/>
  <c r="AP105" i="7" s="1"/>
  <c r="AQ105" i="7" s="1"/>
  <c r="AR105" i="7" s="1"/>
  <c r="AS105" i="7" s="1"/>
  <c r="AT105" i="7" s="1"/>
  <c r="AU105" i="7" s="1"/>
  <c r="AV105" i="7" s="1"/>
  <c r="AW105" i="7" s="1"/>
  <c r="AX105" i="7" s="1"/>
  <c r="AY105" i="7" s="1"/>
  <c r="AZ105" i="7" s="1"/>
  <c r="BA105" i="7" s="1"/>
  <c r="BB105" i="7" s="1"/>
  <c r="BC105" i="7" s="1"/>
  <c r="BD105" i="7" s="1"/>
  <c r="BE105" i="7" s="1"/>
  <c r="BF105" i="7" s="1"/>
  <c r="BG105" i="7" s="1"/>
  <c r="BH105" i="7" s="1"/>
  <c r="BI105" i="7" s="1"/>
  <c r="BJ105" i="7" s="1"/>
  <c r="AN31" i="7"/>
  <c r="AN35" i="7" s="1"/>
  <c r="AN69" i="7" s="1"/>
  <c r="AN86" i="7" s="1"/>
  <c r="AP24" i="7"/>
  <c r="AP28" i="7" s="1"/>
  <c r="AP66" i="7" s="1"/>
  <c r="AP85" i="7" s="1"/>
  <c r="AR20" i="7"/>
  <c r="AQ18" i="7"/>
  <c r="AP287" i="7"/>
  <c r="AO244" i="7"/>
  <c r="CA81" i="5" s="1"/>
  <c r="AK142" i="7"/>
  <c r="AL137" i="7" s="1"/>
  <c r="AK158" i="7"/>
  <c r="K126" i="7"/>
  <c r="L121" i="7" s="1"/>
  <c r="K152" i="7"/>
  <c r="K76" i="14"/>
  <c r="K118" i="14" s="1"/>
  <c r="L52" i="14"/>
  <c r="K3" i="14"/>
  <c r="J34" i="14"/>
  <c r="J120" i="14"/>
  <c r="K120" i="14" s="1"/>
  <c r="G15" i="14"/>
  <c r="F40" i="14"/>
  <c r="F111" i="14" s="1"/>
  <c r="F113" i="14" s="1"/>
  <c r="F106" i="14"/>
  <c r="D85" i="14"/>
  <c r="E85" i="14" s="1"/>
  <c r="F85" i="14" s="1"/>
  <c r="O75" i="14"/>
  <c r="P50" i="14"/>
  <c r="D99" i="14"/>
  <c r="E99" i="14" s="1"/>
  <c r="F99" i="14" s="1"/>
  <c r="F77" i="14"/>
  <c r="F90" i="14" s="1"/>
  <c r="F92" i="14" s="1"/>
  <c r="G53" i="14"/>
  <c r="F41" i="14"/>
  <c r="Q74" i="14"/>
  <c r="R49" i="14"/>
  <c r="J7" i="14"/>
  <c r="I36" i="14"/>
  <c r="H11" i="14"/>
  <c r="G38" i="14"/>
  <c r="I13" i="14"/>
  <c r="H39" i="14"/>
  <c r="G104" i="14"/>
  <c r="G83" i="14"/>
  <c r="G41" i="14"/>
  <c r="I5" i="14"/>
  <c r="H35" i="14"/>
  <c r="F104" i="14"/>
  <c r="G37" i="14"/>
  <c r="G97" i="14" s="1"/>
  <c r="H9" i="14"/>
  <c r="K78" i="14"/>
  <c r="M45" i="14"/>
  <c r="L72" i="14"/>
  <c r="AK87" i="7" l="1"/>
  <c r="AM45" i="7"/>
  <c r="AM49" i="7" s="1"/>
  <c r="AL78" i="7"/>
  <c r="AL87" i="7" s="1"/>
  <c r="AO60" i="7"/>
  <c r="AO17" i="7"/>
  <c r="AO21" i="7"/>
  <c r="AP7" i="7"/>
  <c r="AP14" i="7" s="1"/>
  <c r="AP17" i="7" s="1"/>
  <c r="BC19" i="7"/>
  <c r="AD103" i="7"/>
  <c r="AE105" i="7"/>
  <c r="AF105" i="7" s="1"/>
  <c r="AG105" i="7" s="1"/>
  <c r="AH105" i="7" s="1"/>
  <c r="AN72" i="7"/>
  <c r="AN81" i="7" s="1"/>
  <c r="AO72" i="7"/>
  <c r="AO31" i="7"/>
  <c r="AO35" i="7" s="1"/>
  <c r="AO69" i="7" s="1"/>
  <c r="AO86" i="7" s="1"/>
  <c r="AQ38" i="7"/>
  <c r="AQ42" i="7" s="1"/>
  <c r="AP72" i="7"/>
  <c r="AQ24" i="7"/>
  <c r="AQ28" i="7" s="1"/>
  <c r="AQ66" i="7" s="1"/>
  <c r="AQ85" i="7" s="1"/>
  <c r="AS20" i="7"/>
  <c r="AR18" i="7"/>
  <c r="AQ287" i="7"/>
  <c r="AP244" i="7"/>
  <c r="CB81" i="5" s="1"/>
  <c r="AL142" i="7"/>
  <c r="AM137" i="7" s="1"/>
  <c r="AL158" i="7"/>
  <c r="L126" i="7"/>
  <c r="M121" i="7" s="1"/>
  <c r="L152" i="7"/>
  <c r="G40" i="14"/>
  <c r="G111" i="14" s="1"/>
  <c r="G113" i="14" s="1"/>
  <c r="H15" i="14"/>
  <c r="L78" i="14"/>
  <c r="N45" i="14"/>
  <c r="M72" i="14"/>
  <c r="R74" i="14"/>
  <c r="S49" i="14"/>
  <c r="I9" i="14"/>
  <c r="H37" i="14"/>
  <c r="H41" i="14" s="1"/>
  <c r="I35" i="14"/>
  <c r="J5" i="14"/>
  <c r="G85" i="14"/>
  <c r="G106" i="14"/>
  <c r="J13" i="14"/>
  <c r="I39" i="14"/>
  <c r="L120" i="14"/>
  <c r="I11" i="14"/>
  <c r="H38" i="14"/>
  <c r="L3" i="14"/>
  <c r="K34" i="14"/>
  <c r="J36" i="14"/>
  <c r="K7" i="14"/>
  <c r="M52" i="14"/>
  <c r="L76" i="14"/>
  <c r="L118" i="14" s="1"/>
  <c r="H53" i="14"/>
  <c r="G77" i="14"/>
  <c r="G90" i="14" s="1"/>
  <c r="G92" i="14" s="1"/>
  <c r="G99" i="14"/>
  <c r="Q50" i="14"/>
  <c r="P75" i="14"/>
  <c r="AO81" i="7" l="1"/>
  <c r="AN45" i="7"/>
  <c r="AN49" i="7" s="1"/>
  <c r="AM78" i="7"/>
  <c r="AP60" i="7"/>
  <c r="AP81" i="7" s="1"/>
  <c r="AP21" i="7"/>
  <c r="AQ7" i="7"/>
  <c r="AQ14" i="7" s="1"/>
  <c r="BD19" i="7"/>
  <c r="AP31" i="7"/>
  <c r="AP35" i="7" s="1"/>
  <c r="AP69" i="7" s="1"/>
  <c r="AP86" i="7" s="1"/>
  <c r="AR38" i="7"/>
  <c r="AR42" i="7" s="1"/>
  <c r="AQ72" i="7"/>
  <c r="AR24" i="7"/>
  <c r="AR28" i="7" s="1"/>
  <c r="AR66" i="7" s="1"/>
  <c r="AR85" i="7" s="1"/>
  <c r="AT20" i="7"/>
  <c r="AS18" i="7"/>
  <c r="AR287" i="7"/>
  <c r="AQ244" i="7"/>
  <c r="CC81" i="5" s="1"/>
  <c r="AM142" i="7"/>
  <c r="AN137" i="7" s="1"/>
  <c r="AM158" i="7"/>
  <c r="M126" i="7"/>
  <c r="N121" i="7" s="1"/>
  <c r="M152" i="7"/>
  <c r="M3" i="14"/>
  <c r="L34" i="14"/>
  <c r="S74" i="14"/>
  <c r="T49" i="14"/>
  <c r="J11" i="14"/>
  <c r="I38" i="14"/>
  <c r="M120" i="14"/>
  <c r="H106" i="14"/>
  <c r="H85" i="14"/>
  <c r="H99" i="14"/>
  <c r="J35" i="14"/>
  <c r="K5" i="14"/>
  <c r="J9" i="14"/>
  <c r="I37" i="14"/>
  <c r="I41" i="14" s="1"/>
  <c r="M78" i="14"/>
  <c r="N72" i="14"/>
  <c r="O45" i="14"/>
  <c r="K13" i="14"/>
  <c r="J39" i="14"/>
  <c r="R50" i="14"/>
  <c r="Q75" i="14"/>
  <c r="I53" i="14"/>
  <c r="H77" i="14"/>
  <c r="H90" i="14" s="1"/>
  <c r="H92" i="14" s="1"/>
  <c r="H97" i="14"/>
  <c r="H40" i="14"/>
  <c r="H111" i="14" s="1"/>
  <c r="H113" i="14" s="1"/>
  <c r="I15" i="14"/>
  <c r="H83" i="14"/>
  <c r="N52" i="14"/>
  <c r="M76" i="14"/>
  <c r="M118" i="14" s="1"/>
  <c r="H104" i="14"/>
  <c r="L7" i="14"/>
  <c r="K36" i="14"/>
  <c r="AM87" i="7" l="1"/>
  <c r="AO45" i="7"/>
  <c r="AO49" i="7" s="1"/>
  <c r="AN78" i="7"/>
  <c r="AN87" i="7" s="1"/>
  <c r="AQ60" i="7"/>
  <c r="AQ81" i="7" s="1"/>
  <c r="AQ21" i="7"/>
  <c r="AR7" i="7"/>
  <c r="AR14" i="7" s="1"/>
  <c r="AQ17" i="7"/>
  <c r="BE19" i="7"/>
  <c r="AQ31" i="7"/>
  <c r="AQ35" i="7" s="1"/>
  <c r="AQ69" i="7" s="1"/>
  <c r="AQ86" i="7" s="1"/>
  <c r="AS39" i="7"/>
  <c r="AS38" i="7"/>
  <c r="AR72" i="7"/>
  <c r="AS24" i="7"/>
  <c r="AS28" i="7" s="1"/>
  <c r="AS66" i="7" s="1"/>
  <c r="AS85" i="7" s="1"/>
  <c r="AU20" i="7"/>
  <c r="AT18" i="7"/>
  <c r="AS287" i="7"/>
  <c r="AR244" i="7"/>
  <c r="CD81" i="5" s="1"/>
  <c r="AN142" i="7"/>
  <c r="AO137" i="7" s="1"/>
  <c r="AN158" i="7"/>
  <c r="N126" i="7"/>
  <c r="O121" i="7" s="1"/>
  <c r="N152" i="7"/>
  <c r="I92" i="14"/>
  <c r="I99" i="14"/>
  <c r="S50" i="14"/>
  <c r="R75" i="14"/>
  <c r="I85" i="14"/>
  <c r="K39" i="14"/>
  <c r="L13" i="14"/>
  <c r="P45" i="14"/>
  <c r="O72" i="14"/>
  <c r="N78" i="14"/>
  <c r="K11" i="14"/>
  <c r="J38" i="14"/>
  <c r="L36" i="14"/>
  <c r="M7" i="14"/>
  <c r="T74" i="14"/>
  <c r="U49" i="14"/>
  <c r="O52" i="14"/>
  <c r="N76" i="14"/>
  <c r="N118" i="14" s="1"/>
  <c r="N120" i="14" s="1"/>
  <c r="K9" i="14"/>
  <c r="J37" i="14"/>
  <c r="J83" i="14" s="1"/>
  <c r="M34" i="14"/>
  <c r="N3" i="14"/>
  <c r="I97" i="14"/>
  <c r="I40" i="14"/>
  <c r="I111" i="14" s="1"/>
  <c r="I113" i="14" s="1"/>
  <c r="J15" i="14"/>
  <c r="I83" i="14"/>
  <c r="I104" i="14"/>
  <c r="I106" i="14" s="1"/>
  <c r="K35" i="14"/>
  <c r="L5" i="14"/>
  <c r="J53" i="14"/>
  <c r="I77" i="14"/>
  <c r="I90" i="14" s="1"/>
  <c r="AP45" i="7" l="1"/>
  <c r="AP49" i="7" s="1"/>
  <c r="AO78" i="7"/>
  <c r="AR60" i="7"/>
  <c r="AR81" i="7" s="1"/>
  <c r="AR17" i="7"/>
  <c r="AR21" i="7"/>
  <c r="AS7" i="7"/>
  <c r="AS14" i="7" s="1"/>
  <c r="BF19" i="7"/>
  <c r="AR31" i="7"/>
  <c r="AR35" i="7" s="1"/>
  <c r="AR69" i="7" s="1"/>
  <c r="AR86" i="7" s="1"/>
  <c r="AZ46" i="7"/>
  <c r="BE48" i="7" s="1"/>
  <c r="AS42" i="7"/>
  <c r="AT38" i="7" s="1"/>
  <c r="AT42" i="7" s="1"/>
  <c r="AT24" i="7"/>
  <c r="AT28" i="7" s="1"/>
  <c r="AT66" i="7" s="1"/>
  <c r="AT85" i="7" s="1"/>
  <c r="AV20" i="7"/>
  <c r="AU18" i="7"/>
  <c r="AT287" i="7"/>
  <c r="AS244" i="7"/>
  <c r="CE81" i="5" s="1"/>
  <c r="AO142" i="7"/>
  <c r="AP137" i="7" s="1"/>
  <c r="AO158" i="7"/>
  <c r="O126" i="7"/>
  <c r="P121" i="7" s="1"/>
  <c r="O152" i="7"/>
  <c r="O120" i="14"/>
  <c r="K53" i="14"/>
  <c r="J77" i="14"/>
  <c r="J90" i="14" s="1"/>
  <c r="J85" i="14"/>
  <c r="M5" i="14"/>
  <c r="L35" i="14"/>
  <c r="V49" i="14"/>
  <c r="U74" i="14"/>
  <c r="T50" i="14"/>
  <c r="S75" i="14"/>
  <c r="L11" i="14"/>
  <c r="K38" i="14"/>
  <c r="N34" i="14"/>
  <c r="O3" i="14"/>
  <c r="O78" i="14"/>
  <c r="J97" i="14"/>
  <c r="J99" i="14" s="1"/>
  <c r="L9" i="14"/>
  <c r="K37" i="14"/>
  <c r="K41" i="14" s="1"/>
  <c r="P72" i="14"/>
  <c r="Q45" i="14"/>
  <c r="J41" i="14"/>
  <c r="J104" i="14"/>
  <c r="J106" i="14" s="1"/>
  <c r="O76" i="14"/>
  <c r="O118" i="14" s="1"/>
  <c r="P52" i="14"/>
  <c r="L39" i="14"/>
  <c r="M13" i="14"/>
  <c r="M36" i="14"/>
  <c r="N7" i="14"/>
  <c r="J92" i="14"/>
  <c r="J40" i="14"/>
  <c r="J111" i="14" s="1"/>
  <c r="J113" i="14" s="1"/>
  <c r="K15" i="14"/>
  <c r="AO87" i="7" l="1"/>
  <c r="AQ45" i="7"/>
  <c r="AQ49" i="7" s="1"/>
  <c r="AP78" i="7"/>
  <c r="AS60" i="7"/>
  <c r="AS21" i="7"/>
  <c r="AS17" i="7"/>
  <c r="AT7" i="7"/>
  <c r="AT14" i="7" s="1"/>
  <c r="AT17" i="7" s="1"/>
  <c r="BG19" i="7"/>
  <c r="BF304" i="7"/>
  <c r="CU39" i="5" s="1"/>
  <c r="BD304" i="7"/>
  <c r="CS39" i="5" s="1"/>
  <c r="CS42" i="5" s="1"/>
  <c r="CS57" i="5" s="1"/>
  <c r="BE304" i="7"/>
  <c r="CT39" i="5" s="1"/>
  <c r="CT42" i="5" s="1"/>
  <c r="CT57" i="5" s="1"/>
  <c r="AS31" i="7"/>
  <c r="AS35" i="7" s="1"/>
  <c r="AS69" i="7" s="1"/>
  <c r="AS86" i="7" s="1"/>
  <c r="AS72" i="7"/>
  <c r="AS81" i="7" s="1"/>
  <c r="CV39" i="5"/>
  <c r="CV42" i="5" s="1"/>
  <c r="CV57" i="5" s="1"/>
  <c r="AU38" i="7"/>
  <c r="AU42" i="7" s="1"/>
  <c r="AT72" i="7"/>
  <c r="AU24" i="7"/>
  <c r="AU28" i="7" s="1"/>
  <c r="AU66" i="7" s="1"/>
  <c r="AU85" i="7" s="1"/>
  <c r="AW20" i="7"/>
  <c r="AV18" i="7"/>
  <c r="AU287" i="7"/>
  <c r="AT244" i="7"/>
  <c r="CF81" i="5" s="1"/>
  <c r="AP142" i="7"/>
  <c r="AQ137" i="7" s="1"/>
  <c r="AP158" i="7"/>
  <c r="P126" i="7"/>
  <c r="P152" i="7"/>
  <c r="U50" i="14"/>
  <c r="T75" i="14"/>
  <c r="W49" i="14"/>
  <c r="V74" i="14"/>
  <c r="M9" i="14"/>
  <c r="L37" i="14"/>
  <c r="L97" i="14" s="1"/>
  <c r="Q72" i="14"/>
  <c r="R45" i="14"/>
  <c r="P78" i="14"/>
  <c r="K104" i="14"/>
  <c r="K106" i="14" s="1"/>
  <c r="K40" i="14"/>
  <c r="K111" i="14" s="1"/>
  <c r="K113" i="14" s="1"/>
  <c r="L15" i="14"/>
  <c r="K97" i="14"/>
  <c r="K99" i="14" s="1"/>
  <c r="K83" i="14"/>
  <c r="K92" i="14"/>
  <c r="N36" i="14"/>
  <c r="O7" i="14"/>
  <c r="N5" i="14"/>
  <c r="M35" i="14"/>
  <c r="K85" i="14"/>
  <c r="M39" i="14"/>
  <c r="N13" i="14"/>
  <c r="O34" i="14"/>
  <c r="P3" i="14"/>
  <c r="L53" i="14"/>
  <c r="K77" i="14"/>
  <c r="K90" i="14" s="1"/>
  <c r="Q52" i="14"/>
  <c r="P76" i="14"/>
  <c r="P118" i="14" s="1"/>
  <c r="P120" i="14"/>
  <c r="L38" i="14"/>
  <c r="L41" i="14" s="1"/>
  <c r="M11" i="14"/>
  <c r="AP87" i="7" l="1"/>
  <c r="AT60" i="7"/>
  <c r="AT81" i="7" s="1"/>
  <c r="AT21" i="7"/>
  <c r="AU7" i="7"/>
  <c r="AU14" i="7" s="1"/>
  <c r="AR45" i="7"/>
  <c r="AR49" i="7" s="1"/>
  <c r="AQ78" i="7"/>
  <c r="BH19" i="7"/>
  <c r="AT31" i="7"/>
  <c r="AT35" i="7" s="1"/>
  <c r="AT69" i="7" s="1"/>
  <c r="AT86" i="7" s="1"/>
  <c r="CU42" i="5"/>
  <c r="CU57" i="5" s="1"/>
  <c r="CZ39" i="5"/>
  <c r="CZ42" i="5" s="1"/>
  <c r="Q121" i="7"/>
  <c r="AV38" i="7"/>
  <c r="AV42" i="7" s="1"/>
  <c r="AU72" i="7"/>
  <c r="AV24" i="7"/>
  <c r="AV28" i="7" s="1"/>
  <c r="AV66" i="7" s="1"/>
  <c r="AV85" i="7" s="1"/>
  <c r="AX20" i="7"/>
  <c r="AW18" i="7"/>
  <c r="AV287" i="7"/>
  <c r="AU244" i="7"/>
  <c r="CG81" i="5" s="1"/>
  <c r="AQ142" i="7"/>
  <c r="AR137" i="7" s="1"/>
  <c r="AQ158" i="7"/>
  <c r="L99" i="14"/>
  <c r="P34" i="14"/>
  <c r="Q3" i="14"/>
  <c r="L40" i="14"/>
  <c r="L111" i="14" s="1"/>
  <c r="L113" i="14" s="1"/>
  <c r="M15" i="14"/>
  <c r="N39" i="14"/>
  <c r="O13" i="14"/>
  <c r="L85" i="14"/>
  <c r="M38" i="14"/>
  <c r="N11" i="14"/>
  <c r="R72" i="14"/>
  <c r="S45" i="14"/>
  <c r="O5" i="14"/>
  <c r="N35" i="14"/>
  <c r="Q78" i="14"/>
  <c r="Q120" i="14"/>
  <c r="L83" i="14"/>
  <c r="N9" i="14"/>
  <c r="M37" i="14"/>
  <c r="M83" i="14" s="1"/>
  <c r="L104" i="14"/>
  <c r="L106" i="14" s="1"/>
  <c r="X49" i="14"/>
  <c r="W74" i="14"/>
  <c r="O36" i="14"/>
  <c r="P7" i="14"/>
  <c r="U75" i="14"/>
  <c r="V50" i="14"/>
  <c r="R52" i="14"/>
  <c r="Q76" i="14"/>
  <c r="Q118" i="14" s="1"/>
  <c r="M53" i="14"/>
  <c r="L77" i="14"/>
  <c r="L90" i="14" s="1"/>
  <c r="L92" i="14" s="1"/>
  <c r="AQ87" i="7" l="1"/>
  <c r="AU60" i="7"/>
  <c r="AU81" i="7" s="1"/>
  <c r="AU17" i="7"/>
  <c r="AU21" i="7"/>
  <c r="AV7" i="7"/>
  <c r="AV14" i="7" s="1"/>
  <c r="AS45" i="7"/>
  <c r="AS49" i="7" s="1"/>
  <c r="AR78" i="7"/>
  <c r="Q126" i="7"/>
  <c r="R121" i="7" s="1"/>
  <c r="Q152" i="7"/>
  <c r="BI19" i="7"/>
  <c r="AX18" i="7"/>
  <c r="AY20" i="7"/>
  <c r="AU31" i="7"/>
  <c r="AU35" i="7" s="1"/>
  <c r="AU69" i="7" s="1"/>
  <c r="AU86" i="7" s="1"/>
  <c r="CZ57" i="5"/>
  <c r="CZ58" i="5" s="1"/>
  <c r="CZ43" i="5"/>
  <c r="AW38" i="7"/>
  <c r="AW42" i="7" s="1"/>
  <c r="AV72" i="7"/>
  <c r="AW24" i="7"/>
  <c r="AW28" i="7" s="1"/>
  <c r="AW66" i="7" s="1"/>
  <c r="AW85" i="7" s="1"/>
  <c r="AW287" i="7"/>
  <c r="AV244" i="7"/>
  <c r="CH81" i="5" s="1"/>
  <c r="AR142" i="7"/>
  <c r="AS137" i="7" s="1"/>
  <c r="AR158" i="7"/>
  <c r="N38" i="14"/>
  <c r="O11" i="14"/>
  <c r="N53" i="14"/>
  <c r="M77" i="14"/>
  <c r="M90" i="14" s="1"/>
  <c r="M92" i="14" s="1"/>
  <c r="Y49" i="14"/>
  <c r="X74" i="14"/>
  <c r="M85" i="14"/>
  <c r="O9" i="14"/>
  <c r="N37" i="14"/>
  <c r="N83" i="14" s="1"/>
  <c r="O39" i="14"/>
  <c r="P13" i="14"/>
  <c r="R120" i="14"/>
  <c r="N104" i="14"/>
  <c r="P5" i="14"/>
  <c r="O35" i="14"/>
  <c r="N15" i="14"/>
  <c r="M40" i="14"/>
  <c r="M111" i="14" s="1"/>
  <c r="M113" i="14" s="1"/>
  <c r="S52" i="14"/>
  <c r="R76" i="14"/>
  <c r="R118" i="14" s="1"/>
  <c r="S72" i="14"/>
  <c r="T45" i="14"/>
  <c r="W50" i="14"/>
  <c r="V75" i="14"/>
  <c r="R78" i="14"/>
  <c r="Q34" i="14"/>
  <c r="R3" i="14"/>
  <c r="M97" i="14"/>
  <c r="P36" i="14"/>
  <c r="Q7" i="14"/>
  <c r="M41" i="14"/>
  <c r="M104" i="14"/>
  <c r="M106" i="14" s="1"/>
  <c r="N106" i="14" s="1"/>
  <c r="M99" i="14"/>
  <c r="AR87" i="7" l="1"/>
  <c r="AW7" i="7"/>
  <c r="AW14" i="7" s="1"/>
  <c r="AX7" i="7" s="1"/>
  <c r="AX14" i="7" s="1"/>
  <c r="AV17" i="7"/>
  <c r="AV60" i="7"/>
  <c r="AV81" i="7" s="1"/>
  <c r="AV21" i="7"/>
  <c r="AT45" i="7"/>
  <c r="AT49" i="7" s="1"/>
  <c r="AS78" i="7"/>
  <c r="R152" i="7"/>
  <c r="R126" i="7"/>
  <c r="S121" i="7" s="1"/>
  <c r="BJ19" i="7"/>
  <c r="AY18" i="7"/>
  <c r="AZ20" i="7"/>
  <c r="AV31" i="7"/>
  <c r="AV35" i="7" s="1"/>
  <c r="AV69" i="7" s="1"/>
  <c r="AV86" i="7" s="1"/>
  <c r="AX38" i="7"/>
  <c r="AX42" i="7" s="1"/>
  <c r="AW72" i="7"/>
  <c r="AW17" i="7"/>
  <c r="AX24" i="7"/>
  <c r="AX28" i="7" s="1"/>
  <c r="AX287" i="7"/>
  <c r="AX244" i="7" s="1"/>
  <c r="CJ81" i="5" s="1"/>
  <c r="AW244" i="7"/>
  <c r="CI81" i="5" s="1"/>
  <c r="AS142" i="7"/>
  <c r="AT137" i="7" s="1"/>
  <c r="AS158" i="7"/>
  <c r="S120" i="14"/>
  <c r="P39" i="14"/>
  <c r="Q13" i="14"/>
  <c r="X50" i="14"/>
  <c r="W75" i="14"/>
  <c r="N99" i="14"/>
  <c r="U45" i="14"/>
  <c r="T72" i="14"/>
  <c r="O37" i="14"/>
  <c r="O104" i="14" s="1"/>
  <c r="O106" i="14" s="1"/>
  <c r="P9" i="14"/>
  <c r="S78" i="14"/>
  <c r="N85" i="14"/>
  <c r="R7" i="14"/>
  <c r="Q36" i="14"/>
  <c r="S76" i="14"/>
  <c r="S118" i="14" s="1"/>
  <c r="T52" i="14"/>
  <c r="V54" i="14"/>
  <c r="Z49" i="14"/>
  <c r="Y74" i="14"/>
  <c r="O15" i="14"/>
  <c r="N40" i="14"/>
  <c r="N111" i="14" s="1"/>
  <c r="N113" i="14" s="1"/>
  <c r="O53" i="14"/>
  <c r="N77" i="14"/>
  <c r="N90" i="14" s="1"/>
  <c r="N92" i="14" s="1"/>
  <c r="O97" i="14"/>
  <c r="O83" i="14"/>
  <c r="P11" i="14"/>
  <c r="O38" i="14"/>
  <c r="P35" i="14"/>
  <c r="Q5" i="14"/>
  <c r="N97" i="14"/>
  <c r="N41" i="14"/>
  <c r="S3" i="14"/>
  <c r="R34" i="14"/>
  <c r="AS87" i="7" l="1"/>
  <c r="AW60" i="7"/>
  <c r="AW81" i="7" s="1"/>
  <c r="AW21" i="7"/>
  <c r="AU45" i="7"/>
  <c r="AU49" i="7" s="1"/>
  <c r="AT78" i="7"/>
  <c r="S126" i="7"/>
  <c r="T121" i="7" s="1"/>
  <c r="S152" i="7"/>
  <c r="AZ18" i="7"/>
  <c r="BA20" i="7"/>
  <c r="AW31" i="7"/>
  <c r="AW35" i="7" s="1"/>
  <c r="AW69" i="7" s="1"/>
  <c r="AW86" i="7" s="1"/>
  <c r="CK81" i="5"/>
  <c r="AX72" i="7"/>
  <c r="AY38" i="7"/>
  <c r="AY42" i="7" s="1"/>
  <c r="AX66" i="7"/>
  <c r="AX85" i="7" s="1"/>
  <c r="AY24" i="7"/>
  <c r="AY28" i="7" s="1"/>
  <c r="AX60" i="7"/>
  <c r="AY7" i="7"/>
  <c r="AY14" i="7" s="1"/>
  <c r="AX17" i="7"/>
  <c r="AX21" i="7"/>
  <c r="AT142" i="7"/>
  <c r="AU137" i="7" s="1"/>
  <c r="AT158" i="7"/>
  <c r="T78" i="14"/>
  <c r="O77" i="14"/>
  <c r="O90" i="14" s="1"/>
  <c r="O92" i="14" s="1"/>
  <c r="P53" i="14"/>
  <c r="V45" i="14"/>
  <c r="U72" i="14"/>
  <c r="O99" i="14"/>
  <c r="P15" i="14"/>
  <c r="O40" i="14"/>
  <c r="O111" i="14" s="1"/>
  <c r="O113" i="14" s="1"/>
  <c r="X75" i="14"/>
  <c r="Y50" i="14"/>
  <c r="T3" i="14"/>
  <c r="S34" i="14"/>
  <c r="AA49" i="14"/>
  <c r="Z74" i="14"/>
  <c r="Q39" i="14"/>
  <c r="R13" i="14"/>
  <c r="T76" i="14"/>
  <c r="T118" i="14" s="1"/>
  <c r="U52" i="14"/>
  <c r="T120" i="14"/>
  <c r="R5" i="14"/>
  <c r="Q35" i="14"/>
  <c r="P97" i="14"/>
  <c r="P104" i="14"/>
  <c r="P106" i="14" s="1"/>
  <c r="P83" i="14"/>
  <c r="S7" i="14"/>
  <c r="R36" i="14"/>
  <c r="Q11" i="14"/>
  <c r="P38" i="14"/>
  <c r="O85" i="14"/>
  <c r="O41" i="14"/>
  <c r="Q9" i="14"/>
  <c r="P37" i="14"/>
  <c r="P41" i="14" s="1"/>
  <c r="AT87" i="7" l="1"/>
  <c r="AX81" i="7"/>
  <c r="T126" i="7"/>
  <c r="U121" i="7" s="1"/>
  <c r="T152" i="7"/>
  <c r="AV45" i="7"/>
  <c r="AV49" i="7" s="1"/>
  <c r="AU78" i="7"/>
  <c r="BA18" i="7"/>
  <c r="BB20" i="7"/>
  <c r="AX31" i="7"/>
  <c r="AX35" i="7" s="1"/>
  <c r="AY31" i="7" s="1"/>
  <c r="AZ39" i="7" s="1"/>
  <c r="AY17" i="7"/>
  <c r="AY60" i="7"/>
  <c r="AZ38" i="7"/>
  <c r="AY72" i="7"/>
  <c r="AZ24" i="7"/>
  <c r="AZ28" i="7" s="1"/>
  <c r="AY66" i="7"/>
  <c r="AY85" i="7" s="1"/>
  <c r="AY21" i="7"/>
  <c r="AZ7" i="7"/>
  <c r="AZ14" i="7" s="1"/>
  <c r="AU142" i="7"/>
  <c r="AV137" i="7" s="1"/>
  <c r="AU158" i="7"/>
  <c r="S5" i="14"/>
  <c r="R35" i="14"/>
  <c r="Q15" i="14"/>
  <c r="P40" i="14"/>
  <c r="P111" i="14" s="1"/>
  <c r="P113" i="14" s="1"/>
  <c r="P99" i="14"/>
  <c r="R39" i="14"/>
  <c r="S13" i="14"/>
  <c r="P77" i="14"/>
  <c r="P90" i="14" s="1"/>
  <c r="P92" i="14" s="1"/>
  <c r="Q53" i="14"/>
  <c r="AB49" i="14"/>
  <c r="AB74" i="14" s="1"/>
  <c r="AA74" i="14"/>
  <c r="U3" i="14"/>
  <c r="T34" i="14"/>
  <c r="T7" i="14"/>
  <c r="S36" i="14"/>
  <c r="Y75" i="14"/>
  <c r="Z50" i="14"/>
  <c r="Q97" i="14"/>
  <c r="Q104" i="14"/>
  <c r="Q106" i="14" s="1"/>
  <c r="Q83" i="14"/>
  <c r="Q41" i="14"/>
  <c r="V52" i="14"/>
  <c r="U76" i="14"/>
  <c r="U118" i="14" s="1"/>
  <c r="U120" i="14" s="1"/>
  <c r="U78" i="14"/>
  <c r="Q37" i="14"/>
  <c r="R9" i="14"/>
  <c r="W45" i="14"/>
  <c r="V72" i="14"/>
  <c r="P85" i="14"/>
  <c r="R11" i="14"/>
  <c r="Q38" i="14"/>
  <c r="U152" i="7" l="1"/>
  <c r="U126" i="7"/>
  <c r="V121" i="7" s="1"/>
  <c r="AU87" i="7"/>
  <c r="AY81" i="7"/>
  <c r="AW45" i="7"/>
  <c r="AW49" i="7" s="1"/>
  <c r="AV78" i="7"/>
  <c r="BB18" i="7"/>
  <c r="BC20" i="7"/>
  <c r="AZ42" i="7"/>
  <c r="BA38" i="7" s="1"/>
  <c r="BA42" i="7" s="1"/>
  <c r="AX69" i="7"/>
  <c r="AX86" i="7" s="1"/>
  <c r="AY35" i="7"/>
  <c r="AZ31" i="7" s="1"/>
  <c r="AZ35" i="7" s="1"/>
  <c r="BA31" i="7" s="1"/>
  <c r="BA35" i="7" s="1"/>
  <c r="AZ17" i="7"/>
  <c r="AZ60" i="7"/>
  <c r="BA24" i="7"/>
  <c r="BA28" i="7" s="1"/>
  <c r="AZ66" i="7"/>
  <c r="AZ85" i="7" s="1"/>
  <c r="AZ21" i="7"/>
  <c r="BA7" i="7"/>
  <c r="BA14" i="7" s="1"/>
  <c r="BA60" i="7" s="1"/>
  <c r="AV142" i="7"/>
  <c r="AW137" i="7" s="1"/>
  <c r="AV158" i="7"/>
  <c r="V126" i="7"/>
  <c r="V152" i="7"/>
  <c r="V76" i="14"/>
  <c r="V118" i="14" s="1"/>
  <c r="V120" i="14" s="1"/>
  <c r="W52" i="14"/>
  <c r="Q77" i="14"/>
  <c r="Q90" i="14" s="1"/>
  <c r="Q92" i="14" s="1"/>
  <c r="R53" i="14"/>
  <c r="Q99" i="14"/>
  <c r="V78" i="14"/>
  <c r="R104" i="14"/>
  <c r="R106" i="14" s="1"/>
  <c r="R83" i="14"/>
  <c r="R41" i="14"/>
  <c r="R97" i="14"/>
  <c r="R37" i="14"/>
  <c r="S9" i="14"/>
  <c r="S39" i="14"/>
  <c r="T13" i="14"/>
  <c r="Z75" i="14"/>
  <c r="AA50" i="14"/>
  <c r="S11" i="14"/>
  <c r="R38" i="14"/>
  <c r="Q85" i="14"/>
  <c r="R15" i="14"/>
  <c r="Q40" i="14"/>
  <c r="Q111" i="14" s="1"/>
  <c r="Q113" i="14" s="1"/>
  <c r="U7" i="14"/>
  <c r="T36" i="14"/>
  <c r="X45" i="14"/>
  <c r="W72" i="14"/>
  <c r="T5" i="14"/>
  <c r="S35" i="14"/>
  <c r="V3" i="14"/>
  <c r="U34" i="14"/>
  <c r="AV87" i="7" l="1"/>
  <c r="AX45" i="7"/>
  <c r="AX49" i="7" s="1"/>
  <c r="AW78" i="7"/>
  <c r="BC18" i="7"/>
  <c r="BD20" i="7"/>
  <c r="AZ72" i="7"/>
  <c r="AZ81" i="7" s="1"/>
  <c r="AZ69" i="7"/>
  <c r="AZ86" i="7" s="1"/>
  <c r="AY69" i="7"/>
  <c r="AY86" i="7" s="1"/>
  <c r="BB31" i="7"/>
  <c r="BB35" i="7" s="1"/>
  <c r="BA69" i="7"/>
  <c r="BA86" i="7" s="1"/>
  <c r="BB38" i="7"/>
  <c r="BB42" i="7" s="1"/>
  <c r="BA72" i="7"/>
  <c r="BA81" i="7" s="1"/>
  <c r="BB24" i="7"/>
  <c r="BB28" i="7" s="1"/>
  <c r="BA66" i="7"/>
  <c r="BA85" i="7" s="1"/>
  <c r="BA17" i="7"/>
  <c r="BB7" i="7"/>
  <c r="BB14" i="7" s="1"/>
  <c r="BB60" i="7" s="1"/>
  <c r="BA21" i="7"/>
  <c r="W121" i="7"/>
  <c r="AW142" i="7"/>
  <c r="AX137" i="7" s="1"/>
  <c r="AW158" i="7"/>
  <c r="S106" i="14"/>
  <c r="V7" i="14"/>
  <c r="U36" i="14"/>
  <c r="R85" i="14"/>
  <c r="S38" i="14"/>
  <c r="T11" i="14"/>
  <c r="AB50" i="14"/>
  <c r="AB75" i="14" s="1"/>
  <c r="AA75" i="14"/>
  <c r="R77" i="14"/>
  <c r="R90" i="14" s="1"/>
  <c r="R92" i="14" s="1"/>
  <c r="S53" i="14"/>
  <c r="T39" i="14"/>
  <c r="U13" i="14"/>
  <c r="R40" i="14"/>
  <c r="R111" i="14" s="1"/>
  <c r="R113" i="14" s="1"/>
  <c r="S15" i="14"/>
  <c r="R99" i="14"/>
  <c r="X52" i="14"/>
  <c r="W76" i="14"/>
  <c r="W118" i="14" s="1"/>
  <c r="W120" i="14" s="1"/>
  <c r="W3" i="14"/>
  <c r="V34" i="14"/>
  <c r="S37" i="14"/>
  <c r="T9" i="14"/>
  <c r="S104" i="14"/>
  <c r="S83" i="14"/>
  <c r="S41" i="14"/>
  <c r="S97" i="14"/>
  <c r="T35" i="14"/>
  <c r="U5" i="14"/>
  <c r="W78" i="14"/>
  <c r="Y45" i="14"/>
  <c r="X72" i="14"/>
  <c r="AW87" i="7" l="1"/>
  <c r="AX78" i="7"/>
  <c r="AY45" i="7"/>
  <c r="AY49" i="7" s="1"/>
  <c r="BD18" i="7"/>
  <c r="BE20" i="7"/>
  <c r="BC38" i="7"/>
  <c r="BC42" i="7" s="1"/>
  <c r="BB72" i="7"/>
  <c r="BB81" i="7" s="1"/>
  <c r="BC31" i="7"/>
  <c r="BC35" i="7" s="1"/>
  <c r="BB69" i="7"/>
  <c r="BB86" i="7" s="1"/>
  <c r="BC24" i="7"/>
  <c r="BC28" i="7" s="1"/>
  <c r="BB66" i="7"/>
  <c r="BB85" i="7" s="1"/>
  <c r="BB21" i="7"/>
  <c r="BC7" i="7"/>
  <c r="BC14" i="7" s="1"/>
  <c r="BC60" i="7" s="1"/>
  <c r="BB17" i="7"/>
  <c r="W152" i="7"/>
  <c r="AX142" i="7"/>
  <c r="AY137" i="7" s="1"/>
  <c r="AX158" i="7"/>
  <c r="U39" i="14"/>
  <c r="V13" i="14"/>
  <c r="S77" i="14"/>
  <c r="S90" i="14" s="1"/>
  <c r="S92" i="14" s="1"/>
  <c r="T53" i="14"/>
  <c r="T37" i="14"/>
  <c r="T83" i="14" s="1"/>
  <c r="U9" i="14"/>
  <c r="X3" i="14"/>
  <c r="W34" i="14"/>
  <c r="T38" i="14"/>
  <c r="U11" i="14"/>
  <c r="Y52" i="14"/>
  <c r="X76" i="14"/>
  <c r="X118" i="14" s="1"/>
  <c r="X120" i="14" s="1"/>
  <c r="S85" i="14"/>
  <c r="X78" i="14"/>
  <c r="Z45" i="14"/>
  <c r="Y72" i="14"/>
  <c r="V36" i="14"/>
  <c r="W7" i="14"/>
  <c r="U35" i="14"/>
  <c r="V5" i="14"/>
  <c r="S99" i="14"/>
  <c r="T97" i="14"/>
  <c r="T104" i="14"/>
  <c r="T106" i="14" s="1"/>
  <c r="T15" i="14"/>
  <c r="S40" i="14"/>
  <c r="S111" i="14" s="1"/>
  <c r="S113" i="14" s="1"/>
  <c r="AX87" i="7" l="1"/>
  <c r="AY78" i="7"/>
  <c r="AY87" i="7" s="1"/>
  <c r="AZ45" i="7"/>
  <c r="AZ49" i="7" s="1"/>
  <c r="BE18" i="7"/>
  <c r="BF20" i="7"/>
  <c r="AY142" i="7"/>
  <c r="AZ137" i="7" s="1"/>
  <c r="AY158" i="7"/>
  <c r="BD31" i="7"/>
  <c r="BC69" i="7"/>
  <c r="BC86" i="7" s="1"/>
  <c r="BD38" i="7"/>
  <c r="BD42" i="7" s="1"/>
  <c r="BC72" i="7"/>
  <c r="BC81" i="7" s="1"/>
  <c r="BD24" i="7"/>
  <c r="BD28" i="7" s="1"/>
  <c r="BC66" i="7"/>
  <c r="BC85" i="7" s="1"/>
  <c r="BC17" i="7"/>
  <c r="BD7" i="7"/>
  <c r="BD14" i="7" s="1"/>
  <c r="BD60" i="7" s="1"/>
  <c r="BC21" i="7"/>
  <c r="Y120" i="14"/>
  <c r="T113" i="14"/>
  <c r="Y3" i="14"/>
  <c r="X34" i="14"/>
  <c r="V35" i="14"/>
  <c r="W5" i="14"/>
  <c r="W36" i="14"/>
  <c r="X7" i="14"/>
  <c r="U37" i="14"/>
  <c r="U41" i="14" s="1"/>
  <c r="V9" i="14"/>
  <c r="Y78" i="14"/>
  <c r="AA45" i="14"/>
  <c r="Z72" i="14"/>
  <c r="T77" i="14"/>
  <c r="T90" i="14" s="1"/>
  <c r="T92" i="14" s="1"/>
  <c r="U53" i="14"/>
  <c r="W13" i="14"/>
  <c r="V39" i="14"/>
  <c r="T85" i="14"/>
  <c r="U15" i="14"/>
  <c r="T40" i="14"/>
  <c r="T111" i="14" s="1"/>
  <c r="Z52" i="14"/>
  <c r="Y76" i="14"/>
  <c r="Y118" i="14" s="1"/>
  <c r="T41" i="14"/>
  <c r="V11" i="14"/>
  <c r="U38" i="14"/>
  <c r="T99" i="14"/>
  <c r="AZ78" i="7" l="1"/>
  <c r="AZ87" i="7" s="1"/>
  <c r="BA45" i="7"/>
  <c r="BA49" i="7" s="1"/>
  <c r="BF18" i="7"/>
  <c r="BG20" i="7"/>
  <c r="AZ142" i="7"/>
  <c r="BA137" i="7" s="1"/>
  <c r="AZ158" i="7"/>
  <c r="BD35" i="7"/>
  <c r="BE31" i="7" s="1"/>
  <c r="BE39" i="7"/>
  <c r="BE38" i="7"/>
  <c r="BD72" i="7"/>
  <c r="BD81" i="7" s="1"/>
  <c r="BE24" i="7"/>
  <c r="BE28" i="7" s="1"/>
  <c r="BD66" i="7"/>
  <c r="BD85" i="7" s="1"/>
  <c r="BD17" i="7"/>
  <c r="BD21" i="7"/>
  <c r="BE7" i="7"/>
  <c r="BE14" i="7" s="1"/>
  <c r="BE60" i="7" s="1"/>
  <c r="U77" i="14"/>
  <c r="U90" i="14" s="1"/>
  <c r="U92" i="14" s="1"/>
  <c r="V53" i="14"/>
  <c r="Z3" i="14"/>
  <c r="Y34" i="14"/>
  <c r="Z78" i="14"/>
  <c r="AB45" i="14"/>
  <c r="AB72" i="14" s="1"/>
  <c r="AA72" i="14"/>
  <c r="AB54" i="14"/>
  <c r="U113" i="14"/>
  <c r="V37" i="14"/>
  <c r="W9" i="14"/>
  <c r="V38" i="14"/>
  <c r="W11" i="14"/>
  <c r="X36" i="14"/>
  <c r="Y7" i="14"/>
  <c r="Z76" i="14"/>
  <c r="Z118" i="14" s="1"/>
  <c r="Z120" i="14" s="1"/>
  <c r="AA52" i="14"/>
  <c r="U104" i="14"/>
  <c r="U106" i="14" s="1"/>
  <c r="V106" i="14" s="1"/>
  <c r="U83" i="14"/>
  <c r="V15" i="14"/>
  <c r="U40" i="14"/>
  <c r="U111" i="14" s="1"/>
  <c r="U97" i="14"/>
  <c r="U99" i="14" s="1"/>
  <c r="V99" i="14" s="1"/>
  <c r="U85" i="14"/>
  <c r="V85" i="14" s="1"/>
  <c r="X5" i="14"/>
  <c r="W35" i="14"/>
  <c r="X13" i="14"/>
  <c r="W39" i="14"/>
  <c r="V83" i="14"/>
  <c r="V97" i="14"/>
  <c r="V41" i="14"/>
  <c r="V104" i="14"/>
  <c r="AY242" i="7" l="1"/>
  <c r="AY256" i="7"/>
  <c r="AY249" i="7"/>
  <c r="BA78" i="7"/>
  <c r="BA87" i="7" s="1"/>
  <c r="BB45" i="7"/>
  <c r="BB49" i="7" s="1"/>
  <c r="BG18" i="7"/>
  <c r="BH20" i="7"/>
  <c r="BE42" i="7"/>
  <c r="BF38" i="7" s="1"/>
  <c r="BF42" i="7" s="1"/>
  <c r="BE35" i="7"/>
  <c r="BF31" i="7" s="1"/>
  <c r="BF35" i="7" s="1"/>
  <c r="BD69" i="7"/>
  <c r="BD86" i="7" s="1"/>
  <c r="BA142" i="7"/>
  <c r="BB137" i="7" s="1"/>
  <c r="BA158" i="7"/>
  <c r="BF24" i="7"/>
  <c r="BF28" i="7" s="1"/>
  <c r="BE66" i="7"/>
  <c r="BE85" i="7" s="1"/>
  <c r="BE17" i="7"/>
  <c r="BE21" i="7"/>
  <c r="BF7" i="7"/>
  <c r="BF14" i="7" s="1"/>
  <c r="BF60" i="7" s="1"/>
  <c r="AA78" i="14"/>
  <c r="AB78" i="14"/>
  <c r="AA76" i="14"/>
  <c r="AA118" i="14" s="1"/>
  <c r="AA120" i="14" s="1"/>
  <c r="AB120" i="14" s="1"/>
  <c r="AB52" i="14"/>
  <c r="AB76" i="14" s="1"/>
  <c r="AB118" i="14" s="1"/>
  <c r="X11" i="14"/>
  <c r="W38" i="14"/>
  <c r="V77" i="14"/>
  <c r="V90" i="14" s="1"/>
  <c r="V92" i="14" s="1"/>
  <c r="W53" i="14"/>
  <c r="Y13" i="14"/>
  <c r="X39" i="14"/>
  <c r="X35" i="14"/>
  <c r="Y5" i="14"/>
  <c r="W15" i="14"/>
  <c r="V40" i="14"/>
  <c r="V111" i="14" s="1"/>
  <c r="V113" i="14" s="1"/>
  <c r="Z34" i="14"/>
  <c r="AA3" i="14"/>
  <c r="Y36" i="14"/>
  <c r="Z7" i="14"/>
  <c r="W37" i="14"/>
  <c r="W83" i="14" s="1"/>
  <c r="W85" i="14" s="1"/>
  <c r="X9" i="14"/>
  <c r="AZ256" i="7" l="1"/>
  <c r="AZ249" i="7"/>
  <c r="AZ242" i="7"/>
  <c r="BB78" i="7"/>
  <c r="BB87" i="7" s="1"/>
  <c r="BC45" i="7"/>
  <c r="BC49" i="7" s="1"/>
  <c r="BH18" i="7"/>
  <c r="BI20" i="7"/>
  <c r="BE72" i="7"/>
  <c r="BE81" i="7" s="1"/>
  <c r="BE69" i="7"/>
  <c r="BE86" i="7" s="1"/>
  <c r="BB142" i="7"/>
  <c r="BC137" i="7" s="1"/>
  <c r="BB158" i="7"/>
  <c r="BG38" i="7"/>
  <c r="BG42" i="7" s="1"/>
  <c r="BF72" i="7"/>
  <c r="BF81" i="7" s="1"/>
  <c r="BG31" i="7"/>
  <c r="BG35" i="7" s="1"/>
  <c r="BF69" i="7"/>
  <c r="BF86" i="7" s="1"/>
  <c r="BG24" i="7"/>
  <c r="BG28" i="7" s="1"/>
  <c r="BF66" i="7"/>
  <c r="BF85" i="7" s="1"/>
  <c r="BF21" i="7"/>
  <c r="BG7" i="7"/>
  <c r="BG14" i="7" s="1"/>
  <c r="BG60" i="7" s="1"/>
  <c r="BF17" i="7"/>
  <c r="X37" i="14"/>
  <c r="Y9" i="14"/>
  <c r="Z13" i="14"/>
  <c r="Y39" i="14"/>
  <c r="W77" i="14"/>
  <c r="W90" i="14" s="1"/>
  <c r="W92" i="14" s="1"/>
  <c r="X53" i="14"/>
  <c r="Z36" i="14"/>
  <c r="AA7" i="14"/>
  <c r="AA34" i="14"/>
  <c r="AB3" i="14"/>
  <c r="AB34" i="14" s="1"/>
  <c r="X38" i="14"/>
  <c r="X104" i="14" s="1"/>
  <c r="Y11" i="14"/>
  <c r="X15" i="14"/>
  <c r="W40" i="14"/>
  <c r="W111" i="14" s="1"/>
  <c r="W113" i="14" s="1"/>
  <c r="W41" i="14"/>
  <c r="W104" i="14"/>
  <c r="W106" i="14" s="1"/>
  <c r="Y35" i="14"/>
  <c r="Z5" i="14"/>
  <c r="W97" i="14"/>
  <c r="W99" i="14" s="1"/>
  <c r="X97" i="14"/>
  <c r="BA249" i="7" l="1"/>
  <c r="BA242" i="7"/>
  <c r="BC78" i="7"/>
  <c r="BC87" i="7" s="1"/>
  <c r="BD45" i="7"/>
  <c r="BD49" i="7" s="1"/>
  <c r="BA256" i="7"/>
  <c r="BI18" i="7"/>
  <c r="BJ20" i="7"/>
  <c r="BJ18" i="7" s="1"/>
  <c r="BC142" i="7"/>
  <c r="BD137" i="7" s="1"/>
  <c r="BC158" i="7"/>
  <c r="BH31" i="7"/>
  <c r="BH35" i="7" s="1"/>
  <c r="BG69" i="7"/>
  <c r="BG86" i="7" s="1"/>
  <c r="BH38" i="7"/>
  <c r="BH42" i="7" s="1"/>
  <c r="BG72" i="7"/>
  <c r="BH24" i="7"/>
  <c r="BH28" i="7" s="1"/>
  <c r="BG66" i="7"/>
  <c r="BG85" i="7" s="1"/>
  <c r="BG21" i="7"/>
  <c r="BG17" i="7"/>
  <c r="BH7" i="7"/>
  <c r="BH14" i="7" s="1"/>
  <c r="BH60" i="7" s="1"/>
  <c r="Y38" i="14"/>
  <c r="Z11" i="14"/>
  <c r="X99" i="14"/>
  <c r="Z35" i="14"/>
  <c r="AA5" i="14"/>
  <c r="X83" i="14"/>
  <c r="X85" i="14" s="1"/>
  <c r="X41" i="14"/>
  <c r="AB7" i="14"/>
  <c r="AB36" i="14" s="1"/>
  <c r="AA36" i="14"/>
  <c r="Y53" i="14"/>
  <c r="X77" i="14"/>
  <c r="X90" i="14" s="1"/>
  <c r="X92" i="14" s="1"/>
  <c r="Y104" i="14"/>
  <c r="X106" i="14"/>
  <c r="AA13" i="14"/>
  <c r="Z39" i="14"/>
  <c r="Z9" i="14"/>
  <c r="Y37" i="14"/>
  <c r="Y83" i="14" s="1"/>
  <c r="Y15" i="14"/>
  <c r="X40" i="14"/>
  <c r="X111" i="14" s="1"/>
  <c r="X113" i="14" s="1"/>
  <c r="BG81" i="7" l="1"/>
  <c r="BB242" i="7"/>
  <c r="BB249" i="7"/>
  <c r="BD78" i="7"/>
  <c r="BD87" i="7" s="1"/>
  <c r="BE45" i="7"/>
  <c r="BE49" i="7" s="1"/>
  <c r="BB256" i="7"/>
  <c r="BD142" i="7"/>
  <c r="BE137" i="7" s="1"/>
  <c r="BD158" i="7"/>
  <c r="BI38" i="7"/>
  <c r="BI42" i="7" s="1"/>
  <c r="BH72" i="7"/>
  <c r="BI31" i="7"/>
  <c r="BI35" i="7" s="1"/>
  <c r="BH69" i="7"/>
  <c r="BH86" i="7" s="1"/>
  <c r="BI24" i="7"/>
  <c r="BI28" i="7" s="1"/>
  <c r="BH66" i="7"/>
  <c r="BH85" i="7" s="1"/>
  <c r="BH17" i="7"/>
  <c r="BH21" i="7"/>
  <c r="BI7" i="7"/>
  <c r="BI14" i="7" s="1"/>
  <c r="BI60" i="7" s="1"/>
  <c r="Y85" i="14"/>
  <c r="Z15" i="14"/>
  <c r="Y40" i="14"/>
  <c r="Y111" i="14" s="1"/>
  <c r="Y113" i="14" s="1"/>
  <c r="AA35" i="14"/>
  <c r="AB5" i="14"/>
  <c r="AB35" i="14" s="1"/>
  <c r="AA9" i="14"/>
  <c r="Z37" i="14"/>
  <c r="Z83" i="14" s="1"/>
  <c r="Y99" i="14"/>
  <c r="AB13" i="14"/>
  <c r="AB39" i="14" s="1"/>
  <c r="AA39" i="14"/>
  <c r="Y106" i="14"/>
  <c r="Y97" i="14"/>
  <c r="Y41" i="14"/>
  <c r="Z53" i="14"/>
  <c r="Y77" i="14"/>
  <c r="Y90" i="14" s="1"/>
  <c r="Y92" i="14" s="1"/>
  <c r="AA11" i="14"/>
  <c r="Z38" i="14"/>
  <c r="BH81" i="7" l="1"/>
  <c r="BC249" i="7"/>
  <c r="BC242" i="7"/>
  <c r="BE78" i="7"/>
  <c r="BE87" i="7" s="1"/>
  <c r="BF45" i="7"/>
  <c r="BF49" i="7" s="1"/>
  <c r="BC256" i="7"/>
  <c r="BE142" i="7"/>
  <c r="BF137" i="7" s="1"/>
  <c r="BE158" i="7"/>
  <c r="BJ31" i="7"/>
  <c r="BJ35" i="7" s="1"/>
  <c r="BJ69" i="7" s="1"/>
  <c r="BJ86" i="7" s="1"/>
  <c r="BI69" i="7"/>
  <c r="BI86" i="7" s="1"/>
  <c r="BJ38" i="7"/>
  <c r="BJ42" i="7" s="1"/>
  <c r="BJ72" i="7" s="1"/>
  <c r="BI72" i="7"/>
  <c r="BJ24" i="7"/>
  <c r="BJ28" i="7" s="1"/>
  <c r="BJ66" i="7" s="1"/>
  <c r="BJ85" i="7" s="1"/>
  <c r="BI66" i="7"/>
  <c r="BI85" i="7" s="1"/>
  <c r="BI21" i="7"/>
  <c r="BJ7" i="7"/>
  <c r="BJ14" i="7" s="1"/>
  <c r="BI17" i="7"/>
  <c r="Z113" i="14"/>
  <c r="AB11" i="14"/>
  <c r="AB38" i="14" s="1"/>
  <c r="AA38" i="14"/>
  <c r="AA53" i="14"/>
  <c r="Z77" i="14"/>
  <c r="Z90" i="14" s="1"/>
  <c r="Z92" i="14" s="1"/>
  <c r="AB9" i="14"/>
  <c r="AB37" i="14" s="1"/>
  <c r="AA37" i="14"/>
  <c r="AA41" i="14" s="1"/>
  <c r="Z97" i="14"/>
  <c r="Z99" i="14" s="1"/>
  <c r="AA99" i="14" s="1"/>
  <c r="AB99" i="14" s="1"/>
  <c r="Z104" i="14"/>
  <c r="Z106" i="14" s="1"/>
  <c r="Z41" i="14"/>
  <c r="AB41" i="14"/>
  <c r="AB83" i="14"/>
  <c r="AB97" i="14"/>
  <c r="AB104" i="14"/>
  <c r="AA97" i="14"/>
  <c r="AA15" i="14"/>
  <c r="Z40" i="14"/>
  <c r="Z111" i="14" s="1"/>
  <c r="Z85" i="14"/>
  <c r="AN40" i="5"/>
  <c r="AN5" i="5"/>
  <c r="BI81" i="7" l="1"/>
  <c r="BD256" i="7"/>
  <c r="BD242" i="7"/>
  <c r="BD249" i="7"/>
  <c r="BF78" i="7"/>
  <c r="BF87" i="7" s="1"/>
  <c r="BG45" i="7"/>
  <c r="BG49" i="7" s="1"/>
  <c r="BJ21" i="7"/>
  <c r="BJ60" i="7"/>
  <c r="BJ81" i="7" s="1"/>
  <c r="BG235" i="7"/>
  <c r="BG228" i="7"/>
  <c r="BF142" i="7"/>
  <c r="BG137" i="7" s="1"/>
  <c r="BF158" i="7"/>
  <c r="BJ17" i="7"/>
  <c r="AA92" i="14"/>
  <c r="AB92" i="14" s="1"/>
  <c r="AA40" i="14"/>
  <c r="AA111" i="14" s="1"/>
  <c r="AA113" i="14" s="1"/>
  <c r="AB113" i="14" s="1"/>
  <c r="AB15" i="14"/>
  <c r="AB40" i="14" s="1"/>
  <c r="AB111" i="14" s="1"/>
  <c r="AB53" i="14"/>
  <c r="AB77" i="14" s="1"/>
  <c r="AB90" i="14" s="1"/>
  <c r="AA77" i="14"/>
  <c r="AA90" i="14" s="1"/>
  <c r="AA104" i="14"/>
  <c r="AA106" i="14" s="1"/>
  <c r="AB106" i="14" s="1"/>
  <c r="AA83" i="14"/>
  <c r="AA85" i="14" s="1"/>
  <c r="AB85" i="14" s="1"/>
  <c r="BE249" i="7" l="1"/>
  <c r="BE242" i="7"/>
  <c r="BG78" i="7"/>
  <c r="BG87" i="7" s="1"/>
  <c r="BH45" i="7"/>
  <c r="BH49" i="7" s="1"/>
  <c r="BE256" i="7"/>
  <c r="BH228" i="7"/>
  <c r="BH235" i="7"/>
  <c r="BH221" i="7"/>
  <c r="BG142" i="7"/>
  <c r="BH137" i="7" s="1"/>
  <c r="BG158" i="7"/>
  <c r="AN6" i="5"/>
  <c r="BF249" i="7" l="1"/>
  <c r="BF242" i="7"/>
  <c r="BI45" i="7"/>
  <c r="BI49" i="7" s="1"/>
  <c r="BH78" i="7"/>
  <c r="BH87" i="7" s="1"/>
  <c r="BF256" i="7"/>
  <c r="BG221" i="7"/>
  <c r="BI235" i="7"/>
  <c r="BI221" i="7"/>
  <c r="BI228" i="7"/>
  <c r="BH142" i="7"/>
  <c r="BI137" i="7" s="1"/>
  <c r="BH158" i="7"/>
  <c r="BG93" i="5"/>
  <c r="BG249" i="7" l="1"/>
  <c r="BG242" i="7"/>
  <c r="BI78" i="7"/>
  <c r="BI87" i="7" s="1"/>
  <c r="BJ45" i="7"/>
  <c r="BJ49" i="7" s="1"/>
  <c r="BJ78" i="7" s="1"/>
  <c r="BJ87" i="7" s="1"/>
  <c r="BG256" i="7"/>
  <c r="BI142" i="7"/>
  <c r="BJ137" i="7" s="1"/>
  <c r="BI158" i="7"/>
  <c r="AN98" i="5"/>
  <c r="BH249" i="7" l="1"/>
  <c r="BH242" i="7"/>
  <c r="BH256" i="7"/>
  <c r="BJ142" i="7"/>
  <c r="BJ158" i="7"/>
  <c r="BC106" i="5"/>
  <c r="AO98" i="5"/>
  <c r="AN52" i="5"/>
  <c r="BE10" i="5"/>
  <c r="BG10" i="5" s="1"/>
  <c r="BI249" i="7" l="1"/>
  <c r="BI242" i="7"/>
  <c r="BJ242" i="7"/>
  <c r="BJ249" i="7"/>
  <c r="BI256" i="7"/>
  <c r="BJ256" i="7"/>
  <c r="AN48" i="5"/>
  <c r="AM20" i="5"/>
  <c r="AM116" i="5"/>
  <c r="AM11" i="5"/>
  <c r="AN50" i="5"/>
  <c r="AM48" i="5" l="1"/>
  <c r="AM40" i="5"/>
  <c r="BG106" i="5" l="1"/>
  <c r="AM5" i="5"/>
  <c r="AM108" i="5"/>
  <c r="AM92" i="5" l="1"/>
  <c r="AM47" i="5" l="1"/>
  <c r="AM68" i="5"/>
  <c r="AM52" i="5"/>
  <c r="AL116" i="5" l="1"/>
  <c r="AK116" i="5"/>
  <c r="AJ116" i="5"/>
  <c r="AM39" i="5"/>
  <c r="AM98" i="5"/>
  <c r="AL4" i="5"/>
  <c r="AL5" i="5"/>
  <c r="AQ116" i="5" l="1"/>
  <c r="AI4" i="5"/>
  <c r="AL98" i="5" l="1"/>
  <c r="AL20" i="5" l="1"/>
  <c r="AL39" i="5"/>
  <c r="AL40" i="5" l="1"/>
  <c r="AL52" i="5"/>
  <c r="AL48" i="5"/>
  <c r="AM50" i="5"/>
  <c r="AL50" i="5"/>
  <c r="AM133" i="5" l="1"/>
  <c r="AA50" i="11"/>
  <c r="Z50" i="11"/>
  <c r="Y50" i="11"/>
  <c r="X50" i="11"/>
  <c r="Q31" i="11"/>
  <c r="Q33" i="11" s="1"/>
  <c r="R31" i="11"/>
  <c r="R33" i="11" s="1"/>
  <c r="S31" i="11"/>
  <c r="S33" i="11" s="1"/>
  <c r="T31" i="11"/>
  <c r="T33" i="11" s="1"/>
  <c r="U31" i="11"/>
  <c r="U33" i="11" s="1"/>
  <c r="V31" i="11"/>
  <c r="V33" i="11" s="1"/>
  <c r="W31" i="11"/>
  <c r="W33" i="11" s="1"/>
  <c r="X31" i="11"/>
  <c r="X33" i="11" s="1"/>
  <c r="Y33" i="11"/>
  <c r="Z33" i="11"/>
  <c r="AA33" i="11"/>
  <c r="P31" i="11"/>
  <c r="Q27" i="11"/>
  <c r="Q29" i="11" s="1"/>
  <c r="R27" i="11"/>
  <c r="R29" i="11" s="1"/>
  <c r="S27" i="11"/>
  <c r="S29" i="11" s="1"/>
  <c r="T27" i="11"/>
  <c r="T29" i="11" s="1"/>
  <c r="U27" i="11"/>
  <c r="U29" i="11" s="1"/>
  <c r="V27" i="11"/>
  <c r="V29" i="11" s="1"/>
  <c r="W27" i="11"/>
  <c r="W29" i="11" s="1"/>
  <c r="X27" i="11"/>
  <c r="X29" i="11" s="1"/>
  <c r="Y27" i="11"/>
  <c r="Y29" i="11" s="1"/>
  <c r="Z27" i="11"/>
  <c r="Z29" i="11" s="1"/>
  <c r="AA27" i="11"/>
  <c r="P27" i="11"/>
  <c r="D27" i="11"/>
  <c r="E27" i="11"/>
  <c r="F27" i="11"/>
  <c r="G27" i="11"/>
  <c r="H27" i="11"/>
  <c r="I27" i="11"/>
  <c r="K27" i="11"/>
  <c r="L27" i="11"/>
  <c r="M27" i="11"/>
  <c r="N27" i="11"/>
  <c r="C27" i="11"/>
  <c r="C47" i="11"/>
  <c r="AA29" i="11" l="1"/>
  <c r="AC30" i="11"/>
  <c r="AD30" i="11" s="1"/>
  <c r="AE30" i="11" s="1"/>
  <c r="AF30" i="11" s="1"/>
  <c r="AG30" i="11" s="1"/>
  <c r="AH30" i="11" s="1"/>
  <c r="AI30" i="11" s="1"/>
  <c r="AJ30" i="11" s="1"/>
  <c r="AK30" i="11" s="1"/>
  <c r="AL30" i="11" s="1"/>
  <c r="AM30" i="11" s="1"/>
  <c r="AN30" i="11" s="1"/>
  <c r="P29" i="11"/>
  <c r="AB27" i="11"/>
  <c r="AB30" i="11" s="1"/>
  <c r="P33" i="11"/>
  <c r="P34" i="11" s="1"/>
  <c r="Q34" i="11" s="1"/>
  <c r="R34" i="11" s="1"/>
  <c r="S34" i="11" s="1"/>
  <c r="T34" i="11" s="1"/>
  <c r="U34" i="11" s="1"/>
  <c r="V34" i="11" s="1"/>
  <c r="W34" i="11" s="1"/>
  <c r="X34" i="11" s="1"/>
  <c r="Y34" i="11" s="1"/>
  <c r="Z34" i="11" s="1"/>
  <c r="AA34" i="11" s="1"/>
  <c r="AB31" i="11"/>
  <c r="AB34" i="11" s="1"/>
  <c r="Q50" i="11"/>
  <c r="P50" i="11"/>
  <c r="R50" i="11"/>
  <c r="S50" i="11"/>
  <c r="T50" i="11"/>
  <c r="U50" i="11"/>
  <c r="V50" i="11"/>
  <c r="W50" i="11"/>
  <c r="D49" i="11" l="1"/>
  <c r="E49" i="11"/>
  <c r="K49" i="11"/>
  <c r="L49" i="11"/>
  <c r="M49" i="11"/>
  <c r="N49" i="11"/>
  <c r="C49" i="11"/>
  <c r="D48" i="11"/>
  <c r="E48" i="11"/>
  <c r="F48" i="11"/>
  <c r="G48" i="11"/>
  <c r="H48" i="11"/>
  <c r="I48" i="11"/>
  <c r="J48" i="11"/>
  <c r="K48" i="11"/>
  <c r="L48" i="11"/>
  <c r="M48" i="11"/>
  <c r="N48" i="11"/>
  <c r="D47" i="11"/>
  <c r="E47" i="11"/>
  <c r="F47" i="11"/>
  <c r="G47" i="11"/>
  <c r="H47" i="11"/>
  <c r="I47" i="11"/>
  <c r="J47" i="11"/>
  <c r="K47" i="11"/>
  <c r="L47" i="11"/>
  <c r="M47" i="11"/>
  <c r="N47" i="11"/>
  <c r="C48" i="11"/>
  <c r="D29" i="11"/>
  <c r="E29" i="11"/>
  <c r="F29" i="11"/>
  <c r="G29" i="11"/>
  <c r="H29" i="11"/>
  <c r="K29" i="11"/>
  <c r="L29" i="11"/>
  <c r="M29" i="11"/>
  <c r="P30" i="11"/>
  <c r="Q30" i="11" s="1"/>
  <c r="R30" i="11" s="1"/>
  <c r="S30" i="11" s="1"/>
  <c r="T30" i="11" s="1"/>
  <c r="U30" i="11" s="1"/>
  <c r="V30" i="11" s="1"/>
  <c r="W30" i="11" s="1"/>
  <c r="X30" i="11" s="1"/>
  <c r="Y30" i="11" s="1"/>
  <c r="Z30" i="11" s="1"/>
  <c r="AA30" i="11" s="1"/>
  <c r="E31" i="11"/>
  <c r="E33" i="11" s="1"/>
  <c r="F31" i="11"/>
  <c r="F33" i="11" s="1"/>
  <c r="G31" i="11"/>
  <c r="G33" i="11" s="1"/>
  <c r="H31" i="11"/>
  <c r="H33" i="11" s="1"/>
  <c r="I31" i="11"/>
  <c r="I33" i="11" s="1"/>
  <c r="J31" i="11"/>
  <c r="J33" i="11" s="1"/>
  <c r="K31" i="11"/>
  <c r="K33" i="11" s="1"/>
  <c r="L31" i="11"/>
  <c r="L33" i="11" s="1"/>
  <c r="M31" i="11"/>
  <c r="M33" i="11" s="1"/>
  <c r="N31" i="11"/>
  <c r="N33" i="11" s="1"/>
  <c r="I29" i="11"/>
  <c r="N29" i="11"/>
  <c r="C29" i="11"/>
  <c r="C30" i="11" s="1"/>
  <c r="L50" i="11" l="1"/>
  <c r="D50" i="11"/>
  <c r="M50" i="11"/>
  <c r="E50" i="11"/>
  <c r="C50" i="11"/>
  <c r="K50" i="11"/>
  <c r="N50" i="11"/>
  <c r="D30" i="11"/>
  <c r="E30" i="11" s="1"/>
  <c r="F30" i="11" s="1"/>
  <c r="G30" i="11" s="1"/>
  <c r="H30" i="11" s="1"/>
  <c r="I30" i="11" s="1"/>
  <c r="AL132" i="5" l="1"/>
  <c r="AL96" i="5" l="1"/>
  <c r="AK47" i="5" l="1"/>
  <c r="AK96" i="5"/>
  <c r="AK110" i="5"/>
  <c r="AK52" i="5"/>
  <c r="AL47" i="5"/>
  <c r="AK40" i="5"/>
  <c r="AJ100" i="5" l="1"/>
  <c r="AQ100" i="5" s="1"/>
  <c r="AJ102" i="5"/>
  <c r="AJ20" i="5" l="1"/>
  <c r="AJ47" i="5"/>
  <c r="AJ52" i="5" l="1"/>
  <c r="AJ80" i="5"/>
  <c r="AJ61" i="5" l="1"/>
  <c r="AJ98" i="5" l="1"/>
  <c r="AJ6" i="5" l="1"/>
  <c r="AJ16" i="5" s="1"/>
  <c r="H4" i="11" s="1"/>
  <c r="AJ40" i="5" l="1"/>
  <c r="AJ103" i="5"/>
  <c r="AL135" i="5" l="1"/>
  <c r="AK6" i="5"/>
  <c r="AI47" i="5" l="1"/>
  <c r="AI20" i="5"/>
  <c r="AI108" i="5"/>
  <c r="AI88" i="5"/>
  <c r="AI52" i="5"/>
  <c r="AI48" i="5"/>
  <c r="AI40" i="5"/>
  <c r="AI5" i="5"/>
  <c r="AI80" i="5" l="1"/>
  <c r="AL133" i="5"/>
  <c r="J27" i="11" s="1"/>
  <c r="J29" i="11" l="1"/>
  <c r="J30" i="11" s="1"/>
  <c r="K30" i="11" s="1"/>
  <c r="L30" i="11" s="1"/>
  <c r="M30" i="11" s="1"/>
  <c r="N30" i="11" s="1"/>
  <c r="O27" i="11"/>
  <c r="O30" i="11" s="1"/>
  <c r="AI84" i="5"/>
  <c r="AI85" i="5"/>
  <c r="AI98" i="5"/>
  <c r="AK16" i="5" l="1"/>
  <c r="I4" i="11" s="1"/>
  <c r="AJ107" i="5"/>
  <c r="AI51" i="5" l="1"/>
  <c r="AK61" i="5"/>
  <c r="AI50" i="5" l="1"/>
  <c r="AI93" i="5" l="1"/>
  <c r="AI21" i="5" l="1"/>
  <c r="AH68" i="5" l="1"/>
  <c r="AH20" i="5"/>
  <c r="AH80" i="5"/>
  <c r="AH40" i="5"/>
  <c r="F49" i="11" l="1"/>
  <c r="F50" i="11" s="1"/>
  <c r="G49" i="11" l="1"/>
  <c r="G50" i="11" s="1"/>
  <c r="AH51" i="5"/>
  <c r="H49" i="11" l="1"/>
  <c r="H50" i="11" s="1"/>
  <c r="I49" i="11" l="1"/>
  <c r="I50" i="11" s="1"/>
  <c r="J49" i="11"/>
  <c r="J50" i="11" s="1"/>
  <c r="AH98" i="5"/>
  <c r="AH47" i="5"/>
  <c r="AH50" i="5"/>
  <c r="AF50" i="5"/>
  <c r="AF48" i="5"/>
  <c r="AG48" i="5"/>
  <c r="AH48" i="5"/>
  <c r="AG5" i="5" l="1"/>
  <c r="AG52" i="5"/>
  <c r="AG110" i="5" l="1"/>
  <c r="AG40" i="5"/>
  <c r="AG20" i="5" l="1"/>
  <c r="AQ5" i="5" l="1"/>
  <c r="AG47" i="5" l="1"/>
  <c r="O85" i="5"/>
  <c r="O84" i="5"/>
  <c r="AE161" i="5"/>
  <c r="AH49" i="5" l="1"/>
  <c r="AG49" i="5" l="1"/>
  <c r="AQ72" i="5" l="1"/>
  <c r="AH73" i="5"/>
  <c r="F17" i="11" s="1"/>
  <c r="AI73" i="5"/>
  <c r="G17" i="11" s="1"/>
  <c r="AJ73" i="5"/>
  <c r="H17" i="11" s="1"/>
  <c r="AK73" i="5"/>
  <c r="I17" i="11" s="1"/>
  <c r="AL73" i="5"/>
  <c r="J17" i="11" s="1"/>
  <c r="AM73" i="5"/>
  <c r="K17" i="11" s="1"/>
  <c r="AN73" i="5"/>
  <c r="L17" i="11" s="1"/>
  <c r="AO73" i="5"/>
  <c r="M17" i="11" s="1"/>
  <c r="AP73" i="5"/>
  <c r="N17" i="11" s="1"/>
  <c r="AG73" i="5"/>
  <c r="E17" i="11" s="1"/>
  <c r="AG99" i="5"/>
  <c r="AG60" i="5" l="1"/>
  <c r="AG98" i="5" l="1"/>
  <c r="AG96" i="5"/>
  <c r="AG88" i="5" l="1"/>
  <c r="AF150" i="5" l="1"/>
  <c r="D31" i="11" l="1"/>
  <c r="D33" i="11" s="1"/>
  <c r="AF107" i="5"/>
  <c r="AF96" i="5"/>
  <c r="H4" i="9" l="1"/>
  <c r="AF98" i="5" l="1"/>
  <c r="AQ85" i="5" l="1"/>
  <c r="AQ84" i="5"/>
  <c r="J4" i="9"/>
  <c r="H5" i="9"/>
  <c r="H6" i="9"/>
  <c r="J6" i="9"/>
  <c r="H7" i="9"/>
  <c r="H8" i="9"/>
  <c r="J8" i="9"/>
  <c r="H9" i="9"/>
  <c r="J9" i="9"/>
  <c r="H10" i="9"/>
  <c r="D15" i="9"/>
  <c r="H15" i="9" s="1"/>
  <c r="D17" i="9"/>
  <c r="H17" i="9"/>
  <c r="D18" i="9"/>
  <c r="H18" i="9"/>
  <c r="D19" i="9"/>
  <c r="H19" i="9" s="1"/>
  <c r="D20" i="9"/>
  <c r="H20" i="9"/>
  <c r="H21" i="9"/>
  <c r="J21" i="9"/>
  <c r="H26" i="9"/>
  <c r="C27" i="9"/>
  <c r="H27" i="9" s="1"/>
  <c r="E27" i="9"/>
  <c r="E29" i="9"/>
  <c r="E28" i="9" s="1"/>
  <c r="C29" i="9" l="1"/>
  <c r="H29" i="9" l="1"/>
  <c r="C28" i="9"/>
  <c r="H28" i="9" s="1"/>
  <c r="D227" i="7" l="1"/>
  <c r="D213" i="7"/>
  <c r="AF93" i="5" l="1"/>
  <c r="C290" i="7" l="1"/>
  <c r="C258" i="7" s="1"/>
  <c r="D290" i="7" l="1"/>
  <c r="E290" i="7" s="1"/>
  <c r="F290" i="7" s="1"/>
  <c r="G290" i="7" s="1"/>
  <c r="H290" i="7" s="1"/>
  <c r="I290" i="7" s="1"/>
  <c r="J290" i="7" s="1"/>
  <c r="K290" i="7" s="1"/>
  <c r="M290" i="7" s="1"/>
  <c r="N290" i="7" s="1"/>
  <c r="O290" i="7" s="1"/>
  <c r="Q290" i="7" s="1"/>
  <c r="T290" i="7" s="1"/>
  <c r="U290" i="7" s="1"/>
  <c r="L258" i="7"/>
  <c r="V290" i="7" l="1"/>
  <c r="U258" i="7"/>
  <c r="BA83" i="5" s="1"/>
  <c r="Y258" i="7"/>
  <c r="BE83" i="5" s="1"/>
  <c r="O258" i="7"/>
  <c r="S258" i="7"/>
  <c r="AY83" i="5" s="1"/>
  <c r="P258" i="7"/>
  <c r="AV83" i="5" s="1"/>
  <c r="T258" i="7"/>
  <c r="AZ83" i="5" s="1"/>
  <c r="F258" i="7"/>
  <c r="E258" i="7"/>
  <c r="J258" i="7"/>
  <c r="I258" i="7"/>
  <c r="N258" i="7"/>
  <c r="M258" i="7"/>
  <c r="R258" i="7"/>
  <c r="AX83" i="5" s="1"/>
  <c r="G258" i="7"/>
  <c r="Q258" i="7"/>
  <c r="AW83" i="5" s="1"/>
  <c r="D258" i="7"/>
  <c r="K258" i="7"/>
  <c r="H258" i="7"/>
  <c r="Z258" i="7"/>
  <c r="BF83" i="5" s="1"/>
  <c r="C227" i="7"/>
  <c r="W290" i="7" l="1"/>
  <c r="V258" i="7"/>
  <c r="BB83" i="5" s="1"/>
  <c r="N19" i="8"/>
  <c r="N20" i="8"/>
  <c r="N21" i="8"/>
  <c r="N17" i="8"/>
  <c r="C152" i="7"/>
  <c r="L23" i="8"/>
  <c r="M23" i="8" s="1"/>
  <c r="N23" i="8" s="1"/>
  <c r="M11" i="8"/>
  <c r="N11" i="8" s="1"/>
  <c r="M12" i="8"/>
  <c r="N12" i="8" s="1"/>
  <c r="L27" i="8"/>
  <c r="M27" i="8" s="1"/>
  <c r="N27" i="8" s="1"/>
  <c r="L20" i="8"/>
  <c r="K32" i="8"/>
  <c r="K27" i="8"/>
  <c r="K23" i="8"/>
  <c r="W258" i="7" l="1"/>
  <c r="BC83" i="5" s="1"/>
  <c r="X290" i="7"/>
  <c r="E82" i="16"/>
  <c r="BG118" i="5"/>
  <c r="C155" i="7"/>
  <c r="C163" i="7" s="1"/>
  <c r="D106" i="7"/>
  <c r="F106" i="7" s="1"/>
  <c r="G106" i="7" s="1"/>
  <c r="H106" i="7" s="1"/>
  <c r="I106" i="7" s="1"/>
  <c r="X258" i="7" l="1"/>
  <c r="BD83" i="5" s="1"/>
  <c r="BG83" i="5" s="1"/>
  <c r="AA290" i="7"/>
  <c r="AE33" i="5"/>
  <c r="C5" i="11" s="1"/>
  <c r="AE54" i="5"/>
  <c r="C11" i="11" s="1"/>
  <c r="AE73" i="5"/>
  <c r="C17" i="11" s="1"/>
  <c r="AQ9" i="5"/>
  <c r="AA258" i="7" l="1"/>
  <c r="BJ83" i="5" s="1"/>
  <c r="AB290" i="7"/>
  <c r="AF40" i="5"/>
  <c r="AB258" i="7" l="1"/>
  <c r="BK83" i="5" s="1"/>
  <c r="AC290" i="7"/>
  <c r="AQ87" i="5"/>
  <c r="O87" i="5"/>
  <c r="AB88" i="5"/>
  <c r="O88" i="5"/>
  <c r="AB81" i="5"/>
  <c r="O81" i="5"/>
  <c r="AB80" i="5"/>
  <c r="O80" i="5"/>
  <c r="AB79" i="5"/>
  <c r="O79" i="5"/>
  <c r="DC78" i="5"/>
  <c r="AB78" i="5"/>
  <c r="O78" i="5"/>
  <c r="AD290" i="7" l="1"/>
  <c r="AC258" i="7"/>
  <c r="BL83" i="5" s="1"/>
  <c r="D307" i="7"/>
  <c r="AE290" i="7" l="1"/>
  <c r="AD258" i="7"/>
  <c r="BM83" i="5" s="1"/>
  <c r="C213" i="7"/>
  <c r="AE258" i="7" l="1"/>
  <c r="BN83" i="5" s="1"/>
  <c r="AF290" i="7"/>
  <c r="C216" i="7"/>
  <c r="C237" i="7"/>
  <c r="AX230" i="7"/>
  <c r="AW230" i="7"/>
  <c r="AV230" i="7"/>
  <c r="AU230" i="7"/>
  <c r="AT230" i="7"/>
  <c r="AS230" i="7"/>
  <c r="AR230" i="7"/>
  <c r="AQ230" i="7"/>
  <c r="AP230" i="7"/>
  <c r="AO230" i="7"/>
  <c r="AN230" i="7"/>
  <c r="AM230" i="7"/>
  <c r="BY80" i="5" s="1"/>
  <c r="CK80" i="5" s="1"/>
  <c r="AL230" i="7"/>
  <c r="AK230" i="7"/>
  <c r="AJ230" i="7"/>
  <c r="AI230" i="7"/>
  <c r="AH230" i="7"/>
  <c r="AG230" i="7"/>
  <c r="AF230" i="7"/>
  <c r="AE230" i="7"/>
  <c r="AD230" i="7"/>
  <c r="AC230" i="7"/>
  <c r="BL80" i="5" s="1"/>
  <c r="AB230" i="7"/>
  <c r="AA230" i="7"/>
  <c r="BJ80" i="5" s="1"/>
  <c r="Z230" i="7"/>
  <c r="Y230" i="7"/>
  <c r="BE80" i="5" s="1"/>
  <c r="X230" i="7"/>
  <c r="BD80" i="5" s="1"/>
  <c r="W230" i="7"/>
  <c r="BC80" i="5" s="1"/>
  <c r="V230" i="7"/>
  <c r="BB80" i="5" s="1"/>
  <c r="U230" i="7"/>
  <c r="BA80" i="5" s="1"/>
  <c r="T230" i="7"/>
  <c r="AZ80" i="5" s="1"/>
  <c r="S230" i="7"/>
  <c r="AY80" i="5" s="1"/>
  <c r="R230" i="7"/>
  <c r="AX80" i="5" s="1"/>
  <c r="Q230" i="7"/>
  <c r="AW80" i="5" s="1"/>
  <c r="P230" i="7"/>
  <c r="O230" i="7"/>
  <c r="N230" i="7"/>
  <c r="M230" i="7"/>
  <c r="L230" i="7"/>
  <c r="K230" i="7"/>
  <c r="J230" i="7"/>
  <c r="I230" i="7"/>
  <c r="H230" i="7"/>
  <c r="G230" i="7"/>
  <c r="F230" i="7"/>
  <c r="E230" i="7"/>
  <c r="D230" i="7"/>
  <c r="AX223" i="7"/>
  <c r="CJ79" i="5" s="1"/>
  <c r="AW223" i="7"/>
  <c r="CI79" i="5" s="1"/>
  <c r="AV223" i="7"/>
  <c r="CH79" i="5" s="1"/>
  <c r="AU223" i="7"/>
  <c r="CG79" i="5" s="1"/>
  <c r="AT223" i="7"/>
  <c r="CF79" i="5" s="1"/>
  <c r="AS223" i="7"/>
  <c r="CE79" i="5" s="1"/>
  <c r="AR223" i="7"/>
  <c r="CD79" i="5" s="1"/>
  <c r="AQ223" i="7"/>
  <c r="CC79" i="5" s="1"/>
  <c r="AP223" i="7"/>
  <c r="CB79" i="5" s="1"/>
  <c r="AO223" i="7"/>
  <c r="CA79" i="5" s="1"/>
  <c r="AN223" i="7"/>
  <c r="BZ79" i="5" s="1"/>
  <c r="AM223" i="7"/>
  <c r="BY79" i="5" s="1"/>
  <c r="AL223" i="7"/>
  <c r="BU79" i="5" s="1"/>
  <c r="AK223" i="7"/>
  <c r="BT79" i="5" s="1"/>
  <c r="AJ223" i="7"/>
  <c r="BS79" i="5" s="1"/>
  <c r="AI223" i="7"/>
  <c r="BR79" i="5" s="1"/>
  <c r="AH223" i="7"/>
  <c r="BQ79" i="5" s="1"/>
  <c r="AG223" i="7"/>
  <c r="BP79" i="5" s="1"/>
  <c r="AF223" i="7"/>
  <c r="BO79" i="5" s="1"/>
  <c r="AE223" i="7"/>
  <c r="BN79" i="5" s="1"/>
  <c r="AD223" i="7"/>
  <c r="BM79" i="5" s="1"/>
  <c r="AC223" i="7"/>
  <c r="BL79" i="5" s="1"/>
  <c r="AA223" i="7"/>
  <c r="BJ79" i="5" s="1"/>
  <c r="Z223" i="7"/>
  <c r="Y223" i="7"/>
  <c r="BF79" i="5" s="1"/>
  <c r="X223" i="7"/>
  <c r="BE79" i="5" s="1"/>
  <c r="W223" i="7"/>
  <c r="BD79" i="5" s="1"/>
  <c r="V223" i="7"/>
  <c r="BC79" i="5" s="1"/>
  <c r="U223" i="7"/>
  <c r="BB79" i="5" s="1"/>
  <c r="T223" i="7"/>
  <c r="BA79" i="5" s="1"/>
  <c r="S223" i="7"/>
  <c r="AZ79" i="5" s="1"/>
  <c r="R223" i="7"/>
  <c r="AY79" i="5" s="1"/>
  <c r="Q223" i="7"/>
  <c r="AX79" i="5" s="1"/>
  <c r="P223" i="7"/>
  <c r="AW79" i="5" s="1"/>
  <c r="O223" i="7"/>
  <c r="N223" i="7"/>
  <c r="M223" i="7"/>
  <c r="L223" i="7"/>
  <c r="K223" i="7"/>
  <c r="J223" i="7"/>
  <c r="I223" i="7"/>
  <c r="H223" i="7"/>
  <c r="G223" i="7"/>
  <c r="F223" i="7"/>
  <c r="E223" i="7"/>
  <c r="D223" i="7"/>
  <c r="C223" i="7"/>
  <c r="C226" i="7"/>
  <c r="D151" i="7"/>
  <c r="D152" i="7" s="1"/>
  <c r="D154" i="7"/>
  <c r="D157" i="7"/>
  <c r="AG290" i="7" l="1"/>
  <c r="AF258" i="7"/>
  <c r="BO83" i="5" s="1"/>
  <c r="BV80" i="5"/>
  <c r="CK79" i="5"/>
  <c r="AU79" i="5"/>
  <c r="AV79" i="5"/>
  <c r="BV79" i="5"/>
  <c r="D79" i="16" s="1"/>
  <c r="E79" i="16" s="1"/>
  <c r="E157" i="7"/>
  <c r="E158" i="7" s="1"/>
  <c r="D158" i="7"/>
  <c r="C230" i="7"/>
  <c r="C301" i="7" s="1"/>
  <c r="AQ79" i="5"/>
  <c r="E154" i="7"/>
  <c r="F154" i="7" s="1"/>
  <c r="G154" i="7" s="1"/>
  <c r="H154" i="7" s="1"/>
  <c r="I154" i="7" s="1"/>
  <c r="J154" i="7" s="1"/>
  <c r="K154" i="7" s="1"/>
  <c r="L154" i="7" s="1"/>
  <c r="M154" i="7" s="1"/>
  <c r="N154" i="7" s="1"/>
  <c r="O154" i="7" s="1"/>
  <c r="P154" i="7" s="1"/>
  <c r="Q154" i="7" s="1"/>
  <c r="R154" i="7" s="1"/>
  <c r="S154" i="7" s="1"/>
  <c r="T154" i="7" s="1"/>
  <c r="U154" i="7" s="1"/>
  <c r="V154" i="7" s="1"/>
  <c r="X154" i="7" s="1"/>
  <c r="E151" i="7"/>
  <c r="AH290" i="7" l="1"/>
  <c r="AG258" i="7"/>
  <c r="BP83" i="5" s="1"/>
  <c r="D80" i="16"/>
  <c r="E80" i="16" s="1"/>
  <c r="P79" i="16"/>
  <c r="P78" i="16"/>
  <c r="BG79" i="5"/>
  <c r="F157" i="7"/>
  <c r="F158" i="7" s="1"/>
  <c r="F155" i="7"/>
  <c r="I155" i="7"/>
  <c r="I163" i="7" s="1"/>
  <c r="E155" i="7"/>
  <c r="D155" i="7"/>
  <c r="D163" i="7" s="1"/>
  <c r="F151" i="7"/>
  <c r="F152" i="7" s="1"/>
  <c r="G155" i="7"/>
  <c r="AI290" i="7" l="1"/>
  <c r="AH258" i="7"/>
  <c r="BQ83" i="5" s="1"/>
  <c r="F163" i="7"/>
  <c r="AY155" i="7"/>
  <c r="G157" i="7"/>
  <c r="G158" i="7" s="1"/>
  <c r="AQ80" i="5"/>
  <c r="E152" i="7"/>
  <c r="E163" i="7" s="1"/>
  <c r="J155" i="7"/>
  <c r="J163" i="7" s="1"/>
  <c r="G151" i="7"/>
  <c r="G152" i="7" s="1"/>
  <c r="H155" i="7"/>
  <c r="AI258" i="7" l="1"/>
  <c r="BR83" i="5" s="1"/>
  <c r="AJ290" i="7"/>
  <c r="G163" i="7"/>
  <c r="AZ155" i="7"/>
  <c r="H157" i="7"/>
  <c r="H158" i="7" s="1"/>
  <c r="K155" i="7"/>
  <c r="K163" i="7" s="1"/>
  <c r="H151" i="7"/>
  <c r="H152" i="7" s="1"/>
  <c r="H163" i="7" l="1"/>
  <c r="AK290" i="7"/>
  <c r="AJ258" i="7"/>
  <c r="BS83" i="5" s="1"/>
  <c r="BA155" i="7"/>
  <c r="L155" i="7"/>
  <c r="L163" i="7" s="1"/>
  <c r="AL290" i="7" l="1"/>
  <c r="AK258" i="7"/>
  <c r="BT83" i="5" s="1"/>
  <c r="BB155" i="7"/>
  <c r="M155" i="7"/>
  <c r="M163" i="7" s="1"/>
  <c r="AM290" i="7" l="1"/>
  <c r="AL258" i="7"/>
  <c r="BU83" i="5" s="1"/>
  <c r="BV83" i="5" s="1"/>
  <c r="BC155" i="7"/>
  <c r="N155" i="7"/>
  <c r="N163" i="7" s="1"/>
  <c r="AN290" i="7" l="1"/>
  <c r="AM258" i="7"/>
  <c r="BY83" i="5" s="1"/>
  <c r="D83" i="16"/>
  <c r="P82" i="16"/>
  <c r="BD155" i="7"/>
  <c r="O155" i="7"/>
  <c r="O163" i="7" s="1"/>
  <c r="AO290" i="7" l="1"/>
  <c r="AN258" i="7"/>
  <c r="BZ83" i="5" s="1"/>
  <c r="BE155" i="7"/>
  <c r="P155" i="7"/>
  <c r="P163" i="7" s="1"/>
  <c r="K177" i="7"/>
  <c r="K176" i="7"/>
  <c r="K186" i="7" s="1"/>
  <c r="AO258" i="7" l="1"/>
  <c r="CA83" i="5" s="1"/>
  <c r="AP290" i="7"/>
  <c r="BF155" i="7"/>
  <c r="Q155" i="7"/>
  <c r="Q163" i="7" s="1"/>
  <c r="AQ290" i="7" l="1"/>
  <c r="AP258" i="7"/>
  <c r="CB83" i="5" s="1"/>
  <c r="BG155" i="7"/>
  <c r="R155" i="7"/>
  <c r="R163" i="7" s="1"/>
  <c r="AR290" i="7" l="1"/>
  <c r="AQ258" i="7"/>
  <c r="CC83" i="5" s="1"/>
  <c r="BH155" i="7"/>
  <c r="S155" i="7"/>
  <c r="S163" i="7" s="1"/>
  <c r="AS290" i="7" l="1"/>
  <c r="AR258" i="7"/>
  <c r="CD83" i="5" s="1"/>
  <c r="BJ155" i="7"/>
  <c r="BI155" i="7"/>
  <c r="T155" i="7"/>
  <c r="T163" i="7" s="1"/>
  <c r="AT290" i="7" l="1"/>
  <c r="AS258" i="7"/>
  <c r="CE83" i="5" s="1"/>
  <c r="U155" i="7"/>
  <c r="U163" i="7" s="1"/>
  <c r="AU290" i="7" l="1"/>
  <c r="AT258" i="7"/>
  <c r="CF83" i="5" s="1"/>
  <c r="V155" i="7"/>
  <c r="V163" i="7" s="1"/>
  <c r="AU258" i="7" l="1"/>
  <c r="CG83" i="5" s="1"/>
  <c r="AV290" i="7"/>
  <c r="W155" i="7"/>
  <c r="W163" i="7" s="1"/>
  <c r="AV258" i="7" l="1"/>
  <c r="CH83" i="5" s="1"/>
  <c r="AW290" i="7"/>
  <c r="X155" i="7"/>
  <c r="AX290" i="7" l="1"/>
  <c r="AX258" i="7" s="1"/>
  <c r="CJ83" i="5" s="1"/>
  <c r="AW258" i="7"/>
  <c r="CI83" i="5" s="1"/>
  <c r="Y155" i="7"/>
  <c r="CK83" i="5" l="1"/>
  <c r="AA155" i="7"/>
  <c r="AB155" i="7" l="1"/>
  <c r="AC155" i="7" l="1"/>
  <c r="AD155" i="7" l="1"/>
  <c r="AE155" i="7" l="1"/>
  <c r="AF155" i="7" l="1"/>
  <c r="AG155" i="7" l="1"/>
  <c r="AH155" i="7" l="1"/>
  <c r="AI155" i="7" l="1"/>
  <c r="AK155" i="7" l="1"/>
  <c r="AL155" i="7" l="1"/>
  <c r="AM155" i="7" l="1"/>
  <c r="AN155" i="7" l="1"/>
  <c r="AO155" i="7" l="1"/>
  <c r="AP155" i="7" l="1"/>
  <c r="AQ155" i="7" l="1"/>
  <c r="AR155" i="7" l="1"/>
  <c r="AS155" i="7" l="1"/>
  <c r="AT155" i="7" l="1"/>
  <c r="AU39" i="5"/>
  <c r="AN39" i="5"/>
  <c r="AX300" i="7"/>
  <c r="CJ88" i="5" s="1"/>
  <c r="AW300" i="7"/>
  <c r="CI88" i="5" s="1"/>
  <c r="AV300" i="7"/>
  <c r="CH88" i="5" s="1"/>
  <c r="AU300" i="7"/>
  <c r="CG88" i="5" s="1"/>
  <c r="AT300" i="7"/>
  <c r="CF88" i="5" s="1"/>
  <c r="AS300" i="7"/>
  <c r="CE88" i="5" s="1"/>
  <c r="AR300" i="7"/>
  <c r="CD88" i="5" s="1"/>
  <c r="AQ300" i="7"/>
  <c r="CC88" i="5" s="1"/>
  <c r="AP300" i="7"/>
  <c r="CB88" i="5" s="1"/>
  <c r="AO300" i="7"/>
  <c r="AN300" i="7"/>
  <c r="AM300" i="7"/>
  <c r="AL300" i="7"/>
  <c r="BU88" i="5" s="1"/>
  <c r="AK300" i="7"/>
  <c r="BT88" i="5" s="1"/>
  <c r="AJ300" i="7"/>
  <c r="BS88" i="5" s="1"/>
  <c r="AI300" i="7"/>
  <c r="BR88" i="5" s="1"/>
  <c r="AH300" i="7"/>
  <c r="BQ88" i="5" s="1"/>
  <c r="AG300" i="7"/>
  <c r="BP88" i="5" s="1"/>
  <c r="AF300" i="7"/>
  <c r="BO88" i="5" s="1"/>
  <c r="AE300" i="7"/>
  <c r="BN88" i="5" s="1"/>
  <c r="AD300" i="7"/>
  <c r="BM88" i="5" s="1"/>
  <c r="AC300" i="7"/>
  <c r="BL88" i="5" s="1"/>
  <c r="AB300" i="7"/>
  <c r="BK88" i="5" s="1"/>
  <c r="AA300" i="7"/>
  <c r="BJ88" i="5" s="1"/>
  <c r="Z300" i="7"/>
  <c r="BF88" i="5" s="1"/>
  <c r="Y300" i="7"/>
  <c r="BE88" i="5" s="1"/>
  <c r="X300" i="7"/>
  <c r="W300" i="7"/>
  <c r="BC88" i="5" s="1"/>
  <c r="V300" i="7"/>
  <c r="BB88" i="5" s="1"/>
  <c r="U300" i="7"/>
  <c r="BA88" i="5" s="1"/>
  <c r="T300" i="7"/>
  <c r="AZ88" i="5" s="1"/>
  <c r="S300" i="7"/>
  <c r="AY88" i="5" s="1"/>
  <c r="R300" i="7"/>
  <c r="AX88" i="5" s="1"/>
  <c r="Q300" i="7"/>
  <c r="AW88" i="5" s="1"/>
  <c r="N300" i="7"/>
  <c r="AP88" i="5" s="1"/>
  <c r="AP121" i="5" s="1"/>
  <c r="M300" i="7"/>
  <c r="AO88" i="5" s="1"/>
  <c r="AO121" i="5" s="1"/>
  <c r="L300" i="7"/>
  <c r="AN88" i="5" s="1"/>
  <c r="K300" i="7"/>
  <c r="AM88" i="5" s="1"/>
  <c r="J300" i="7"/>
  <c r="I300" i="7"/>
  <c r="AK88" i="5" s="1"/>
  <c r="H300" i="7"/>
  <c r="AJ88" i="5" s="1"/>
  <c r="G300" i="7"/>
  <c r="F300" i="7"/>
  <c r="D295" i="7"/>
  <c r="D294" i="7"/>
  <c r="D291" i="7"/>
  <c r="O283" i="7"/>
  <c r="N283" i="7"/>
  <c r="M283" i="7"/>
  <c r="L283" i="7"/>
  <c r="K283" i="7"/>
  <c r="J283" i="7"/>
  <c r="I283" i="7"/>
  <c r="H283" i="7"/>
  <c r="G283" i="7"/>
  <c r="F283" i="7"/>
  <c r="E283" i="7"/>
  <c r="D283" i="7"/>
  <c r="C283" i="7"/>
  <c r="F282" i="7"/>
  <c r="E282" i="7"/>
  <c r="D282" i="7"/>
  <c r="C282" i="7"/>
  <c r="B201" i="7"/>
  <c r="B199" i="7"/>
  <c r="B197" i="7"/>
  <c r="B195" i="7"/>
  <c r="C188" i="7"/>
  <c r="N182" i="7"/>
  <c r="AX177" i="7"/>
  <c r="AW177" i="7"/>
  <c r="AV177" i="7"/>
  <c r="AU177" i="7"/>
  <c r="AT177" i="7"/>
  <c r="AS177" i="7"/>
  <c r="AR177" i="7"/>
  <c r="AQ177" i="7"/>
  <c r="AP177" i="7"/>
  <c r="AO177" i="7"/>
  <c r="AN177" i="7"/>
  <c r="AM177" i="7"/>
  <c r="AL177" i="7"/>
  <c r="AK177" i="7"/>
  <c r="AJ177" i="7"/>
  <c r="AI177" i="7"/>
  <c r="AH177" i="7"/>
  <c r="AG177" i="7"/>
  <c r="AF177" i="7"/>
  <c r="AE177" i="7"/>
  <c r="AD177" i="7"/>
  <c r="AC177" i="7"/>
  <c r="AB177" i="7"/>
  <c r="AA177" i="7"/>
  <c r="Z177" i="7"/>
  <c r="Y177" i="7"/>
  <c r="X177" i="7"/>
  <c r="W177" i="7"/>
  <c r="V177" i="7"/>
  <c r="U177" i="7"/>
  <c r="T177" i="7"/>
  <c r="S177" i="7"/>
  <c r="R177" i="7"/>
  <c r="Q177" i="7"/>
  <c r="P177" i="7"/>
  <c r="O177" i="7"/>
  <c r="N177" i="7"/>
  <c r="M177" i="7"/>
  <c r="L177" i="7"/>
  <c r="J177" i="7"/>
  <c r="I177" i="7"/>
  <c r="H177" i="7"/>
  <c r="G177" i="7"/>
  <c r="F177" i="7"/>
  <c r="E177" i="7"/>
  <c r="D177" i="7"/>
  <c r="C177" i="7"/>
  <c r="AX176" i="7"/>
  <c r="AX186" i="7" s="1"/>
  <c r="AW176" i="7"/>
  <c r="AW186" i="7" s="1"/>
  <c r="AV186" i="7"/>
  <c r="AU176" i="7"/>
  <c r="AU186" i="7" s="1"/>
  <c r="AT176" i="7"/>
  <c r="AT186" i="7" s="1"/>
  <c r="AS176" i="7"/>
  <c r="AS186" i="7" s="1"/>
  <c r="AR176" i="7"/>
  <c r="AR186" i="7" s="1"/>
  <c r="AQ176" i="7"/>
  <c r="AQ186" i="7" s="1"/>
  <c r="AP176" i="7"/>
  <c r="AP186" i="7" s="1"/>
  <c r="AO176" i="7"/>
  <c r="AO186" i="7" s="1"/>
  <c r="AN176" i="7"/>
  <c r="AN186" i="7" s="1"/>
  <c r="AM176" i="7"/>
  <c r="AM186" i="7" s="1"/>
  <c r="AL176" i="7"/>
  <c r="AL186" i="7" s="1"/>
  <c r="AK176" i="7"/>
  <c r="AK186" i="7" s="1"/>
  <c r="AJ176" i="7"/>
  <c r="AJ186" i="7" s="1"/>
  <c r="AI176" i="7"/>
  <c r="AI186" i="7" s="1"/>
  <c r="AH176" i="7"/>
  <c r="AH186" i="7" s="1"/>
  <c r="AG176" i="7"/>
  <c r="AG186" i="7" s="1"/>
  <c r="AF176" i="7"/>
  <c r="AF186" i="7" s="1"/>
  <c r="AE176" i="7"/>
  <c r="AE186" i="7" s="1"/>
  <c r="AD176" i="7"/>
  <c r="AD186" i="7" s="1"/>
  <c r="AC176" i="7"/>
  <c r="AC186" i="7" s="1"/>
  <c r="AB176" i="7"/>
  <c r="AB186" i="7" s="1"/>
  <c r="AA176" i="7"/>
  <c r="AA186" i="7" s="1"/>
  <c r="Z176" i="7"/>
  <c r="Z186" i="7" s="1"/>
  <c r="Y176" i="7"/>
  <c r="Y186" i="7" s="1"/>
  <c r="X176" i="7"/>
  <c r="X186" i="7" s="1"/>
  <c r="W176" i="7"/>
  <c r="W186" i="7" s="1"/>
  <c r="V176" i="7"/>
  <c r="V186" i="7" s="1"/>
  <c r="U176" i="7"/>
  <c r="U186" i="7" s="1"/>
  <c r="T176" i="7"/>
  <c r="T186" i="7" s="1"/>
  <c r="S176" i="7"/>
  <c r="S186" i="7" s="1"/>
  <c r="R176" i="7"/>
  <c r="R186" i="7" s="1"/>
  <c r="Q176" i="7"/>
  <c r="Q186" i="7" s="1"/>
  <c r="P176" i="7"/>
  <c r="P186" i="7" s="1"/>
  <c r="O176" i="7"/>
  <c r="O186" i="7" s="1"/>
  <c r="N176" i="7"/>
  <c r="N186" i="7" s="1"/>
  <c r="M176" i="7"/>
  <c r="M186" i="7" s="1"/>
  <c r="L176" i="7"/>
  <c r="L186" i="7" s="1"/>
  <c r="J176" i="7"/>
  <c r="J186" i="7" s="1"/>
  <c r="I176" i="7"/>
  <c r="I186" i="7" s="1"/>
  <c r="H176" i="7"/>
  <c r="H186" i="7" s="1"/>
  <c r="G176" i="7"/>
  <c r="G186" i="7" s="1"/>
  <c r="F176" i="7"/>
  <c r="F186" i="7" s="1"/>
  <c r="E176" i="7"/>
  <c r="E186" i="7" s="1"/>
  <c r="D176" i="7"/>
  <c r="D186" i="7" s="1"/>
  <c r="C176" i="7"/>
  <c r="C186" i="7" s="1"/>
  <c r="AX173" i="7"/>
  <c r="AW173" i="7"/>
  <c r="AU173" i="7"/>
  <c r="AT173" i="7"/>
  <c r="AS173" i="7"/>
  <c r="AR173" i="7"/>
  <c r="AQ173" i="7"/>
  <c r="AP173" i="7"/>
  <c r="AO173" i="7"/>
  <c r="AN173" i="7"/>
  <c r="AM173" i="7"/>
  <c r="AL173" i="7"/>
  <c r="AK173" i="7"/>
  <c r="AJ173" i="7"/>
  <c r="AI173" i="7"/>
  <c r="AH173" i="7"/>
  <c r="AG173" i="7"/>
  <c r="AF173" i="7"/>
  <c r="AE173" i="7"/>
  <c r="AD173" i="7"/>
  <c r="AC173" i="7"/>
  <c r="AB173" i="7"/>
  <c r="AA173" i="7"/>
  <c r="Z173" i="7"/>
  <c r="Y173" i="7"/>
  <c r="X173" i="7"/>
  <c r="W173" i="7"/>
  <c r="V173" i="7"/>
  <c r="U173" i="7"/>
  <c r="T173" i="7"/>
  <c r="S173" i="7"/>
  <c r="R173" i="7"/>
  <c r="Q173" i="7"/>
  <c r="P173" i="7"/>
  <c r="O173" i="7"/>
  <c r="N173" i="7"/>
  <c r="M173" i="7"/>
  <c r="L173" i="7"/>
  <c r="K173" i="7"/>
  <c r="J173" i="7"/>
  <c r="I173" i="7"/>
  <c r="H173" i="7"/>
  <c r="G173" i="7"/>
  <c r="F173" i="7"/>
  <c r="E173" i="7"/>
  <c r="D173" i="7"/>
  <c r="C173" i="7"/>
  <c r="C162" i="7"/>
  <c r="C117" i="7"/>
  <c r="G104" i="7"/>
  <c r="H104" i="7" s="1"/>
  <c r="I104" i="7" s="1"/>
  <c r="AX95" i="7"/>
  <c r="AW95" i="7"/>
  <c r="AV95" i="7"/>
  <c r="AU95" i="7"/>
  <c r="AT95" i="7"/>
  <c r="AS95" i="7"/>
  <c r="AR95" i="7"/>
  <c r="AQ95" i="7"/>
  <c r="AP95" i="7"/>
  <c r="AO95" i="7"/>
  <c r="AN95" i="7"/>
  <c r="AM95" i="7"/>
  <c r="AL95" i="7"/>
  <c r="AK95" i="7"/>
  <c r="AJ95" i="7"/>
  <c r="AI95" i="7"/>
  <c r="AH95" i="7"/>
  <c r="AG95" i="7"/>
  <c r="AF95" i="7"/>
  <c r="AE95" i="7"/>
  <c r="AD95" i="7"/>
  <c r="AC95" i="7"/>
  <c r="AB95" i="7"/>
  <c r="AA95" i="7"/>
  <c r="X95" i="7"/>
  <c r="W95" i="7"/>
  <c r="V95" i="7"/>
  <c r="U95" i="7"/>
  <c r="T95" i="7"/>
  <c r="S95" i="7"/>
  <c r="R95" i="7"/>
  <c r="Q95" i="7"/>
  <c r="P95" i="7"/>
  <c r="O95" i="7"/>
  <c r="N95" i="7"/>
  <c r="M95" i="7"/>
  <c r="L95" i="7"/>
  <c r="K95" i="7"/>
  <c r="J95" i="7"/>
  <c r="I95" i="7"/>
  <c r="H95" i="7"/>
  <c r="G95" i="7"/>
  <c r="F95" i="7"/>
  <c r="E95" i="7"/>
  <c r="D95" i="7"/>
  <c r="C95" i="7"/>
  <c r="AX92" i="7"/>
  <c r="AW92" i="7"/>
  <c r="AV92" i="7"/>
  <c r="AU92" i="7"/>
  <c r="AT92" i="7"/>
  <c r="AS92" i="7"/>
  <c r="AR92" i="7"/>
  <c r="AQ92" i="7"/>
  <c r="AP92" i="7"/>
  <c r="AO92" i="7"/>
  <c r="AN92" i="7"/>
  <c r="AM92" i="7"/>
  <c r="AL92"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D71" i="7"/>
  <c r="D72" i="7" s="1"/>
  <c r="C71" i="7"/>
  <c r="D81" i="7" l="1"/>
  <c r="C72" i="7"/>
  <c r="C81" i="7" s="1"/>
  <c r="C98" i="7"/>
  <c r="C107" i="7" s="1"/>
  <c r="N111" i="7" s="1"/>
  <c r="BG88" i="5"/>
  <c r="BZ88" i="5"/>
  <c r="CA88" i="5"/>
  <c r="BV88" i="5"/>
  <c r="D88" i="16" s="1"/>
  <c r="E88" i="16" s="1"/>
  <c r="BY88" i="5"/>
  <c r="BT42" i="5"/>
  <c r="BL42" i="5"/>
  <c r="BP42" i="5"/>
  <c r="BM42" i="5"/>
  <c r="BQ42" i="5"/>
  <c r="BU42" i="5"/>
  <c r="BO42" i="5"/>
  <c r="BR42" i="5"/>
  <c r="BS42" i="5"/>
  <c r="C307" i="7"/>
  <c r="C303" i="7" s="1"/>
  <c r="C299" i="7"/>
  <c r="D113" i="7"/>
  <c r="D117" i="7" s="1"/>
  <c r="E149" i="7"/>
  <c r="E162" i="7" s="1"/>
  <c r="AL88" i="5"/>
  <c r="AQ88" i="5" s="1"/>
  <c r="D216" i="7"/>
  <c r="AP39" i="5"/>
  <c r="AV39" i="5"/>
  <c r="AV42" i="5" s="1"/>
  <c r="AO39" i="5"/>
  <c r="AW39" i="5"/>
  <c r="AW42" i="5" s="1"/>
  <c r="E307" i="7"/>
  <c r="F307" i="7"/>
  <c r="D303" i="7"/>
  <c r="E294" i="7"/>
  <c r="D237" i="7"/>
  <c r="E295" i="7"/>
  <c r="D265" i="7"/>
  <c r="AU155" i="7"/>
  <c r="D103" i="7"/>
  <c r="R187" i="7"/>
  <c r="Z187" i="7"/>
  <c r="AH187" i="7"/>
  <c r="AP187" i="7"/>
  <c r="AX187" i="7"/>
  <c r="L187" i="7"/>
  <c r="P187" i="7"/>
  <c r="AF187" i="7"/>
  <c r="AN187" i="7"/>
  <c r="AV187" i="7"/>
  <c r="U187" i="7"/>
  <c r="AC187" i="7"/>
  <c r="AS187" i="7"/>
  <c r="AL182" i="7"/>
  <c r="AR187" i="7"/>
  <c r="X187" i="7"/>
  <c r="M187" i="7"/>
  <c r="T187" i="7"/>
  <c r="AB187" i="7"/>
  <c r="AJ187" i="7"/>
  <c r="N187" i="7"/>
  <c r="AE187" i="7"/>
  <c r="O187" i="7"/>
  <c r="W187" i="7"/>
  <c r="AM187" i="7"/>
  <c r="AU187" i="7"/>
  <c r="Q187" i="7"/>
  <c r="AG187" i="7"/>
  <c r="AO187" i="7"/>
  <c r="S187" i="7"/>
  <c r="AA187" i="7"/>
  <c r="AI187" i="7"/>
  <c r="AQ187" i="7"/>
  <c r="Z182" i="7"/>
  <c r="V187" i="7"/>
  <c r="AD187" i="7"/>
  <c r="AL187" i="7"/>
  <c r="AT187" i="7"/>
  <c r="E291" i="7"/>
  <c r="P87" i="16" l="1"/>
  <c r="E87" i="16"/>
  <c r="CK88" i="5"/>
  <c r="BU57" i="5"/>
  <c r="AN10" i="11"/>
  <c r="AN13" i="11" s="1"/>
  <c r="BR57" i="5"/>
  <c r="AK10" i="11"/>
  <c r="AK13" i="11" s="1"/>
  <c r="BQ57" i="5"/>
  <c r="AJ10" i="11"/>
  <c r="AJ13" i="11" s="1"/>
  <c r="BT57" i="5"/>
  <c r="AM10" i="11"/>
  <c r="AM13" i="11" s="1"/>
  <c r="BS57" i="5"/>
  <c r="AL10" i="11"/>
  <c r="AL13" i="11" s="1"/>
  <c r="BL57" i="5"/>
  <c r="AE10" i="11"/>
  <c r="AE13" i="11" s="1"/>
  <c r="BO57" i="5"/>
  <c r="AH10" i="11"/>
  <c r="AH13" i="11" s="1"/>
  <c r="BM57" i="5"/>
  <c r="AF10" i="11"/>
  <c r="AF13" i="11" s="1"/>
  <c r="BK57" i="5"/>
  <c r="AD10" i="11"/>
  <c r="AD13" i="11" s="1"/>
  <c r="BP57" i="5"/>
  <c r="AI10" i="11"/>
  <c r="AI13" i="11" s="1"/>
  <c r="D301" i="7"/>
  <c r="D299" i="7" s="1"/>
  <c r="C249" i="7"/>
  <c r="AK187" i="7"/>
  <c r="Y187" i="7"/>
  <c r="AW187" i="7"/>
  <c r="C242" i="7"/>
  <c r="C243" i="7" s="1"/>
  <c r="D240" i="7" s="1"/>
  <c r="G303" i="7"/>
  <c r="C102" i="7"/>
  <c r="E216" i="7"/>
  <c r="L303" i="7"/>
  <c r="J303" i="7"/>
  <c r="S303" i="7"/>
  <c r="R303" i="7"/>
  <c r="K303" i="7"/>
  <c r="N303" i="7"/>
  <c r="F303" i="7"/>
  <c r="E303" i="7"/>
  <c r="O303" i="7"/>
  <c r="P303" i="7"/>
  <c r="C5" i="8"/>
  <c r="M303" i="7"/>
  <c r="F294" i="7"/>
  <c r="E237" i="7"/>
  <c r="F295" i="7"/>
  <c r="E265" i="7"/>
  <c r="AV155" i="7"/>
  <c r="C101" i="7"/>
  <c r="C161" i="7" s="1"/>
  <c r="D91" i="7"/>
  <c r="F291" i="7"/>
  <c r="F149" i="7"/>
  <c r="F162" i="7" s="1"/>
  <c r="E113" i="7"/>
  <c r="E117" i="7" s="1"/>
  <c r="K104" i="7"/>
  <c r="G103" i="7"/>
  <c r="F103" i="7"/>
  <c r="AY235" i="7" l="1"/>
  <c r="AY221" i="7"/>
  <c r="E301" i="7"/>
  <c r="E299" i="7" s="1"/>
  <c r="C256" i="7"/>
  <c r="D98" i="7"/>
  <c r="E91" i="7" s="1"/>
  <c r="D146" i="7"/>
  <c r="D256" i="7"/>
  <c r="D249" i="7"/>
  <c r="F216" i="7"/>
  <c r="AG121" i="5"/>
  <c r="E22" i="11" s="1"/>
  <c r="E24" i="11" s="1"/>
  <c r="AQ4" i="5"/>
  <c r="AQ6" i="5" s="1"/>
  <c r="G294" i="7"/>
  <c r="F237" i="7"/>
  <c r="G295" i="7"/>
  <c r="F265" i="7"/>
  <c r="AX155" i="7"/>
  <c r="AW155" i="7"/>
  <c r="F113" i="7"/>
  <c r="F117" i="7" s="1"/>
  <c r="G149" i="7"/>
  <c r="G162" i="7" s="1"/>
  <c r="L104" i="7"/>
  <c r="G291" i="7"/>
  <c r="AZ235" i="7" l="1"/>
  <c r="AZ221" i="7"/>
  <c r="F301" i="7"/>
  <c r="F299" i="7" s="1"/>
  <c r="D242" i="7"/>
  <c r="D243" i="7" s="1"/>
  <c r="E240" i="7" s="1"/>
  <c r="D107" i="7"/>
  <c r="D102" i="7" s="1"/>
  <c r="D101" i="7"/>
  <c r="E98" i="7"/>
  <c r="E146" i="7"/>
  <c r="G216" i="7"/>
  <c r="C257" i="7"/>
  <c r="D254" i="7" s="1"/>
  <c r="C165" i="7"/>
  <c r="C208" i="7" s="1"/>
  <c r="H294" i="7"/>
  <c r="G237" i="7"/>
  <c r="H295" i="7"/>
  <c r="G265" i="7"/>
  <c r="I103" i="7"/>
  <c r="H103" i="7"/>
  <c r="M104" i="7"/>
  <c r="H291" i="7"/>
  <c r="G113" i="7"/>
  <c r="G117" i="7" s="1"/>
  <c r="H149" i="7"/>
  <c r="H162" i="7" s="1"/>
  <c r="AY228" i="7" l="1"/>
  <c r="BA235" i="7"/>
  <c r="BA221" i="7"/>
  <c r="G301" i="7"/>
  <c r="G299" i="7" s="1"/>
  <c r="D161" i="7"/>
  <c r="D165" i="7" s="1"/>
  <c r="D208" i="7" s="1"/>
  <c r="D257" i="7"/>
  <c r="E254" i="7" s="1"/>
  <c r="C193" i="7"/>
  <c r="C207" i="7" s="1"/>
  <c r="C277" i="7" s="1"/>
  <c r="C206" i="7"/>
  <c r="C204" i="7"/>
  <c r="E101" i="7"/>
  <c r="E161" i="7" s="1"/>
  <c r="E107" i="7"/>
  <c r="E102" i="7" s="1"/>
  <c r="F91" i="7"/>
  <c r="H216" i="7"/>
  <c r="I294" i="7"/>
  <c r="H237" i="7"/>
  <c r="I295" i="7"/>
  <c r="H265" i="7"/>
  <c r="I149" i="7"/>
  <c r="I162" i="7" s="1"/>
  <c r="H113" i="7"/>
  <c r="H117" i="7" s="1"/>
  <c r="I291" i="7"/>
  <c r="AZ228" i="7" l="1"/>
  <c r="BB235" i="7"/>
  <c r="BB221" i="7"/>
  <c r="C205" i="7"/>
  <c r="C270" i="7" s="1"/>
  <c r="C271" i="7" s="1"/>
  <c r="D268" i="7" s="1"/>
  <c r="H301" i="7"/>
  <c r="H299" i="7" s="1"/>
  <c r="D193" i="7"/>
  <c r="D207" i="7" s="1"/>
  <c r="D277" i="7" s="1"/>
  <c r="D204" i="7"/>
  <c r="D206" i="7"/>
  <c r="C203" i="7"/>
  <c r="C263" i="7" s="1"/>
  <c r="C264" i="7" s="1"/>
  <c r="D261" i="7" s="1"/>
  <c r="C195" i="7"/>
  <c r="C199" i="7"/>
  <c r="C197" i="7"/>
  <c r="C201" i="7"/>
  <c r="AJ121" i="5"/>
  <c r="H22" i="11" s="1"/>
  <c r="H24" i="11" s="1"/>
  <c r="F98" i="7"/>
  <c r="F146" i="7"/>
  <c r="E165" i="7"/>
  <c r="E208" i="7" s="1"/>
  <c r="I216" i="7"/>
  <c r="J294" i="7"/>
  <c r="I237" i="7"/>
  <c r="J295" i="7"/>
  <c r="I265" i="7"/>
  <c r="J291" i="7"/>
  <c r="O104" i="7"/>
  <c r="I113" i="7"/>
  <c r="I117" i="7" s="1"/>
  <c r="J149" i="7"/>
  <c r="J162" i="7" s="1"/>
  <c r="J103" i="7"/>
  <c r="BA228" i="7" l="1"/>
  <c r="BC235" i="7"/>
  <c r="BC221" i="7"/>
  <c r="D203" i="7"/>
  <c r="D263" i="7" s="1"/>
  <c r="D264" i="7" s="1"/>
  <c r="E261" i="7" s="1"/>
  <c r="D205" i="7"/>
  <c r="D270" i="7" s="1"/>
  <c r="D271" i="7" s="1"/>
  <c r="E268" i="7" s="1"/>
  <c r="I301" i="7"/>
  <c r="I299" i="7" s="1"/>
  <c r="C209" i="7"/>
  <c r="E193" i="7"/>
  <c r="E207" i="7" s="1"/>
  <c r="E277" i="7" s="1"/>
  <c r="E206" i="7"/>
  <c r="E204" i="7"/>
  <c r="AK121" i="5"/>
  <c r="I22" i="11" s="1"/>
  <c r="I24" i="11" s="1"/>
  <c r="F107" i="7"/>
  <c r="F102" i="7" s="1"/>
  <c r="F101" i="7"/>
  <c r="F161" i="7" s="1"/>
  <c r="G91" i="7"/>
  <c r="J216" i="7"/>
  <c r="K294" i="7"/>
  <c r="J237" i="7"/>
  <c r="K295" i="7"/>
  <c r="J265" i="7"/>
  <c r="K291" i="7"/>
  <c r="P104" i="7"/>
  <c r="K103" i="7"/>
  <c r="K149" i="7"/>
  <c r="K162" i="7" s="1"/>
  <c r="J113" i="7"/>
  <c r="J117" i="7" s="1"/>
  <c r="BB228" i="7" l="1"/>
  <c r="BD235" i="7"/>
  <c r="BD221" i="7"/>
  <c r="E203" i="7"/>
  <c r="E263" i="7" s="1"/>
  <c r="E264" i="7" s="1"/>
  <c r="F261" i="7" s="1"/>
  <c r="J301" i="7"/>
  <c r="J299" i="7" s="1"/>
  <c r="G98" i="7"/>
  <c r="G101" i="7" s="1"/>
  <c r="G146" i="7"/>
  <c r="F165" i="7"/>
  <c r="F208" i="7" s="1"/>
  <c r="K216" i="7"/>
  <c r="L294" i="7"/>
  <c r="K237" i="7"/>
  <c r="K265" i="7"/>
  <c r="L103" i="7"/>
  <c r="K113" i="7"/>
  <c r="K117" i="7" s="1"/>
  <c r="L149" i="7"/>
  <c r="L162" i="7" s="1"/>
  <c r="Q104" i="7"/>
  <c r="AE150" i="5"/>
  <c r="C31" i="11" s="1"/>
  <c r="BC228" i="7" l="1"/>
  <c r="BE235" i="7"/>
  <c r="BE221" i="7"/>
  <c r="K301" i="7"/>
  <c r="K299" i="7" s="1"/>
  <c r="AM121" i="5"/>
  <c r="K22" i="11" s="1"/>
  <c r="K24" i="11" s="1"/>
  <c r="F193" i="7"/>
  <c r="F207" i="7" s="1"/>
  <c r="F277" i="7" s="1"/>
  <c r="F206" i="7"/>
  <c r="F204" i="7"/>
  <c r="G107" i="7"/>
  <c r="G102" i="7" s="1"/>
  <c r="H91" i="7"/>
  <c r="G161" i="7"/>
  <c r="C33" i="11"/>
  <c r="C34" i="11" s="1"/>
  <c r="D34" i="11" s="1"/>
  <c r="E34" i="11" s="1"/>
  <c r="F34" i="11" s="1"/>
  <c r="G34" i="11" s="1"/>
  <c r="H34" i="11" s="1"/>
  <c r="I34" i="11" s="1"/>
  <c r="J34" i="11" s="1"/>
  <c r="K34" i="11" s="1"/>
  <c r="L34" i="11" s="1"/>
  <c r="M34" i="11" s="1"/>
  <c r="N34" i="11" s="1"/>
  <c r="O31" i="11"/>
  <c r="O34" i="11" s="1"/>
  <c r="L216" i="7"/>
  <c r="M294" i="7"/>
  <c r="L237" i="7"/>
  <c r="M295" i="7"/>
  <c r="L265" i="7"/>
  <c r="M149" i="7"/>
  <c r="M162" i="7" s="1"/>
  <c r="L113" i="7"/>
  <c r="L117" i="7" s="1"/>
  <c r="N103" i="7"/>
  <c r="M103" i="7"/>
  <c r="R104" i="7"/>
  <c r="M291" i="7"/>
  <c r="AF108" i="5"/>
  <c r="BD228" i="7" l="1"/>
  <c r="BF235" i="7"/>
  <c r="BJ235" i="7"/>
  <c r="BF221" i="7"/>
  <c r="BJ221" i="7"/>
  <c r="L301" i="7"/>
  <c r="L299" i="7" s="1"/>
  <c r="F203" i="7"/>
  <c r="F263" i="7" s="1"/>
  <c r="F264" i="7" s="1"/>
  <c r="G261" i="7" s="1"/>
  <c r="G165" i="7"/>
  <c r="G208" i="7" s="1"/>
  <c r="H98" i="7"/>
  <c r="H146" i="7"/>
  <c r="M216" i="7"/>
  <c r="N294" i="7"/>
  <c r="M237" i="7"/>
  <c r="N295" i="7"/>
  <c r="M265" i="7"/>
  <c r="S104" i="7"/>
  <c r="N149" i="7"/>
  <c r="N162" i="7" s="1"/>
  <c r="M113" i="7"/>
  <c r="M117" i="7" s="1"/>
  <c r="N291" i="7"/>
  <c r="AE98" i="5"/>
  <c r="BE228" i="7" l="1"/>
  <c r="M301" i="7"/>
  <c r="M299" i="7" s="1"/>
  <c r="G193" i="7"/>
  <c r="G207" i="7" s="1"/>
  <c r="G277" i="7" s="1"/>
  <c r="G206" i="7"/>
  <c r="G204" i="7"/>
  <c r="H107" i="7"/>
  <c r="H102" i="7" s="1"/>
  <c r="I91" i="7"/>
  <c r="H101" i="7"/>
  <c r="H161" i="7" s="1"/>
  <c r="V256" i="7"/>
  <c r="V242" i="7"/>
  <c r="V249" i="7"/>
  <c r="N216" i="7"/>
  <c r="AQ78" i="5"/>
  <c r="O294" i="7"/>
  <c r="N237" i="7"/>
  <c r="O295" i="7"/>
  <c r="N265" i="7"/>
  <c r="T104" i="7"/>
  <c r="O291" i="7"/>
  <c r="N113" i="7"/>
  <c r="N117" i="7" s="1"/>
  <c r="O113" i="7" s="1"/>
  <c r="O149" i="7"/>
  <c r="O162" i="7" s="1"/>
  <c r="AA160" i="5"/>
  <c r="BF228" i="7" l="1"/>
  <c r="BJ228" i="7"/>
  <c r="O117" i="7"/>
  <c r="N301" i="7"/>
  <c r="N299" i="7" s="1"/>
  <c r="C7" i="8" s="1"/>
  <c r="G203" i="7"/>
  <c r="G263" i="7" s="1"/>
  <c r="G264" i="7" s="1"/>
  <c r="H261" i="7" s="1"/>
  <c r="AQ81" i="5"/>
  <c r="H165" i="7"/>
  <c r="H208" i="7" s="1"/>
  <c r="I98" i="7"/>
  <c r="I146" i="7"/>
  <c r="O216" i="7"/>
  <c r="P294" i="7"/>
  <c r="O237" i="7"/>
  <c r="P295" i="7"/>
  <c r="O265" i="7"/>
  <c r="P149" i="7"/>
  <c r="P162" i="7" s="1"/>
  <c r="U104" i="7"/>
  <c r="AA161" i="5"/>
  <c r="AE99" i="5"/>
  <c r="AE121" i="5" s="1"/>
  <c r="AF121" i="5"/>
  <c r="D22" i="11" s="1"/>
  <c r="D24" i="11" s="1"/>
  <c r="O301" i="7" l="1"/>
  <c r="O299" i="7" s="1"/>
  <c r="AU78" i="5"/>
  <c r="AU121" i="5" s="1"/>
  <c r="H193" i="7"/>
  <c r="H207" i="7" s="1"/>
  <c r="H277" i="7" s="1"/>
  <c r="H206" i="7"/>
  <c r="H204" i="7"/>
  <c r="I107" i="7"/>
  <c r="I102" i="7" s="1"/>
  <c r="I101" i="7"/>
  <c r="I161" i="7" s="1"/>
  <c r="J91" i="7"/>
  <c r="W256" i="7"/>
  <c r="W249" i="7"/>
  <c r="AE126" i="5"/>
  <c r="C22" i="11"/>
  <c r="C24" i="11" s="1"/>
  <c r="C25" i="11" s="1"/>
  <c r="D25" i="11" s="1"/>
  <c r="E25" i="11" s="1"/>
  <c r="P216" i="7"/>
  <c r="AV78" i="5" s="1"/>
  <c r="Q303" i="7"/>
  <c r="AY39" i="5"/>
  <c r="BG39" i="5" s="1"/>
  <c r="BG42" i="5" s="1"/>
  <c r="BG57" i="5" s="1"/>
  <c r="Q294" i="7"/>
  <c r="P237" i="7"/>
  <c r="Q295" i="7"/>
  <c r="P265" i="7"/>
  <c r="AV84" i="5" s="1"/>
  <c r="V104" i="7"/>
  <c r="W104" i="7" s="1"/>
  <c r="Q291" i="7"/>
  <c r="AV121" i="5" l="1"/>
  <c r="P301" i="7"/>
  <c r="P299" i="7" s="1"/>
  <c r="H203" i="7"/>
  <c r="H263" i="7" s="1"/>
  <c r="H264" i="7" s="1"/>
  <c r="I261" i="7" s="1"/>
  <c r="W242" i="7"/>
  <c r="J98" i="7"/>
  <c r="J146" i="7"/>
  <c r="I165" i="7"/>
  <c r="X256" i="7"/>
  <c r="X249" i="7"/>
  <c r="Q216" i="7"/>
  <c r="R294" i="7"/>
  <c r="Q237" i="7"/>
  <c r="R295" i="7"/>
  <c r="Q265" i="7"/>
  <c r="AW84" i="5" s="1"/>
  <c r="R291" i="7"/>
  <c r="I206" i="7" l="1"/>
  <c r="I208" i="7"/>
  <c r="Q301" i="7"/>
  <c r="Q299" i="7" s="1"/>
  <c r="AW78" i="5"/>
  <c r="X242" i="7"/>
  <c r="I193" i="7"/>
  <c r="I204" i="7"/>
  <c r="J107" i="7"/>
  <c r="J102" i="7" s="1"/>
  <c r="K91" i="7"/>
  <c r="J101" i="7"/>
  <c r="J161" i="7" s="1"/>
  <c r="Y256" i="7"/>
  <c r="Y249" i="7"/>
  <c r="R216" i="7"/>
  <c r="S294" i="7"/>
  <c r="R237" i="7"/>
  <c r="S295" i="7"/>
  <c r="R265" i="7"/>
  <c r="AX84" i="5" s="1"/>
  <c r="I205" i="7" l="1"/>
  <c r="AW121" i="5"/>
  <c r="R22" i="11" s="1"/>
  <c r="R24" i="11" s="1"/>
  <c r="I207" i="7"/>
  <c r="I277" i="7" s="1"/>
  <c r="R301" i="7"/>
  <c r="R299" i="7" s="1"/>
  <c r="I203" i="7"/>
  <c r="I263" i="7" s="1"/>
  <c r="I264" i="7" s="1"/>
  <c r="J261" i="7" s="1"/>
  <c r="AX78" i="5"/>
  <c r="Y242" i="7"/>
  <c r="J165" i="7"/>
  <c r="J208" i="7" s="1"/>
  <c r="K98" i="7"/>
  <c r="K146" i="7"/>
  <c r="AS256" i="7"/>
  <c r="AS249" i="7"/>
  <c r="AT221" i="7"/>
  <c r="AS221" i="7"/>
  <c r="Z256" i="7"/>
  <c r="Z249" i="7"/>
  <c r="AT256" i="7"/>
  <c r="AT249" i="7"/>
  <c r="BN42" i="5"/>
  <c r="S216" i="7"/>
  <c r="AY78" i="5" s="1"/>
  <c r="T294" i="7"/>
  <c r="S237" i="7"/>
  <c r="T295" i="7"/>
  <c r="S265" i="7"/>
  <c r="AY84" i="5" s="1"/>
  <c r="T291" i="7"/>
  <c r="Q149" i="7"/>
  <c r="Q162" i="7" s="1"/>
  <c r="P113" i="7"/>
  <c r="AX121" i="5" l="1"/>
  <c r="P117" i="7"/>
  <c r="R149" i="7" s="1"/>
  <c r="R162" i="7" s="1"/>
  <c r="BN57" i="5"/>
  <c r="AG10" i="11"/>
  <c r="Z242" i="7"/>
  <c r="AT242" i="7"/>
  <c r="AS242" i="7"/>
  <c r="J193" i="7"/>
  <c r="J207" i="7" s="1"/>
  <c r="J277" i="7" s="1"/>
  <c r="J206" i="7"/>
  <c r="J204" i="7"/>
  <c r="L91" i="7"/>
  <c r="K107" i="7"/>
  <c r="K102" i="7" s="1"/>
  <c r="K101" i="7"/>
  <c r="K161" i="7" s="1"/>
  <c r="AA221" i="7"/>
  <c r="AU256" i="7"/>
  <c r="AU249" i="7"/>
  <c r="AB249" i="7"/>
  <c r="AA256" i="7"/>
  <c r="AA249" i="7"/>
  <c r="AB221" i="7"/>
  <c r="AD249" i="7"/>
  <c r="AU221" i="7"/>
  <c r="AD256" i="7"/>
  <c r="AC10" i="11"/>
  <c r="AC13" i="11" s="1"/>
  <c r="AC14" i="11" s="1"/>
  <c r="AD14" i="11" s="1"/>
  <c r="AE14" i="11" s="1"/>
  <c r="AF14" i="11" s="1"/>
  <c r="BV39" i="5"/>
  <c r="D39" i="16" s="1"/>
  <c r="E39" i="16" s="1"/>
  <c r="T216" i="7"/>
  <c r="AZ78" i="5" s="1"/>
  <c r="V303" i="7"/>
  <c r="U294" i="7"/>
  <c r="T237" i="7"/>
  <c r="U295" i="7"/>
  <c r="T265" i="7"/>
  <c r="AZ84" i="5" s="1"/>
  <c r="AD221" i="7"/>
  <c r="U291" i="7"/>
  <c r="AB256" i="7" l="1"/>
  <c r="BV42" i="5"/>
  <c r="P38" i="16"/>
  <c r="AZ121" i="5"/>
  <c r="Q113" i="7"/>
  <c r="Q117" i="7"/>
  <c r="S149" i="7" s="1"/>
  <c r="S162" i="7" s="1"/>
  <c r="AO10" i="11"/>
  <c r="AO14" i="11" s="1"/>
  <c r="AG13" i="11"/>
  <c r="AG14" i="11" s="1"/>
  <c r="AH14" i="11" s="1"/>
  <c r="AI14" i="11" s="1"/>
  <c r="AJ14" i="11" s="1"/>
  <c r="AK14" i="11" s="1"/>
  <c r="AL14" i="11" s="1"/>
  <c r="AM14" i="11" s="1"/>
  <c r="AN14" i="11" s="1"/>
  <c r="S22" i="11"/>
  <c r="S24" i="11" s="1"/>
  <c r="T301" i="7"/>
  <c r="T299" i="7" s="1"/>
  <c r="AC221" i="7"/>
  <c r="J203" i="7"/>
  <c r="J263" i="7" s="1"/>
  <c r="J264" i="7" s="1"/>
  <c r="K261" i="7" s="1"/>
  <c r="AA242" i="7"/>
  <c r="AD242" i="7"/>
  <c r="AU242" i="7"/>
  <c r="K165" i="7"/>
  <c r="K208" i="7" s="1"/>
  <c r="L98" i="7"/>
  <c r="L146" i="7"/>
  <c r="AV221" i="7"/>
  <c r="AE256" i="7"/>
  <c r="AX256" i="7"/>
  <c r="AX242" i="7"/>
  <c r="AX249" i="7"/>
  <c r="AE249" i="7"/>
  <c r="AV256" i="7"/>
  <c r="AV249" i="7"/>
  <c r="AC242" i="7"/>
  <c r="AC249" i="7"/>
  <c r="AC256" i="7"/>
  <c r="U216" i="7"/>
  <c r="V294" i="7"/>
  <c r="U237" i="7"/>
  <c r="V295" i="7"/>
  <c r="U265" i="7"/>
  <c r="BA84" i="5" s="1"/>
  <c r="V291" i="7"/>
  <c r="AE221" i="7"/>
  <c r="AX221" i="7"/>
  <c r="E6" i="8"/>
  <c r="AW221" i="7"/>
  <c r="P41" i="16" l="1"/>
  <c r="D42" i="16"/>
  <c r="E42" i="16" s="1"/>
  <c r="E41" i="16"/>
  <c r="BV43" i="5"/>
  <c r="BV57" i="5"/>
  <c r="R113" i="7"/>
  <c r="R117" i="7" s="1"/>
  <c r="U301" i="7"/>
  <c r="U299" i="7" s="1"/>
  <c r="U22" i="11"/>
  <c r="U24" i="11" s="1"/>
  <c r="BA78" i="5"/>
  <c r="AV242" i="7"/>
  <c r="AE242" i="7"/>
  <c r="K193" i="7"/>
  <c r="K207" i="7" s="1"/>
  <c r="K277" i="7" s="1"/>
  <c r="K206" i="7"/>
  <c r="K204" i="7"/>
  <c r="M91" i="7"/>
  <c r="L107" i="7"/>
  <c r="L101" i="7"/>
  <c r="L161" i="7" s="1"/>
  <c r="W122" i="7"/>
  <c r="AW256" i="7"/>
  <c r="AW249" i="7"/>
  <c r="V216" i="7"/>
  <c r="W303" i="7"/>
  <c r="X303" i="7"/>
  <c r="W294" i="7"/>
  <c r="V237" i="7"/>
  <c r="W295" i="7"/>
  <c r="V265" i="7"/>
  <c r="BB84" i="5" s="1"/>
  <c r="W291" i="7"/>
  <c r="D143" i="5"/>
  <c r="E143" i="5"/>
  <c r="F143" i="5"/>
  <c r="G143" i="5"/>
  <c r="H143" i="5"/>
  <c r="I143" i="5"/>
  <c r="J143" i="5"/>
  <c r="K143" i="5"/>
  <c r="L143" i="5"/>
  <c r="M143" i="5"/>
  <c r="N143" i="5"/>
  <c r="P143" i="5" s="1"/>
  <c r="Q143" i="5" s="1"/>
  <c r="R143" i="5" s="1"/>
  <c r="S143" i="5" s="1"/>
  <c r="T143" i="5" s="1"/>
  <c r="U143" i="5" s="1"/>
  <c r="V143" i="5" s="1"/>
  <c r="W143" i="5" s="1"/>
  <c r="X143" i="5" s="1"/>
  <c r="Y143" i="5" s="1"/>
  <c r="Z143" i="5" s="1"/>
  <c r="AA143" i="5" s="1"/>
  <c r="AE143" i="5" s="1"/>
  <c r="AF143" i="5" s="1"/>
  <c r="AG143" i="5" s="1"/>
  <c r="AH143" i="5" s="1"/>
  <c r="AI143" i="5" s="1"/>
  <c r="AJ143" i="5" s="1"/>
  <c r="AK143" i="5" s="1"/>
  <c r="AL143" i="5" s="1"/>
  <c r="AM143" i="5" s="1"/>
  <c r="AN143" i="5" s="1"/>
  <c r="AO143" i="5" s="1"/>
  <c r="AP143" i="5" s="1"/>
  <c r="AU143" i="5" s="1"/>
  <c r="AV143" i="5" s="1"/>
  <c r="AW143" i="5" s="1"/>
  <c r="AX143" i="5" s="1"/>
  <c r="AY143" i="5" s="1"/>
  <c r="AZ143" i="5" s="1"/>
  <c r="BA143" i="5" s="1"/>
  <c r="BB143" i="5" s="1"/>
  <c r="BC143" i="5" s="1"/>
  <c r="BD143" i="5" s="1"/>
  <c r="BE143" i="5" s="1"/>
  <c r="BF143" i="5" s="1"/>
  <c r="C143" i="5"/>
  <c r="O136" i="5"/>
  <c r="O120" i="5"/>
  <c r="O119" i="5"/>
  <c r="O118" i="5"/>
  <c r="O117" i="5"/>
  <c r="O116" i="5"/>
  <c r="O115" i="5"/>
  <c r="O114" i="5"/>
  <c r="O113" i="5"/>
  <c r="O91" i="5"/>
  <c r="O52" i="5"/>
  <c r="O51" i="5"/>
  <c r="O50" i="5"/>
  <c r="O49" i="5"/>
  <c r="O48" i="5"/>
  <c r="O47" i="5"/>
  <c r="O5" i="5"/>
  <c r="O28" i="5"/>
  <c r="O27" i="5"/>
  <c r="O26" i="5"/>
  <c r="O25" i="5"/>
  <c r="O24" i="5"/>
  <c r="O23" i="5"/>
  <c r="O22" i="5"/>
  <c r="O21" i="5"/>
  <c r="O20" i="5"/>
  <c r="O19" i="5"/>
  <c r="O40" i="5"/>
  <c r="S113" i="7" l="1"/>
  <c r="S117" i="7" s="1"/>
  <c r="T149" i="7"/>
  <c r="T162" i="7" s="1"/>
  <c r="P56" i="16"/>
  <c r="D57" i="16"/>
  <c r="E57" i="16" s="1"/>
  <c r="P42" i="16"/>
  <c r="D43" i="16"/>
  <c r="BV58" i="5"/>
  <c r="BJ143" i="5"/>
  <c r="BK143" i="5" s="1"/>
  <c r="BL143" i="5" s="1"/>
  <c r="BM143" i="5" s="1"/>
  <c r="BN143" i="5" s="1"/>
  <c r="BO143" i="5" s="1"/>
  <c r="BP143" i="5" s="1"/>
  <c r="BQ143" i="5" s="1"/>
  <c r="BR143" i="5" s="1"/>
  <c r="BS143" i="5" s="1"/>
  <c r="BT143" i="5" s="1"/>
  <c r="BU143" i="5" s="1"/>
  <c r="BY143" i="5" s="1"/>
  <c r="BZ143" i="5" s="1"/>
  <c r="CA143" i="5" s="1"/>
  <c r="CB143" i="5" s="1"/>
  <c r="CC143" i="5" s="1"/>
  <c r="CD143" i="5" s="1"/>
  <c r="CE143" i="5" s="1"/>
  <c r="CF143" i="5" s="1"/>
  <c r="CG143" i="5" s="1"/>
  <c r="CH143" i="5" s="1"/>
  <c r="CI143" i="5" s="1"/>
  <c r="CJ143" i="5" s="1"/>
  <c r="BG143" i="5"/>
  <c r="BA121" i="5"/>
  <c r="V22" i="11" s="1"/>
  <c r="V24" i="11" s="1"/>
  <c r="W126" i="7"/>
  <c r="Y307" i="7"/>
  <c r="V301" i="7"/>
  <c r="V299" i="7" s="1"/>
  <c r="AF256" i="7"/>
  <c r="BB78" i="5"/>
  <c r="BB121" i="5" s="1"/>
  <c r="K203" i="7"/>
  <c r="K263" i="7" s="1"/>
  <c r="K264" i="7" s="1"/>
  <c r="AW242" i="7"/>
  <c r="AF221" i="7"/>
  <c r="L102" i="7"/>
  <c r="M98" i="7"/>
  <c r="M146" i="7"/>
  <c r="X122" i="7"/>
  <c r="AG249" i="7"/>
  <c r="AF249" i="7"/>
  <c r="AG256" i="7"/>
  <c r="AG221" i="7"/>
  <c r="W216" i="7"/>
  <c r="X294" i="7"/>
  <c r="W237" i="7"/>
  <c r="X295" i="7"/>
  <c r="Y295" i="7" s="1"/>
  <c r="W265" i="7"/>
  <c r="BC84" i="5" s="1"/>
  <c r="X291" i="7"/>
  <c r="AE40" i="5"/>
  <c r="T113" i="7" l="1"/>
  <c r="U149" i="7"/>
  <c r="U162" i="7" s="1"/>
  <c r="P57" i="16"/>
  <c r="D58" i="16"/>
  <c r="CK143" i="5"/>
  <c r="CN143" i="5"/>
  <c r="CO143" i="5" s="1"/>
  <c r="CP143" i="5" s="1"/>
  <c r="CQ143" i="5" s="1"/>
  <c r="CR143" i="5" s="1"/>
  <c r="CS143" i="5" s="1"/>
  <c r="CT143" i="5" s="1"/>
  <c r="CU143" i="5" s="1"/>
  <c r="CV143" i="5" s="1"/>
  <c r="CW143" i="5" s="1"/>
  <c r="CX143" i="5" s="1"/>
  <c r="CY143" i="5" s="1"/>
  <c r="CZ143" i="5" s="1"/>
  <c r="BV143" i="5"/>
  <c r="D143" i="16" s="1"/>
  <c r="E143" i="16" s="1"/>
  <c r="X121" i="7"/>
  <c r="BE4" i="5"/>
  <c r="BF6" i="5"/>
  <c r="W301" i="7"/>
  <c r="W299" i="7" s="1"/>
  <c r="BC78" i="5"/>
  <c r="AG242" i="7"/>
  <c r="AF242" i="7"/>
  <c r="L165" i="7"/>
  <c r="M101" i="7"/>
  <c r="M161" i="7" s="1"/>
  <c r="M107" i="7"/>
  <c r="N112" i="7" s="1"/>
  <c r="N91" i="7"/>
  <c r="AH221" i="7"/>
  <c r="AH256" i="7"/>
  <c r="AH249" i="7"/>
  <c r="X216" i="7"/>
  <c r="BD78" i="5" s="1"/>
  <c r="Z303" i="7"/>
  <c r="D5" i="8"/>
  <c r="Y303" i="7"/>
  <c r="Y294" i="7"/>
  <c r="X237" i="7"/>
  <c r="X265" i="7"/>
  <c r="BD84" i="5" s="1"/>
  <c r="X126" i="7" l="1"/>
  <c r="Y121" i="7" s="1"/>
  <c r="Y152" i="7" s="1"/>
  <c r="Y163" i="7" s="1"/>
  <c r="X152" i="7"/>
  <c r="X163" i="7" s="1"/>
  <c r="P142" i="16"/>
  <c r="BC121" i="5"/>
  <c r="X22" i="11" s="1"/>
  <c r="X24" i="11" s="1"/>
  <c r="BE6" i="5"/>
  <c r="BG4" i="5"/>
  <c r="BG6" i="5" s="1"/>
  <c r="L206" i="7"/>
  <c r="L208" i="7"/>
  <c r="X301" i="7"/>
  <c r="X299" i="7" s="1"/>
  <c r="BD121" i="5"/>
  <c r="AH242" i="7"/>
  <c r="L193" i="7"/>
  <c r="L204" i="7"/>
  <c r="M165" i="7"/>
  <c r="M208" i="7" s="1"/>
  <c r="N98" i="7"/>
  <c r="N146" i="7"/>
  <c r="M102" i="7"/>
  <c r="AI256" i="7"/>
  <c r="Y216" i="7"/>
  <c r="BE78" i="5" s="1"/>
  <c r="Z294" i="7"/>
  <c r="Y237" i="7"/>
  <c r="Y265" i="7"/>
  <c r="BE84" i="5" s="1"/>
  <c r="Z291" i="7"/>
  <c r="AA291" i="7" s="1"/>
  <c r="AB291" i="7" s="1"/>
  <c r="AC291" i="7" s="1"/>
  <c r="L205" i="7" l="1"/>
  <c r="L270" i="7" s="1"/>
  <c r="L271" i="7" s="1"/>
  <c r="M268" i="7" s="1"/>
  <c r="AI221" i="7"/>
  <c r="BG16" i="5"/>
  <c r="BG36" i="5" s="1"/>
  <c r="BG7" i="5"/>
  <c r="L207" i="7"/>
  <c r="L277" i="7" s="1"/>
  <c r="Y301" i="7"/>
  <c r="Y299" i="7" s="1"/>
  <c r="BE121" i="5"/>
  <c r="L203" i="7"/>
  <c r="L263" i="7" s="1"/>
  <c r="L264" i="7" s="1"/>
  <c r="M261" i="7" s="1"/>
  <c r="AI242" i="7"/>
  <c r="M193" i="7"/>
  <c r="M207" i="7" s="1"/>
  <c r="M277" i="7" s="1"/>
  <c r="M206" i="7"/>
  <c r="M204" i="7"/>
  <c r="N107" i="7"/>
  <c r="O91" i="7"/>
  <c r="N101" i="7"/>
  <c r="N161" i="7" s="1"/>
  <c r="AJ221" i="7"/>
  <c r="AJ256" i="7"/>
  <c r="AJ249" i="7"/>
  <c r="AK221" i="7"/>
  <c r="Z216" i="7"/>
  <c r="BF78" i="5" s="1"/>
  <c r="AA294" i="7"/>
  <c r="Z237" i="7"/>
  <c r="AA295" i="7"/>
  <c r="Z265" i="7"/>
  <c r="N102" i="7" l="1"/>
  <c r="O112" i="7"/>
  <c r="BF84" i="5"/>
  <c r="BG84" i="5" s="1"/>
  <c r="AI249" i="7"/>
  <c r="Z301" i="7"/>
  <c r="Z299" i="7" s="1"/>
  <c r="AJ242" i="7"/>
  <c r="M203" i="7"/>
  <c r="M263" i="7" s="1"/>
  <c r="M264" i="7" s="1"/>
  <c r="N261" i="7" s="1"/>
  <c r="M205" i="7"/>
  <c r="M270" i="7" s="1"/>
  <c r="M271" i="7" s="1"/>
  <c r="N268" i="7" s="1"/>
  <c r="C111" i="7"/>
  <c r="N165" i="7"/>
  <c r="N208" i="7" s="1"/>
  <c r="O98" i="7"/>
  <c r="O106" i="7" s="1"/>
  <c r="O146" i="7"/>
  <c r="AK256" i="7"/>
  <c r="AK249" i="7"/>
  <c r="AA216" i="7"/>
  <c r="BJ78" i="5" s="1"/>
  <c r="AB294" i="7"/>
  <c r="AA237" i="7"/>
  <c r="AB295" i="7"/>
  <c r="AA265" i="7"/>
  <c r="BJ84" i="5" s="1"/>
  <c r="BJ121" i="5" l="1"/>
  <c r="BJ126" i="5" s="1"/>
  <c r="BG78" i="5"/>
  <c r="AA301" i="7"/>
  <c r="AA299" i="7" s="1"/>
  <c r="AK242" i="7"/>
  <c r="N193" i="7"/>
  <c r="N207" i="7" s="1"/>
  <c r="N277" i="7" s="1"/>
  <c r="N206" i="7"/>
  <c r="N204" i="7"/>
  <c r="O103" i="7"/>
  <c r="O107" i="7" s="1"/>
  <c r="O101" i="7"/>
  <c r="O161" i="7" s="1"/>
  <c r="P91" i="7"/>
  <c r="P146" i="7" s="1"/>
  <c r="P164" i="7" s="1"/>
  <c r="AL256" i="7"/>
  <c r="AL249" i="7"/>
  <c r="AL221" i="7"/>
  <c r="AB216" i="7"/>
  <c r="BK78" i="5" s="1"/>
  <c r="AC294" i="7"/>
  <c r="AB237" i="7"/>
  <c r="AC295" i="7"/>
  <c r="AB265" i="7"/>
  <c r="BK84" i="5" s="1"/>
  <c r="BK121" i="5" l="1"/>
  <c r="Z111" i="7"/>
  <c r="P112" i="7"/>
  <c r="AC22" i="11"/>
  <c r="AB301" i="7"/>
  <c r="AB299" i="7" s="1"/>
  <c r="AL242" i="7"/>
  <c r="N203" i="7"/>
  <c r="N263" i="7" s="1"/>
  <c r="N264" i="7" s="1"/>
  <c r="O261" i="7" s="1"/>
  <c r="N205" i="7"/>
  <c r="N270" i="7" s="1"/>
  <c r="N271" i="7" s="1"/>
  <c r="O268" i="7" s="1"/>
  <c r="P98" i="7"/>
  <c r="P106" i="7" s="1"/>
  <c r="O165" i="7"/>
  <c r="O208" i="7" s="1"/>
  <c r="O102" i="7"/>
  <c r="AO256" i="7"/>
  <c r="AN256" i="7"/>
  <c r="AN249" i="7"/>
  <c r="AM256" i="7"/>
  <c r="AM249" i="7"/>
  <c r="AN221" i="7"/>
  <c r="AO242" i="7"/>
  <c r="AO249" i="7"/>
  <c r="AM221" i="7"/>
  <c r="AO221" i="7"/>
  <c r="AC216" i="7"/>
  <c r="BL78" i="5" s="1"/>
  <c r="AD294" i="7"/>
  <c r="AC237" i="7"/>
  <c r="AD295" i="7"/>
  <c r="AC265" i="7"/>
  <c r="BL84" i="5" s="1"/>
  <c r="AD291" i="7"/>
  <c r="AK104" i="7"/>
  <c r="AL104" i="7" s="1"/>
  <c r="AM104" i="7" s="1"/>
  <c r="AN104" i="7" s="1"/>
  <c r="AO104" i="7" s="1"/>
  <c r="BL121" i="5" l="1"/>
  <c r="BK126" i="5"/>
  <c r="AD22" i="11"/>
  <c r="AD24" i="11" s="1"/>
  <c r="AC24" i="11"/>
  <c r="AC301" i="7"/>
  <c r="AC299" i="7" s="1"/>
  <c r="AN242" i="7"/>
  <c r="AM242" i="7"/>
  <c r="O193" i="7"/>
  <c r="O207" i="7" s="1"/>
  <c r="O277" i="7" s="1"/>
  <c r="O206" i="7"/>
  <c r="O204" i="7"/>
  <c r="P103" i="7"/>
  <c r="P107" i="7" s="1"/>
  <c r="Q112" i="7" s="1"/>
  <c r="P101" i="7"/>
  <c r="P161" i="7" s="1"/>
  <c r="P165" i="7" s="1"/>
  <c r="P208" i="7" s="1"/>
  <c r="Q91" i="7"/>
  <c r="AP256" i="7"/>
  <c r="AP249" i="7"/>
  <c r="F6" i="8"/>
  <c r="AP221" i="7"/>
  <c r="AD216" i="7"/>
  <c r="BM78" i="5" s="1"/>
  <c r="AE294" i="7"/>
  <c r="AD237" i="7"/>
  <c r="AE295" i="7"/>
  <c r="AD265" i="7"/>
  <c r="AE291" i="7"/>
  <c r="BL126" i="5" l="1"/>
  <c r="AE22" i="11"/>
  <c r="AE24" i="11" s="1"/>
  <c r="AC25" i="11"/>
  <c r="AD25" i="11" s="1"/>
  <c r="AD301" i="7"/>
  <c r="AD299" i="7" s="1"/>
  <c r="BM84" i="5"/>
  <c r="BM121" i="5" s="1"/>
  <c r="AP242" i="7"/>
  <c r="O203" i="7"/>
  <c r="O263" i="7" s="1"/>
  <c r="O264" i="7" s="1"/>
  <c r="O205" i="7"/>
  <c r="O270" i="7" s="1"/>
  <c r="O271" i="7" s="1"/>
  <c r="P102" i="7"/>
  <c r="P206" i="7"/>
  <c r="Q98" i="7"/>
  <c r="Q106" i="7" s="1"/>
  <c r="Q146" i="7"/>
  <c r="Q164" i="7" s="1"/>
  <c r="AQ256" i="7"/>
  <c r="AQ249" i="7"/>
  <c r="AQ221" i="7"/>
  <c r="AE216" i="7"/>
  <c r="BN78" i="5" s="1"/>
  <c r="AF294" i="7"/>
  <c r="AE237" i="7"/>
  <c r="AF295" i="7"/>
  <c r="AE265" i="7"/>
  <c r="BN84" i="5" s="1"/>
  <c r="AF291" i="7"/>
  <c r="AE25" i="11" l="1"/>
  <c r="BM126" i="5"/>
  <c r="AF22" i="11"/>
  <c r="BN121" i="5"/>
  <c r="AE301" i="7"/>
  <c r="AE299" i="7" s="1"/>
  <c r="P204" i="7"/>
  <c r="P193" i="7"/>
  <c r="P207" i="7" s="1"/>
  <c r="P277" i="7" s="1"/>
  <c r="AQ242" i="7"/>
  <c r="Q101" i="7"/>
  <c r="Q161" i="7" s="1"/>
  <c r="R91" i="7"/>
  <c r="Q103" i="7"/>
  <c r="Q107" i="7" s="1"/>
  <c r="R112" i="7" s="1"/>
  <c r="AR256" i="7"/>
  <c r="AR249" i="7"/>
  <c r="AR221" i="7"/>
  <c r="AF216" i="7"/>
  <c r="BO78" i="5" s="1"/>
  <c r="AG294" i="7"/>
  <c r="AF237" i="7"/>
  <c r="AG295" i="7"/>
  <c r="AF265" i="7"/>
  <c r="BO84" i="5" s="1"/>
  <c r="AG291" i="7"/>
  <c r="BN126" i="5" l="1"/>
  <c r="AG22" i="11"/>
  <c r="AG24" i="11" s="1"/>
  <c r="AF24" i="11"/>
  <c r="P205" i="7"/>
  <c r="P270" i="7" s="1"/>
  <c r="P271" i="7" s="1"/>
  <c r="Q268" i="7" s="1"/>
  <c r="BO121" i="5"/>
  <c r="AF301" i="7"/>
  <c r="AF299" i="7" s="1"/>
  <c r="P203" i="7"/>
  <c r="P263" i="7" s="1"/>
  <c r="P264" i="7" s="1"/>
  <c r="Q261" i="7" s="1"/>
  <c r="AR242" i="7"/>
  <c r="R98" i="7"/>
  <c r="R146" i="7"/>
  <c r="Q165" i="7"/>
  <c r="Q208" i="7" s="1"/>
  <c r="Q102" i="7"/>
  <c r="AG216" i="7"/>
  <c r="BP78" i="5" s="1"/>
  <c r="AH294" i="7"/>
  <c r="AG237" i="7"/>
  <c r="AH295" i="7"/>
  <c r="AG265" i="7"/>
  <c r="BP84" i="5" s="1"/>
  <c r="S91" i="7" l="1"/>
  <c r="R106" i="7"/>
  <c r="R103" i="7" s="1"/>
  <c r="R107" i="7" s="1"/>
  <c r="S112" i="7" s="1"/>
  <c r="BO126" i="5"/>
  <c r="AH22" i="11"/>
  <c r="AH24" i="11" s="1"/>
  <c r="AF25" i="11"/>
  <c r="AG25" i="11" s="1"/>
  <c r="BP121" i="5"/>
  <c r="R164" i="7"/>
  <c r="AG301" i="7"/>
  <c r="AG299" i="7" s="1"/>
  <c r="Q193" i="7"/>
  <c r="Q207" i="7" s="1"/>
  <c r="Q277" i="7" s="1"/>
  <c r="Q206" i="7"/>
  <c r="Q204" i="7"/>
  <c r="R101" i="7"/>
  <c r="R161" i="7" s="1"/>
  <c r="AH216" i="7"/>
  <c r="BQ78" i="5" s="1"/>
  <c r="AI294" i="7"/>
  <c r="AH237" i="7"/>
  <c r="AI295" i="7"/>
  <c r="AH265" i="7"/>
  <c r="BQ84" i="5" s="1"/>
  <c r="AI291" i="7"/>
  <c r="AH25" i="11" l="1"/>
  <c r="BP126" i="5"/>
  <c r="AI22" i="11"/>
  <c r="Q203" i="7"/>
  <c r="Q263" i="7" s="1"/>
  <c r="Q264" i="7" s="1"/>
  <c r="R261" i="7" s="1"/>
  <c r="BQ121" i="5"/>
  <c r="AH301" i="7"/>
  <c r="AH299" i="7" s="1"/>
  <c r="Q205" i="7"/>
  <c r="Q270" i="7" s="1"/>
  <c r="Q271" i="7" s="1"/>
  <c r="R268" i="7" s="1"/>
  <c r="R102" i="7"/>
  <c r="R165" i="7"/>
  <c r="R208" i="7" s="1"/>
  <c r="S98" i="7"/>
  <c r="S106" i="7" s="1"/>
  <c r="S146" i="7"/>
  <c r="AI216" i="7"/>
  <c r="BR78" i="5" s="1"/>
  <c r="AJ294" i="7"/>
  <c r="AI237" i="7"/>
  <c r="AJ295" i="7"/>
  <c r="AI265" i="7"/>
  <c r="AO103" i="7"/>
  <c r="AJ291" i="7"/>
  <c r="BQ126" i="5" l="1"/>
  <c r="AJ22" i="11"/>
  <c r="AJ24" i="11" s="1"/>
  <c r="AI24" i="11"/>
  <c r="S164" i="7"/>
  <c r="AI301" i="7"/>
  <c r="AI299" i="7" s="1"/>
  <c r="BR84" i="5"/>
  <c r="BR121" i="5" s="1"/>
  <c r="R193" i="7"/>
  <c r="R207" i="7" s="1"/>
  <c r="R206" i="7"/>
  <c r="R204" i="7"/>
  <c r="S103" i="7"/>
  <c r="S107" i="7" s="1"/>
  <c r="T112" i="7" s="1"/>
  <c r="T91" i="7"/>
  <c r="S101" i="7"/>
  <c r="S161" i="7" s="1"/>
  <c r="AJ216" i="7"/>
  <c r="BS78" i="5" s="1"/>
  <c r="AK294" i="7"/>
  <c r="AJ237" i="7"/>
  <c r="AK295" i="7"/>
  <c r="AJ265" i="7"/>
  <c r="AK291" i="7"/>
  <c r="AP104" i="7"/>
  <c r="R277" i="7" l="1"/>
  <c r="AI25" i="11"/>
  <c r="AJ25" i="11" s="1"/>
  <c r="BR126" i="5"/>
  <c r="AK22" i="11"/>
  <c r="AK24" i="11" s="1"/>
  <c r="AJ301" i="7"/>
  <c r="AJ299" i="7" s="1"/>
  <c r="BS84" i="5"/>
  <c r="BS121" i="5" s="1"/>
  <c r="R203" i="7"/>
  <c r="R263" i="7" s="1"/>
  <c r="R264" i="7" s="1"/>
  <c r="S261" i="7" s="1"/>
  <c r="R205" i="7"/>
  <c r="R270" i="7" s="1"/>
  <c r="R271" i="7" s="1"/>
  <c r="S268" i="7" s="1"/>
  <c r="T98" i="7"/>
  <c r="T106" i="7" s="1"/>
  <c r="T146" i="7"/>
  <c r="S102" i="7"/>
  <c r="S165" i="7"/>
  <c r="S208" i="7" s="1"/>
  <c r="AK216" i="7"/>
  <c r="BT78" i="5" s="1"/>
  <c r="AL294" i="7"/>
  <c r="AK237" i="7"/>
  <c r="AL295" i="7"/>
  <c r="AK265" i="7"/>
  <c r="BT84" i="5" s="1"/>
  <c r="AQ104" i="7"/>
  <c r="AL291" i="7"/>
  <c r="AK25" i="11" l="1"/>
  <c r="BS126" i="5"/>
  <c r="AL22" i="11"/>
  <c r="AL24" i="11" s="1"/>
  <c r="T164" i="7"/>
  <c r="BT121" i="5"/>
  <c r="AK301" i="7"/>
  <c r="AK299" i="7" s="1"/>
  <c r="S193" i="7"/>
  <c r="S207" i="7" s="1"/>
  <c r="S277" i="7" s="1"/>
  <c r="S206" i="7"/>
  <c r="S204" i="7"/>
  <c r="T103" i="7"/>
  <c r="T107" i="7" s="1"/>
  <c r="U112" i="7" s="1"/>
  <c r="T101" i="7"/>
  <c r="T161" i="7" s="1"/>
  <c r="U91" i="7"/>
  <c r="AL216" i="7"/>
  <c r="BU78" i="5" s="1"/>
  <c r="AM294" i="7"/>
  <c r="AL237" i="7"/>
  <c r="AM295" i="7"/>
  <c r="AL265" i="7"/>
  <c r="BU84" i="5" s="1"/>
  <c r="BV84" i="5" s="1"/>
  <c r="D84" i="16" s="1"/>
  <c r="E84" i="16" s="1"/>
  <c r="AR104" i="7"/>
  <c r="AM291" i="7"/>
  <c r="P83" i="16" l="1"/>
  <c r="E83" i="16"/>
  <c r="AL25" i="11"/>
  <c r="BT126" i="5"/>
  <c r="AM22" i="11"/>
  <c r="AM24" i="11" s="1"/>
  <c r="BU121" i="5"/>
  <c r="BV78" i="5"/>
  <c r="AL301" i="7"/>
  <c r="AL299" i="7" s="1"/>
  <c r="E7" i="8" s="1"/>
  <c r="S203" i="7"/>
  <c r="S263" i="7" s="1"/>
  <c r="S264" i="7" s="1"/>
  <c r="T261" i="7" s="1"/>
  <c r="S205" i="7"/>
  <c r="S270" i="7" s="1"/>
  <c r="S271" i="7" s="1"/>
  <c r="T102" i="7"/>
  <c r="U98" i="7"/>
  <c r="U106" i="7" s="1"/>
  <c r="U146" i="7"/>
  <c r="T165" i="7"/>
  <c r="T208" i="7" s="1"/>
  <c r="AM216" i="7"/>
  <c r="BY78" i="5" s="1"/>
  <c r="AN294" i="7"/>
  <c r="AM237" i="7"/>
  <c r="AN295" i="7"/>
  <c r="AM265" i="7"/>
  <c r="BY84" i="5" s="1"/>
  <c r="AS104" i="7"/>
  <c r="AT104" i="7" s="1"/>
  <c r="AU104" i="7" s="1"/>
  <c r="AV104" i="7" s="1"/>
  <c r="AW104" i="7" s="1"/>
  <c r="AX104" i="7" s="1"/>
  <c r="AY104" i="7" s="1"/>
  <c r="AZ104" i="7" s="1"/>
  <c r="BA104" i="7" s="1"/>
  <c r="BB104" i="7" s="1"/>
  <c r="BC104" i="7" s="1"/>
  <c r="BD104" i="7" s="1"/>
  <c r="BE104" i="7" s="1"/>
  <c r="BF104" i="7" s="1"/>
  <c r="BG104" i="7" s="1"/>
  <c r="BH104" i="7" s="1"/>
  <c r="BI104" i="7" s="1"/>
  <c r="BJ104" i="7" s="1"/>
  <c r="AN291" i="7"/>
  <c r="D78" i="16" l="1"/>
  <c r="E78" i="16" s="1"/>
  <c r="BV121" i="5"/>
  <c r="P77" i="16"/>
  <c r="BY121" i="5"/>
  <c r="AM25" i="11"/>
  <c r="BU126" i="5"/>
  <c r="BV126" i="5" s="1"/>
  <c r="D126" i="16" s="1"/>
  <c r="AN22" i="11"/>
  <c r="AN24" i="11" s="1"/>
  <c r="T206" i="7"/>
  <c r="AM301" i="7"/>
  <c r="AM299" i="7" s="1"/>
  <c r="U164" i="7"/>
  <c r="T193" i="7"/>
  <c r="T207" i="7" s="1"/>
  <c r="T277" i="7" s="1"/>
  <c r="T204" i="7"/>
  <c r="U103" i="7"/>
  <c r="U107" i="7" s="1"/>
  <c r="V112" i="7" s="1"/>
  <c r="V91" i="7"/>
  <c r="U101" i="7"/>
  <c r="U161" i="7" s="1"/>
  <c r="AN216" i="7"/>
  <c r="BZ78" i="5" s="1"/>
  <c r="AO294" i="7"/>
  <c r="AN237" i="7"/>
  <c r="AO295" i="7"/>
  <c r="AN265" i="7"/>
  <c r="BZ84" i="5" s="1"/>
  <c r="AO291" i="7"/>
  <c r="D121" i="16" l="1"/>
  <c r="E121" i="16" s="1"/>
  <c r="AN25" i="11"/>
  <c r="P120" i="16"/>
  <c r="P125" i="16"/>
  <c r="BZ121" i="5"/>
  <c r="AT22" i="11" s="1"/>
  <c r="AT24" i="11" s="1"/>
  <c r="BY126" i="5"/>
  <c r="AS22" i="11"/>
  <c r="AS24" i="11" s="1"/>
  <c r="AS25" i="11" s="1"/>
  <c r="AO22" i="11"/>
  <c r="AO25" i="11" s="1"/>
  <c r="AN301" i="7"/>
  <c r="AN299" i="7" s="1"/>
  <c r="T203" i="7"/>
  <c r="T263" i="7" s="1"/>
  <c r="T264" i="7" s="1"/>
  <c r="U261" i="7" s="1"/>
  <c r="T205" i="7"/>
  <c r="T270" i="7" s="1"/>
  <c r="U165" i="7"/>
  <c r="U208" i="7" s="1"/>
  <c r="V98" i="7"/>
  <c r="V106" i="7" s="1"/>
  <c r="V146" i="7"/>
  <c r="Y122" i="7"/>
  <c r="U102" i="7"/>
  <c r="AO216" i="7"/>
  <c r="CA78" i="5" s="1"/>
  <c r="AP294" i="7"/>
  <c r="AO237" i="7"/>
  <c r="AP295" i="7"/>
  <c r="AO265" i="7"/>
  <c r="CA84" i="5" s="1"/>
  <c r="AP291" i="7"/>
  <c r="CA121" i="5" l="1"/>
  <c r="CA126" i="5" s="1"/>
  <c r="BZ126" i="5"/>
  <c r="AT25" i="11"/>
  <c r="V164" i="7"/>
  <c r="AO301" i="7"/>
  <c r="AO299" i="7" s="1"/>
  <c r="U193" i="7"/>
  <c r="U207" i="7" s="1"/>
  <c r="U277" i="7" s="1"/>
  <c r="U206" i="7"/>
  <c r="U204" i="7"/>
  <c r="V103" i="7"/>
  <c r="V107" i="7" s="1"/>
  <c r="W112" i="7" s="1"/>
  <c r="W91" i="7"/>
  <c r="V101" i="7"/>
  <c r="V161" i="7" s="1"/>
  <c r="AP216" i="7"/>
  <c r="CB78" i="5" s="1"/>
  <c r="AQ294" i="7"/>
  <c r="AP237" i="7"/>
  <c r="AQ295" i="7"/>
  <c r="AP265" i="7"/>
  <c r="CB84" i="5" s="1"/>
  <c r="AQ291" i="7"/>
  <c r="CB121" i="5" l="1"/>
  <c r="AU22" i="11"/>
  <c r="AU24" i="11" s="1"/>
  <c r="AU25" i="11" s="1"/>
  <c r="AP301" i="7"/>
  <c r="AP299" i="7" s="1"/>
  <c r="U203" i="7"/>
  <c r="U263" i="7" s="1"/>
  <c r="U264" i="7" s="1"/>
  <c r="V261" i="7" s="1"/>
  <c r="U205" i="7"/>
  <c r="U270" i="7" s="1"/>
  <c r="V102" i="7"/>
  <c r="W98" i="7"/>
  <c r="W106" i="7" s="1"/>
  <c r="W146" i="7"/>
  <c r="AQ216" i="7"/>
  <c r="CC78" i="5" s="1"/>
  <c r="AR294" i="7"/>
  <c r="AQ237" i="7"/>
  <c r="AR295" i="7"/>
  <c r="AQ265" i="7"/>
  <c r="CC84" i="5" s="1"/>
  <c r="AR291" i="7"/>
  <c r="CB126" i="5" l="1"/>
  <c r="AV22" i="11"/>
  <c r="AV24" i="11" s="1"/>
  <c r="AV25" i="11" s="1"/>
  <c r="CC121" i="5"/>
  <c r="W164" i="7"/>
  <c r="AQ301" i="7"/>
  <c r="AQ299" i="7" s="1"/>
  <c r="W103" i="7"/>
  <c r="W107" i="7" s="1"/>
  <c r="X112" i="7" s="1"/>
  <c r="W101" i="7"/>
  <c r="W161" i="7" s="1"/>
  <c r="X91" i="7"/>
  <c r="AR216" i="7"/>
  <c r="CD78" i="5" s="1"/>
  <c r="AS294" i="7"/>
  <c r="AR237" i="7"/>
  <c r="AS295" i="7"/>
  <c r="AR265" i="7"/>
  <c r="CD84" i="5" s="1"/>
  <c r="AS291" i="7"/>
  <c r="AY103" i="7" l="1"/>
  <c r="AW22" i="11"/>
  <c r="AW24" i="11" s="1"/>
  <c r="AW25" i="11" s="1"/>
  <c r="CC126" i="5"/>
  <c r="CD121" i="5"/>
  <c r="AR301" i="7"/>
  <c r="AR299" i="7" s="1"/>
  <c r="W102" i="7"/>
  <c r="X98" i="7"/>
  <c r="X106" i="7" s="1"/>
  <c r="X146" i="7"/>
  <c r="AS216" i="7"/>
  <c r="CE78" i="5" s="1"/>
  <c r="AT294" i="7"/>
  <c r="AS237" i="7"/>
  <c r="AT295" i="7"/>
  <c r="AS265" i="7"/>
  <c r="CE84" i="5" s="1"/>
  <c r="AT291" i="7"/>
  <c r="CE121" i="5" l="1"/>
  <c r="CE126" i="5" s="1"/>
  <c r="AZ103" i="7"/>
  <c r="AB307" i="7"/>
  <c r="BK4" i="5" s="1"/>
  <c r="AX22" i="11"/>
  <c r="CD126" i="5"/>
  <c r="X164" i="7"/>
  <c r="AS301" i="7"/>
  <c r="AS299" i="7" s="1"/>
  <c r="X101" i="7"/>
  <c r="X161" i="7" s="1"/>
  <c r="Y91" i="7"/>
  <c r="Y98" i="7" s="1"/>
  <c r="AT216" i="7"/>
  <c r="CF78" i="5" s="1"/>
  <c r="AU294" i="7"/>
  <c r="AT237" i="7"/>
  <c r="AU295" i="7"/>
  <c r="AT265" i="7"/>
  <c r="CF84" i="5" s="1"/>
  <c r="AU291" i="7"/>
  <c r="AY22" i="11" l="1"/>
  <c r="AY24" i="11" s="1"/>
  <c r="BA103" i="7"/>
  <c r="CF121" i="5"/>
  <c r="BK6" i="5"/>
  <c r="BK16" i="5" s="1"/>
  <c r="AB303" i="7"/>
  <c r="AX24" i="11"/>
  <c r="AX25" i="11" s="1"/>
  <c r="X103" i="7"/>
  <c r="X107" i="7" s="1"/>
  <c r="Y112" i="7" s="1"/>
  <c r="AT301" i="7"/>
  <c r="AT299" i="7" s="1"/>
  <c r="Y146" i="7"/>
  <c r="AU216" i="7"/>
  <c r="CG78" i="5" s="1"/>
  <c r="AV294" i="7"/>
  <c r="AU237" i="7"/>
  <c r="AV295" i="7"/>
  <c r="AU265" i="7"/>
  <c r="CG84" i="5" s="1"/>
  <c r="AV291" i="7"/>
  <c r="AY25" i="11" l="1"/>
  <c r="CG121" i="5"/>
  <c r="BA22" i="11" s="1"/>
  <c r="BA24" i="11" s="1"/>
  <c r="BB103" i="7"/>
  <c r="AZ22" i="11"/>
  <c r="AZ24" i="11" s="1"/>
  <c r="CF126" i="5"/>
  <c r="AD4" i="11"/>
  <c r="AD7" i="11" s="1"/>
  <c r="BK36" i="5"/>
  <c r="BK125" i="5"/>
  <c r="X102" i="7"/>
  <c r="Y164" i="7"/>
  <c r="AU301" i="7"/>
  <c r="AU299" i="7" s="1"/>
  <c r="Y103" i="7"/>
  <c r="Y107" i="7" s="1"/>
  <c r="Z112" i="7" s="1"/>
  <c r="Y101" i="7"/>
  <c r="Y161" i="7" s="1"/>
  <c r="Z91" i="7"/>
  <c r="Z98" i="7" s="1"/>
  <c r="AV216" i="7"/>
  <c r="AW294" i="7"/>
  <c r="AV237" i="7"/>
  <c r="AW295" i="7"/>
  <c r="AV265" i="7"/>
  <c r="CH84" i="5" s="1"/>
  <c r="AW291" i="7"/>
  <c r="AZ25" i="11" l="1"/>
  <c r="BA25" i="11" s="1"/>
  <c r="CG126" i="5"/>
  <c r="CH78" i="5"/>
  <c r="CH121" i="5" s="1"/>
  <c r="AV301" i="7"/>
  <c r="AV299" i="7" s="1"/>
  <c r="BC103" i="7"/>
  <c r="O111" i="7"/>
  <c r="AD36" i="11"/>
  <c r="AD40" i="11"/>
  <c r="AD44" i="11" s="1"/>
  <c r="Y102" i="7"/>
  <c r="Z146" i="7"/>
  <c r="Z164" i="7" s="1"/>
  <c r="AW216" i="7"/>
  <c r="CI78" i="5" s="1"/>
  <c r="AX294" i="7"/>
  <c r="AX237" i="7" s="1"/>
  <c r="AW237" i="7"/>
  <c r="AX295" i="7"/>
  <c r="AX265" i="7" s="1"/>
  <c r="CJ84" i="5" s="1"/>
  <c r="AW265" i="7"/>
  <c r="CI84" i="5" s="1"/>
  <c r="AX291" i="7"/>
  <c r="CK84" i="5" l="1"/>
  <c r="CI121" i="5"/>
  <c r="BC22" i="11" s="1"/>
  <c r="BC24" i="11" s="1"/>
  <c r="BD103" i="7"/>
  <c r="CH126" i="5"/>
  <c r="BB22" i="11"/>
  <c r="AW301" i="7"/>
  <c r="AW299" i="7" s="1"/>
  <c r="Z103" i="7"/>
  <c r="AA91" i="7"/>
  <c r="Z101" i="7"/>
  <c r="Z161" i="7" s="1"/>
  <c r="AX216" i="7"/>
  <c r="CJ78" i="5" s="1"/>
  <c r="CI126" i="5" l="1"/>
  <c r="BI112" i="7"/>
  <c r="Z107" i="7"/>
  <c r="AA112" i="7" s="1"/>
  <c r="BE103" i="7"/>
  <c r="CJ121" i="5"/>
  <c r="CK78" i="5"/>
  <c r="BB24" i="11"/>
  <c r="BB25" i="11" s="1"/>
  <c r="BC25" i="11" s="1"/>
  <c r="AX301" i="7"/>
  <c r="AX299" i="7" s="1"/>
  <c r="F7" i="8" s="1"/>
  <c r="AA98" i="7"/>
  <c r="AB91" i="7" s="1"/>
  <c r="AA146" i="7"/>
  <c r="AA164" i="7" s="1"/>
  <c r="Z102" i="7" l="1"/>
  <c r="BF103" i="7"/>
  <c r="BD22" i="11"/>
  <c r="CJ126" i="5"/>
  <c r="CK126" i="5" s="1"/>
  <c r="AA103" i="7"/>
  <c r="AA107" i="7" s="1"/>
  <c r="AE307" i="7"/>
  <c r="BN4" i="5" s="1"/>
  <c r="AA101" i="7"/>
  <c r="AA161" i="7" s="1"/>
  <c r="AB112" i="7" l="1"/>
  <c r="BG103" i="7"/>
  <c r="BD24" i="11"/>
  <c r="BD25" i="11" s="1"/>
  <c r="BE22" i="11"/>
  <c r="BE25" i="11" s="1"/>
  <c r="AE303" i="7"/>
  <c r="AA102" i="7"/>
  <c r="AB98" i="7"/>
  <c r="AB146" i="7"/>
  <c r="AB164" i="7" s="1"/>
  <c r="BN6" i="5" l="1"/>
  <c r="BN16" i="5" s="1"/>
  <c r="BH103" i="7"/>
  <c r="AF307" i="7"/>
  <c r="BO4" i="5" s="1"/>
  <c r="AB103" i="7"/>
  <c r="AB107" i="7" s="1"/>
  <c r="AB101" i="7"/>
  <c r="AB161" i="7" s="1"/>
  <c r="AC91" i="7"/>
  <c r="BN125" i="5" l="1"/>
  <c r="AG4" i="11"/>
  <c r="AG7" i="11" s="1"/>
  <c r="AG36" i="11" s="1"/>
  <c r="BN36" i="5"/>
  <c r="BJ103" i="7"/>
  <c r="BI103" i="7"/>
  <c r="AC112" i="7"/>
  <c r="AF303" i="7"/>
  <c r="AB102" i="7"/>
  <c r="AC98" i="7"/>
  <c r="AC146" i="7"/>
  <c r="AG40" i="11" l="1"/>
  <c r="AG44" i="11" s="1"/>
  <c r="BO6" i="5"/>
  <c r="BO16" i="5" s="1"/>
  <c r="AC164" i="7"/>
  <c r="AC103" i="7"/>
  <c r="AC107" i="7" s="1"/>
  <c r="AD112" i="7" s="1"/>
  <c r="AD91" i="7"/>
  <c r="AC101" i="7"/>
  <c r="AC161" i="7" s="1"/>
  <c r="BO125" i="5" l="1"/>
  <c r="AH4" i="11"/>
  <c r="AH7" i="11" s="1"/>
  <c r="AH36" i="11" s="1"/>
  <c r="BO36" i="5"/>
  <c r="AH122" i="7"/>
  <c r="AG307" i="7"/>
  <c r="BP4" i="5" s="1"/>
  <c r="AH307" i="7"/>
  <c r="AC102" i="7"/>
  <c r="AD98" i="7"/>
  <c r="AD107" i="7" s="1"/>
  <c r="AD146" i="7"/>
  <c r="AD164" i="7" s="1"/>
  <c r="AH40" i="11" l="1"/>
  <c r="AH44" i="11" s="1"/>
  <c r="AH303" i="7"/>
  <c r="BQ4" i="5"/>
  <c r="AG303" i="7"/>
  <c r="P22" i="11"/>
  <c r="P24" i="11" s="1"/>
  <c r="P25" i="11" s="1"/>
  <c r="AD101" i="7"/>
  <c r="AD161" i="7" s="1"/>
  <c r="AE91" i="7"/>
  <c r="AE112" i="7" l="1"/>
  <c r="BC112" i="7" s="1"/>
  <c r="BQ6" i="5"/>
  <c r="BQ16" i="5" s="1"/>
  <c r="BP6" i="5"/>
  <c r="BP16" i="5" s="1"/>
  <c r="AD102" i="7"/>
  <c r="AE98" i="7"/>
  <c r="AE146" i="7"/>
  <c r="AE164" i="7" s="1"/>
  <c r="BQ36" i="5" l="1"/>
  <c r="AJ4" i="11"/>
  <c r="AJ7" i="11" s="1"/>
  <c r="AJ40" i="11" s="1"/>
  <c r="AJ44" i="11" s="1"/>
  <c r="BQ125" i="5"/>
  <c r="AI4" i="11"/>
  <c r="AI7" i="11" s="1"/>
  <c r="AI36" i="11" s="1"/>
  <c r="BP125" i="5"/>
  <c r="BP36" i="5"/>
  <c r="AI122" i="7"/>
  <c r="AE103" i="7"/>
  <c r="AE107" i="7" s="1"/>
  <c r="AF112" i="7" s="1"/>
  <c r="AE101" i="7"/>
  <c r="AE161" i="7" s="1"/>
  <c r="AF91" i="7"/>
  <c r="BD112" i="7" l="1"/>
  <c r="AI40" i="11"/>
  <c r="AI44" i="11" s="1"/>
  <c r="AJ36" i="11"/>
  <c r="AI307" i="7"/>
  <c r="AE102" i="7"/>
  <c r="AF98" i="7"/>
  <c r="AF146" i="7"/>
  <c r="AF164" i="7" s="1"/>
  <c r="AJ122" i="7" l="1"/>
  <c r="BR4" i="5"/>
  <c r="AI303" i="7"/>
  <c r="AF103" i="7"/>
  <c r="AF107" i="7" s="1"/>
  <c r="AG112" i="7" s="1"/>
  <c r="AG91" i="7"/>
  <c r="AF101" i="7"/>
  <c r="AF161" i="7" s="1"/>
  <c r="BR6" i="5" l="1"/>
  <c r="BR16" i="5" s="1"/>
  <c r="AJ307" i="7"/>
  <c r="AF102" i="7"/>
  <c r="AG98" i="7"/>
  <c r="AG146" i="7"/>
  <c r="AG164" i="7" s="1"/>
  <c r="AK4" i="11" l="1"/>
  <c r="AK7" i="11" s="1"/>
  <c r="AK36" i="11" s="1"/>
  <c r="BR125" i="5"/>
  <c r="BR36" i="5"/>
  <c r="AK122" i="7"/>
  <c r="BS4" i="5"/>
  <c r="AJ303" i="7"/>
  <c r="AG103" i="7"/>
  <c r="AG101" i="7"/>
  <c r="AG161" i="7" s="1"/>
  <c r="AH91" i="7"/>
  <c r="AK40" i="11" l="1"/>
  <c r="AK44" i="11" s="1"/>
  <c r="AG107" i="7"/>
  <c r="AH112" i="7" s="1"/>
  <c r="BS6" i="5"/>
  <c r="BS16" i="5" s="1"/>
  <c r="AK307" i="7"/>
  <c r="AH98" i="7"/>
  <c r="AH146" i="7"/>
  <c r="AH164" i="7" s="1"/>
  <c r="AT112" i="7" l="1"/>
  <c r="BF112" i="7" s="1"/>
  <c r="AG102" i="7"/>
  <c r="BS125" i="5"/>
  <c r="AL4" i="11"/>
  <c r="AL7" i="11" s="1"/>
  <c r="AL36" i="11" s="1"/>
  <c r="BS36" i="5"/>
  <c r="BT4" i="5"/>
  <c r="AK303" i="7"/>
  <c r="AH103" i="7"/>
  <c r="AH107" i="7" s="1"/>
  <c r="AI112" i="7" s="1"/>
  <c r="BG112" i="7" s="1"/>
  <c r="AI91" i="7"/>
  <c r="AH101" i="7"/>
  <c r="AH161" i="7" s="1"/>
  <c r="AL40" i="11" l="1"/>
  <c r="AL44" i="11" s="1"/>
  <c r="BT6" i="5"/>
  <c r="BT16" i="5" s="1"/>
  <c r="AM122" i="7"/>
  <c r="AO125" i="7" s="1"/>
  <c r="AH102" i="7"/>
  <c r="AI98" i="7"/>
  <c r="AI146" i="7"/>
  <c r="AI164" i="7" s="1"/>
  <c r="AM4" i="11" l="1"/>
  <c r="AM7" i="11" s="1"/>
  <c r="AM40" i="11" s="1"/>
  <c r="AM44" i="11" s="1"/>
  <c r="BT125" i="5"/>
  <c r="BT36" i="5"/>
  <c r="AI103" i="7"/>
  <c r="AI107" i="7" s="1"/>
  <c r="AJ112" i="7" s="1"/>
  <c r="AJ91" i="7"/>
  <c r="AI101" i="7"/>
  <c r="AI161" i="7" s="1"/>
  <c r="AM36" i="11" l="1"/>
  <c r="AI102" i="7"/>
  <c r="AJ98" i="7"/>
  <c r="AJ146" i="7"/>
  <c r="AJ164" i="7" s="1"/>
  <c r="AN122" i="7" l="1"/>
  <c r="AJ103" i="7"/>
  <c r="AJ107" i="7" s="1"/>
  <c r="AK112" i="7" s="1"/>
  <c r="AK91" i="7"/>
  <c r="AJ101" i="7"/>
  <c r="AJ161" i="7" s="1"/>
  <c r="AP125" i="7" l="1"/>
  <c r="AJ102" i="7"/>
  <c r="AK98" i="7"/>
  <c r="AK146" i="7"/>
  <c r="AK164" i="7" s="1"/>
  <c r="AO307" i="7" l="1"/>
  <c r="AK103" i="7"/>
  <c r="AK107" i="7" s="1"/>
  <c r="AK101" i="7"/>
  <c r="AK161" i="7" s="1"/>
  <c r="AL91" i="7"/>
  <c r="AO115" i="7" l="1"/>
  <c r="AO122" i="7" s="1"/>
  <c r="AL112" i="7"/>
  <c r="AO303" i="7"/>
  <c r="CA4" i="5"/>
  <c r="CA6" i="5" s="1"/>
  <c r="CA16" i="5" s="1"/>
  <c r="AL98" i="7"/>
  <c r="AL146" i="7"/>
  <c r="AL164" i="7" s="1"/>
  <c r="AK102" i="7"/>
  <c r="AA111" i="7" l="1"/>
  <c r="AX112" i="7"/>
  <c r="BJ112" i="7" s="1"/>
  <c r="AU4" i="11"/>
  <c r="AU7" i="11" s="1"/>
  <c r="CA36" i="5"/>
  <c r="CA125" i="5"/>
  <c r="AL103" i="7"/>
  <c r="AL107" i="7" s="1"/>
  <c r="AL101" i="7"/>
  <c r="AL161" i="7" s="1"/>
  <c r="AM91" i="7"/>
  <c r="AP115" i="7" l="1"/>
  <c r="AP122" i="7" s="1"/>
  <c r="AM112" i="7"/>
  <c r="AY112" i="7" s="1"/>
  <c r="AP307" i="7"/>
  <c r="AP303" i="7" s="1"/>
  <c r="AQ125" i="7"/>
  <c r="AU36" i="11"/>
  <c r="AU40" i="11"/>
  <c r="AU44" i="11" s="1"/>
  <c r="AM98" i="7"/>
  <c r="AM146" i="7"/>
  <c r="AM164" i="7" s="1"/>
  <c r="AL102" i="7"/>
  <c r="CB4" i="5" l="1"/>
  <c r="CB6" i="5" s="1"/>
  <c r="CB16" i="5" s="1"/>
  <c r="CB36" i="5" s="1"/>
  <c r="AR125" i="7"/>
  <c r="AM103" i="7"/>
  <c r="AM107" i="7" s="1"/>
  <c r="AN112" i="7" s="1"/>
  <c r="AZ112" i="7" s="1"/>
  <c r="AM101" i="7"/>
  <c r="AM161" i="7" s="1"/>
  <c r="AN91" i="7"/>
  <c r="AQ115" i="7" l="1"/>
  <c r="AQ122" i="7" s="1"/>
  <c r="AS125" i="7" s="1"/>
  <c r="AV4" i="11"/>
  <c r="AV7" i="11" s="1"/>
  <c r="AV40" i="11" s="1"/>
  <c r="AV44" i="11" s="1"/>
  <c r="CB125" i="5"/>
  <c r="AQ307" i="7"/>
  <c r="AN98" i="7"/>
  <c r="AN146" i="7"/>
  <c r="AN164" i="7" s="1"/>
  <c r="AM102" i="7"/>
  <c r="AV36" i="11" l="1"/>
  <c r="AR307" i="7"/>
  <c r="AQ303" i="7"/>
  <c r="CC4" i="5"/>
  <c r="CC6" i="5" s="1"/>
  <c r="CC16" i="5" s="1"/>
  <c r="AN103" i="7"/>
  <c r="AN107" i="7" s="1"/>
  <c r="AN101" i="7"/>
  <c r="AN161" i="7" s="1"/>
  <c r="AO91" i="7"/>
  <c r="AR115" i="7" l="1"/>
  <c r="AR122" i="7" s="1"/>
  <c r="AO112" i="7"/>
  <c r="BA112" i="7" s="1"/>
  <c r="AW4" i="11"/>
  <c r="AW7" i="11" s="1"/>
  <c r="CC36" i="5"/>
  <c r="CC125" i="5"/>
  <c r="AR303" i="7"/>
  <c r="CD4" i="5"/>
  <c r="CD6" i="5" s="1"/>
  <c r="CD16" i="5" s="1"/>
  <c r="AO98" i="7"/>
  <c r="AO146" i="7"/>
  <c r="AO164" i="7" s="1"/>
  <c r="AN102" i="7"/>
  <c r="AT125" i="7" l="1"/>
  <c r="CD36" i="5"/>
  <c r="CD125" i="5"/>
  <c r="AX4" i="11"/>
  <c r="AX7" i="11" s="1"/>
  <c r="AW36" i="11"/>
  <c r="AW40" i="11"/>
  <c r="AW44" i="11" s="1"/>
  <c r="AO107" i="7"/>
  <c r="AO101" i="7"/>
  <c r="AO161" i="7" s="1"/>
  <c r="AP91" i="7"/>
  <c r="AS115" i="7" l="1"/>
  <c r="AS122" i="7" s="1"/>
  <c r="AP112" i="7"/>
  <c r="BB112" i="7" s="1"/>
  <c r="AX40" i="11"/>
  <c r="AX44" i="11" s="1"/>
  <c r="AX36" i="11"/>
  <c r="AS307" i="7"/>
  <c r="AO102" i="7"/>
  <c r="AP98" i="7"/>
  <c r="AP146" i="7"/>
  <c r="AP164" i="7" s="1"/>
  <c r="AH121" i="5"/>
  <c r="F22" i="11" s="1"/>
  <c r="F24" i="11" s="1"/>
  <c r="F25" i="11" s="1"/>
  <c r="N22" i="11"/>
  <c r="N24" i="11" s="1"/>
  <c r="Z22" i="11"/>
  <c r="W22" i="11"/>
  <c r="W24" i="11" s="1"/>
  <c r="Q22" i="11"/>
  <c r="Q24" i="11" s="1"/>
  <c r="Q25" i="11" s="1"/>
  <c r="R25" i="11" s="1"/>
  <c r="S25" i="11" s="1"/>
  <c r="M22" i="11"/>
  <c r="AL121" i="5"/>
  <c r="J22" i="11" s="1"/>
  <c r="J24" i="11" s="1"/>
  <c r="AI121" i="5"/>
  <c r="G22" i="11" s="1"/>
  <c r="G24" i="11" s="1"/>
  <c r="CE4" i="5" l="1"/>
  <c r="CE6" i="5" s="1"/>
  <c r="CE16" i="5" s="1"/>
  <c r="AS303" i="7"/>
  <c r="AU125" i="7"/>
  <c r="AP103" i="7"/>
  <c r="AP107" i="7" s="1"/>
  <c r="AT115" i="7" s="1"/>
  <c r="AT122" i="7" s="1"/>
  <c r="AQ91" i="7"/>
  <c r="AQ146" i="7" s="1"/>
  <c r="AP101" i="7"/>
  <c r="AP161" i="7" s="1"/>
  <c r="Z24" i="11"/>
  <c r="M24" i="11"/>
  <c r="G25" i="11"/>
  <c r="H25" i="11" s="1"/>
  <c r="I25" i="11" s="1"/>
  <c r="J25" i="11" s="1"/>
  <c r="K25" i="11" s="1"/>
  <c r="D17" i="8"/>
  <c r="E17" i="8" s="1"/>
  <c r="F17" i="8" s="1"/>
  <c r="Y22" i="11"/>
  <c r="Y24" i="11" s="1"/>
  <c r="AT307" i="7" l="1"/>
  <c r="AY4" i="11"/>
  <c r="AY7" i="11" s="1"/>
  <c r="CE36" i="5"/>
  <c r="CE125" i="5"/>
  <c r="AQ98" i="7"/>
  <c r="AQ164" i="7"/>
  <c r="AP102" i="7"/>
  <c r="AV125" i="7" l="1"/>
  <c r="AY36" i="11"/>
  <c r="AY40" i="11"/>
  <c r="AY44" i="11" s="1"/>
  <c r="CF4" i="5"/>
  <c r="CF6" i="5" s="1"/>
  <c r="CF16" i="5" s="1"/>
  <c r="AT303" i="7"/>
  <c r="AQ103" i="7"/>
  <c r="AQ107" i="7" s="1"/>
  <c r="AQ114" i="7" s="1"/>
  <c r="AU115" i="7" s="1"/>
  <c r="AU122" i="7" s="1"/>
  <c r="AQ101" i="7"/>
  <c r="AQ161" i="7" s="1"/>
  <c r="AR91" i="7"/>
  <c r="CF36" i="5" l="1"/>
  <c r="CF125" i="5"/>
  <c r="AZ4" i="11"/>
  <c r="AZ7" i="11" s="1"/>
  <c r="AU307" i="7"/>
  <c r="AQ102" i="7"/>
  <c r="AR98" i="7"/>
  <c r="AR146" i="7"/>
  <c r="AR164" i="7" s="1"/>
  <c r="AU303" i="7" l="1"/>
  <c r="CG4" i="5"/>
  <c r="CG6" i="5" s="1"/>
  <c r="CG16" i="5" s="1"/>
  <c r="AW125" i="7"/>
  <c r="AZ36" i="11"/>
  <c r="AZ40" i="11"/>
  <c r="AZ44" i="11" s="1"/>
  <c r="AR103" i="7"/>
  <c r="AR107" i="7" s="1"/>
  <c r="AS91" i="7"/>
  <c r="AR101" i="7"/>
  <c r="AR161" i="7" s="1"/>
  <c r="AR114" i="7" l="1"/>
  <c r="AV115" i="7" s="1"/>
  <c r="AV122" i="7" s="1"/>
  <c r="AV307" i="7"/>
  <c r="CG36" i="5"/>
  <c r="CG125" i="5"/>
  <c r="BA4" i="11"/>
  <c r="BA7" i="11" s="1"/>
  <c r="AR102" i="7"/>
  <c r="AS98" i="7"/>
  <c r="AS146" i="7"/>
  <c r="AS164" i="7" s="1"/>
  <c r="AX125" i="7" l="1"/>
  <c r="BA40" i="11"/>
  <c r="BA44" i="11" s="1"/>
  <c r="BA36" i="11"/>
  <c r="AV303" i="7"/>
  <c r="CH4" i="5"/>
  <c r="CH6" i="5" s="1"/>
  <c r="CH16" i="5" s="1"/>
  <c r="AS103" i="7"/>
  <c r="AS107" i="7" s="1"/>
  <c r="AS101" i="7"/>
  <c r="AS161" i="7" s="1"/>
  <c r="AT91" i="7"/>
  <c r="AS102" i="7" l="1"/>
  <c r="CH36" i="5"/>
  <c r="BB4" i="11"/>
  <c r="BB7" i="11" s="1"/>
  <c r="CH125" i="5"/>
  <c r="AW307" i="7"/>
  <c r="AT98" i="7"/>
  <c r="AT146" i="7"/>
  <c r="AT164" i="7" s="1"/>
  <c r="BB40" i="11" l="1"/>
  <c r="BB44" i="11" s="1"/>
  <c r="BB36" i="11"/>
  <c r="AW303" i="7"/>
  <c r="CI4" i="5"/>
  <c r="CI6" i="5" s="1"/>
  <c r="CI16" i="5" s="1"/>
  <c r="AT103" i="7"/>
  <c r="AT107" i="7" s="1"/>
  <c r="AT114" i="7" s="1"/>
  <c r="AU91" i="7"/>
  <c r="AT101" i="7"/>
  <c r="AT161" i="7" s="1"/>
  <c r="AX115" i="7" l="1"/>
  <c r="CI36" i="5"/>
  <c r="CI125" i="5"/>
  <c r="BC4" i="11"/>
  <c r="BC7" i="11" s="1"/>
  <c r="AU98" i="7"/>
  <c r="AU146" i="7"/>
  <c r="AU164" i="7" s="1"/>
  <c r="AT102" i="7"/>
  <c r="BC40" i="11" l="1"/>
  <c r="BC44" i="11" s="1"/>
  <c r="BC36" i="11"/>
  <c r="AU103" i="7"/>
  <c r="AU107" i="7" s="1"/>
  <c r="AU114" i="7" s="1"/>
  <c r="AV91" i="7"/>
  <c r="AU101" i="7"/>
  <c r="AU161" i="7" s="1"/>
  <c r="AY115" i="7" l="1"/>
  <c r="AY122" i="7" s="1"/>
  <c r="BA125" i="7" s="1"/>
  <c r="BA307" i="7" s="1"/>
  <c r="AV98" i="7"/>
  <c r="AV146" i="7"/>
  <c r="AV164" i="7" s="1"/>
  <c r="AU102" i="7"/>
  <c r="CP4" i="5" l="1"/>
  <c r="CP6" i="5" s="1"/>
  <c r="CP16" i="5" s="1"/>
  <c r="BA303" i="7"/>
  <c r="AV103" i="7"/>
  <c r="AV107" i="7" s="1"/>
  <c r="AV101" i="7"/>
  <c r="AV161" i="7" s="1"/>
  <c r="AW91" i="7"/>
  <c r="CP125" i="5" l="1"/>
  <c r="CP36" i="5"/>
  <c r="AW98" i="7"/>
  <c r="AW146" i="7"/>
  <c r="AW164" i="7" s="1"/>
  <c r="AV102" i="7"/>
  <c r="AW103" i="7" l="1"/>
  <c r="AW107" i="7" s="1"/>
  <c r="AW114" i="7" s="1"/>
  <c r="AX91" i="7"/>
  <c r="AW101" i="7"/>
  <c r="AW161" i="7" s="1"/>
  <c r="BA115" i="7" l="1"/>
  <c r="AX98" i="7"/>
  <c r="AX146" i="7"/>
  <c r="AX164" i="7" s="1"/>
  <c r="AW102" i="7"/>
  <c r="AY91" i="7" l="1"/>
  <c r="AX101" i="7"/>
  <c r="AX161" i="7" s="1"/>
  <c r="AX103" i="7"/>
  <c r="AX107" i="7" s="1"/>
  <c r="AX114" i="7" s="1"/>
  <c r="BB115" i="7" l="1"/>
  <c r="BB122" i="7" s="1"/>
  <c r="BD125" i="7" s="1"/>
  <c r="BD307" i="7" s="1"/>
  <c r="AY98" i="7"/>
  <c r="AY146" i="7"/>
  <c r="AY164" i="7" s="1"/>
  <c r="AX102" i="7"/>
  <c r="BD303" i="7" l="1"/>
  <c r="CS4" i="5"/>
  <c r="CS6" i="5" s="1"/>
  <c r="CS16" i="5" s="1"/>
  <c r="AZ91" i="7"/>
  <c r="AY107" i="7"/>
  <c r="AY101" i="7"/>
  <c r="AY161" i="7" s="1"/>
  <c r="AB5" i="5"/>
  <c r="AB19" i="5"/>
  <c r="AB20" i="5"/>
  <c r="AB21" i="5"/>
  <c r="AB22" i="5"/>
  <c r="AB23" i="5"/>
  <c r="AB24" i="5"/>
  <c r="AB25" i="5"/>
  <c r="AB26" i="5"/>
  <c r="AB27" i="5"/>
  <c r="AB28" i="5"/>
  <c r="AB29" i="5"/>
  <c r="AB30" i="5"/>
  <c r="AB31" i="5"/>
  <c r="AB32" i="5"/>
  <c r="AB40" i="5"/>
  <c r="AB47" i="5"/>
  <c r="AB48" i="5"/>
  <c r="AB49" i="5"/>
  <c r="AB50" i="5"/>
  <c r="AB51" i="5"/>
  <c r="AB52" i="5"/>
  <c r="AB91" i="5"/>
  <c r="CS36" i="5" l="1"/>
  <c r="CS125" i="5"/>
  <c r="AY114" i="7"/>
  <c r="AY102" i="7"/>
  <c r="AZ98" i="7"/>
  <c r="AZ146" i="7"/>
  <c r="AZ164" i="7" s="1"/>
  <c r="C17" i="8"/>
  <c r="AN121" i="5"/>
  <c r="L22" i="11" s="1"/>
  <c r="AB113" i="5"/>
  <c r="AB114" i="5"/>
  <c r="AB115" i="5"/>
  <c r="BC115" i="7" l="1"/>
  <c r="BC122" i="7" s="1"/>
  <c r="BE125" i="7" s="1"/>
  <c r="BE307" i="7" s="1"/>
  <c r="BA91" i="7"/>
  <c r="AZ107" i="7"/>
  <c r="AZ101" i="7"/>
  <c r="AZ161" i="7" s="1"/>
  <c r="L24" i="11"/>
  <c r="L25" i="11" s="1"/>
  <c r="M25" i="11" s="1"/>
  <c r="N25" i="11" s="1"/>
  <c r="O22" i="11"/>
  <c r="O25" i="11" s="1"/>
  <c r="AQ28" i="5"/>
  <c r="AQ27" i="5"/>
  <c r="AQ26" i="5"/>
  <c r="AQ25" i="5"/>
  <c r="AQ21" i="5"/>
  <c r="AQ19" i="5"/>
  <c r="AP16" i="5"/>
  <c r="N4" i="11" s="1"/>
  <c r="AO6" i="5"/>
  <c r="AM6" i="5"/>
  <c r="AM16" i="5" s="1"/>
  <c r="K4" i="11" s="1"/>
  <c r="AL6" i="5"/>
  <c r="AL16" i="5" s="1"/>
  <c r="J4" i="11" s="1"/>
  <c r="AI6" i="5"/>
  <c r="AH6" i="5"/>
  <c r="AH16" i="5" s="1"/>
  <c r="F4" i="11" s="1"/>
  <c r="AG6" i="5"/>
  <c r="AE6" i="5"/>
  <c r="AE16" i="5" s="1"/>
  <c r="C4" i="11" s="1"/>
  <c r="C7" i="11" s="1"/>
  <c r="BE303" i="7" l="1"/>
  <c r="CT4" i="5"/>
  <c r="CT6" i="5" s="1"/>
  <c r="CT16" i="5" s="1"/>
  <c r="AZ102" i="7"/>
  <c r="AZ114" i="7"/>
  <c r="BD115" i="7" s="1"/>
  <c r="BD122" i="7" s="1"/>
  <c r="BF125" i="7" s="1"/>
  <c r="BF307" i="7" s="1"/>
  <c r="BA98" i="7"/>
  <c r="BA146" i="7"/>
  <c r="BA164" i="7" s="1"/>
  <c r="AO16" i="5"/>
  <c r="AO36" i="5" s="1"/>
  <c r="C8" i="11"/>
  <c r="AN16" i="5"/>
  <c r="L4" i="11" s="1"/>
  <c r="BF303" i="7" l="1"/>
  <c r="CU4" i="5"/>
  <c r="CU6" i="5" s="1"/>
  <c r="CU16" i="5" s="1"/>
  <c r="CT125" i="5"/>
  <c r="CT36" i="5"/>
  <c r="BB91" i="7"/>
  <c r="BA101" i="7"/>
  <c r="BA161" i="7" s="1"/>
  <c r="BA107" i="7"/>
  <c r="M4" i="11"/>
  <c r="AQ20" i="5"/>
  <c r="AF6" i="5"/>
  <c r="BF161" i="5"/>
  <c r="BE161" i="5"/>
  <c r="BD161" i="5"/>
  <c r="BC161" i="5"/>
  <c r="BB161" i="5"/>
  <c r="BA161" i="5"/>
  <c r="AZ161" i="5"/>
  <c r="AX161" i="5"/>
  <c r="AW161" i="5"/>
  <c r="AV161" i="5"/>
  <c r="AA17" i="11"/>
  <c r="Z17" i="11"/>
  <c r="Y17" i="11"/>
  <c r="BC73" i="5"/>
  <c r="X17" i="11" s="1"/>
  <c r="BB73" i="5"/>
  <c r="W17" i="11" s="1"/>
  <c r="BA73" i="5"/>
  <c r="V17" i="11" s="1"/>
  <c r="AZ73" i="5"/>
  <c r="U17" i="11" s="1"/>
  <c r="AY73" i="5"/>
  <c r="T17" i="11" s="1"/>
  <c r="AX73" i="5"/>
  <c r="S17" i="11" s="1"/>
  <c r="AW73" i="5"/>
  <c r="R17" i="11" s="1"/>
  <c r="AV73" i="5"/>
  <c r="Q17" i="11" s="1"/>
  <c r="AU73" i="5"/>
  <c r="P17" i="11" s="1"/>
  <c r="BF61" i="5"/>
  <c r="BE61" i="5"/>
  <c r="BD61" i="5"/>
  <c r="BC61" i="5"/>
  <c r="BB61" i="5"/>
  <c r="BA61" i="5"/>
  <c r="AZ61" i="5"/>
  <c r="AY61" i="5"/>
  <c r="AX61" i="5"/>
  <c r="AW61" i="5"/>
  <c r="AV61" i="5"/>
  <c r="AU61" i="5"/>
  <c r="AA11" i="11"/>
  <c r="BE54" i="5"/>
  <c r="Z11" i="11" s="1"/>
  <c r="BD54" i="5"/>
  <c r="Y11" i="11" s="1"/>
  <c r="BC54" i="5"/>
  <c r="X11" i="11" s="1"/>
  <c r="BB54" i="5"/>
  <c r="BA54" i="5"/>
  <c r="V11" i="11" s="1"/>
  <c r="AZ54" i="5"/>
  <c r="U11" i="11" s="1"/>
  <c r="AY54" i="5"/>
  <c r="T11" i="11" s="1"/>
  <c r="AX54" i="5"/>
  <c r="S11" i="11" s="1"/>
  <c r="AW54" i="5"/>
  <c r="R11" i="11" s="1"/>
  <c r="Q11" i="11"/>
  <c r="AU54" i="5"/>
  <c r="BF42" i="5"/>
  <c r="AA10" i="11" s="1"/>
  <c r="BE42" i="5"/>
  <c r="Z10" i="11" s="1"/>
  <c r="BD42" i="5"/>
  <c r="Y10" i="11" s="1"/>
  <c r="BA42" i="5"/>
  <c r="V10" i="11" s="1"/>
  <c r="AZ42" i="5"/>
  <c r="U10" i="11" s="1"/>
  <c r="AY42" i="5"/>
  <c r="T10" i="11" s="1"/>
  <c r="AX42" i="5"/>
  <c r="R10" i="11"/>
  <c r="AU42" i="5"/>
  <c r="P10" i="11" s="1"/>
  <c r="BF33" i="5"/>
  <c r="AA5" i="11" s="1"/>
  <c r="BE33" i="5"/>
  <c r="Z5" i="11" s="1"/>
  <c r="BD33" i="5"/>
  <c r="Y5" i="11" s="1"/>
  <c r="BC33" i="5"/>
  <c r="X5" i="11" s="1"/>
  <c r="BB33" i="5"/>
  <c r="W5" i="11" s="1"/>
  <c r="BA33" i="5"/>
  <c r="AZ33" i="5"/>
  <c r="U5" i="11" s="1"/>
  <c r="AY33" i="5"/>
  <c r="T5" i="11" s="1"/>
  <c r="AX33" i="5"/>
  <c r="AW33" i="5"/>
  <c r="AV33" i="5"/>
  <c r="AU33" i="5"/>
  <c r="BF16" i="5"/>
  <c r="AA4" i="11" s="1"/>
  <c r="BE16" i="5"/>
  <c r="Z4" i="11" s="1"/>
  <c r="BD16" i="5"/>
  <c r="Y4" i="11" s="1"/>
  <c r="BC16" i="5"/>
  <c r="X4" i="11" s="1"/>
  <c r="BB16" i="5"/>
  <c r="W4" i="11" s="1"/>
  <c r="BA16" i="5"/>
  <c r="AZ16" i="5"/>
  <c r="U4" i="11" s="1"/>
  <c r="AY16" i="5"/>
  <c r="T4" i="11" s="1"/>
  <c r="AX16" i="5"/>
  <c r="S4" i="11" s="1"/>
  <c r="AW16" i="5"/>
  <c r="AU16" i="5"/>
  <c r="AB136" i="5"/>
  <c r="AQ133" i="5"/>
  <c r="AQ134" i="5"/>
  <c r="AQ135" i="5"/>
  <c r="AQ136" i="5"/>
  <c r="AQ132" i="5"/>
  <c r="AQ131" i="5"/>
  <c r="O30" i="5"/>
  <c r="O31" i="5"/>
  <c r="AA73" i="5"/>
  <c r="Z73" i="5"/>
  <c r="Y73" i="5"/>
  <c r="X73" i="5"/>
  <c r="W73" i="5"/>
  <c r="V73" i="5"/>
  <c r="U73" i="5"/>
  <c r="T73" i="5"/>
  <c r="S73" i="5"/>
  <c r="R73" i="5"/>
  <c r="Q73" i="5"/>
  <c r="P73" i="5"/>
  <c r="AB71" i="5"/>
  <c r="AB70" i="5"/>
  <c r="AB69" i="5"/>
  <c r="AB68" i="5"/>
  <c r="AB63" i="5"/>
  <c r="AA61" i="5"/>
  <c r="AA65" i="5" s="1"/>
  <c r="Z61" i="5"/>
  <c r="Z65" i="5" s="1"/>
  <c r="Y61" i="5"/>
  <c r="Y65" i="5" s="1"/>
  <c r="X61" i="5"/>
  <c r="X65" i="5" s="1"/>
  <c r="W61" i="5"/>
  <c r="W65" i="5" s="1"/>
  <c r="V61" i="5"/>
  <c r="V65" i="5" s="1"/>
  <c r="U61" i="5"/>
  <c r="U65" i="5" s="1"/>
  <c r="T61" i="5"/>
  <c r="T65" i="5" s="1"/>
  <c r="S61" i="5"/>
  <c r="S65" i="5" s="1"/>
  <c r="R61" i="5"/>
  <c r="R65" i="5" s="1"/>
  <c r="Q61" i="5"/>
  <c r="Q65" i="5" s="1"/>
  <c r="P61" i="5"/>
  <c r="P65" i="5" s="1"/>
  <c r="AB60" i="5"/>
  <c r="AB61" i="5" s="1"/>
  <c r="AQ69" i="5"/>
  <c r="AQ70" i="5"/>
  <c r="AQ71" i="5"/>
  <c r="AQ68" i="5"/>
  <c r="AQ63" i="5"/>
  <c r="AQ60" i="5"/>
  <c r="AQ61" i="5" s="1"/>
  <c r="AF73" i="5"/>
  <c r="D17" i="11" s="1"/>
  <c r="O17" i="11" s="1"/>
  <c r="AP61" i="5"/>
  <c r="AP65" i="5" s="1"/>
  <c r="N16" i="11" s="1"/>
  <c r="N19" i="11" s="1"/>
  <c r="AO61" i="5"/>
  <c r="AO65" i="5" s="1"/>
  <c r="M16" i="11" s="1"/>
  <c r="M19" i="11" s="1"/>
  <c r="AN61" i="5"/>
  <c r="AN65" i="5" s="1"/>
  <c r="AM61" i="5"/>
  <c r="AM65" i="5" s="1"/>
  <c r="AL61" i="5"/>
  <c r="AL65" i="5" s="1"/>
  <c r="J16" i="11" s="1"/>
  <c r="J19" i="11" s="1"/>
  <c r="AK65" i="5"/>
  <c r="I16" i="11" s="1"/>
  <c r="I19" i="11" s="1"/>
  <c r="AJ65" i="5"/>
  <c r="AI61" i="5"/>
  <c r="AI65" i="5" s="1"/>
  <c r="AH61" i="5"/>
  <c r="AH65" i="5" s="1"/>
  <c r="F16" i="11" s="1"/>
  <c r="F19" i="11" s="1"/>
  <c r="AG61" i="5"/>
  <c r="AG65" i="5" s="1"/>
  <c r="AF61" i="5"/>
  <c r="AF65" i="5" s="1"/>
  <c r="D16" i="11" s="1"/>
  <c r="AE61" i="5"/>
  <c r="AE65" i="5" s="1"/>
  <c r="C16" i="11" s="1"/>
  <c r="AQ47" i="5"/>
  <c r="AQ48" i="5"/>
  <c r="AQ49" i="5"/>
  <c r="AQ50" i="5"/>
  <c r="AQ51" i="5"/>
  <c r="AQ52" i="5"/>
  <c r="AQ53" i="5"/>
  <c r="AQ40" i="5"/>
  <c r="AQ39" i="5"/>
  <c r="AF54" i="5"/>
  <c r="D11" i="11" s="1"/>
  <c r="AP33" i="5"/>
  <c r="AQ30" i="5"/>
  <c r="AQ31" i="5"/>
  <c r="AQ32" i="5"/>
  <c r="O32" i="5"/>
  <c r="AQ91" i="5"/>
  <c r="AQ92" i="5"/>
  <c r="AQ93" i="5"/>
  <c r="AQ94" i="5"/>
  <c r="AQ95" i="5"/>
  <c r="AQ96" i="5"/>
  <c r="AQ97" i="5"/>
  <c r="AQ98" i="5"/>
  <c r="AQ99" i="5"/>
  <c r="AQ101" i="5"/>
  <c r="AQ102" i="5"/>
  <c r="AQ103" i="5"/>
  <c r="AQ105" i="5"/>
  <c r="AQ106" i="5"/>
  <c r="AQ107" i="5"/>
  <c r="AQ108" i="5"/>
  <c r="AQ109" i="5"/>
  <c r="AQ110" i="5"/>
  <c r="AQ111" i="5"/>
  <c r="AQ112" i="5"/>
  <c r="AQ113" i="5"/>
  <c r="AQ114" i="5"/>
  <c r="AQ115" i="5"/>
  <c r="AQ117" i="5"/>
  <c r="AQ118" i="5"/>
  <c r="AQ119" i="5"/>
  <c r="AQ120" i="5"/>
  <c r="AB117" i="5"/>
  <c r="AB118" i="5"/>
  <c r="AB119" i="5"/>
  <c r="AB120" i="5"/>
  <c r="CU125" i="5" l="1"/>
  <c r="CU36" i="5"/>
  <c r="P11" i="11"/>
  <c r="BG55" i="5"/>
  <c r="BA102" i="7"/>
  <c r="BA114" i="7"/>
  <c r="BE115" i="7" s="1"/>
  <c r="BE122" i="7" s="1"/>
  <c r="BG125" i="7" s="1"/>
  <c r="BG307" i="7" s="1"/>
  <c r="BB98" i="7"/>
  <c r="BB146" i="7"/>
  <c r="BB164" i="7" s="1"/>
  <c r="W11" i="11"/>
  <c r="V5" i="11"/>
  <c r="BG34" i="5"/>
  <c r="V4" i="11"/>
  <c r="BG17" i="5"/>
  <c r="BV122" i="5"/>
  <c r="D122" i="16" s="1"/>
  <c r="CK121" i="5"/>
  <c r="CK122" i="5" s="1"/>
  <c r="AQ73" i="5"/>
  <c r="AQ74" i="5" s="1"/>
  <c r="P4" i="11"/>
  <c r="S5" i="11"/>
  <c r="S7" i="11" s="1"/>
  <c r="AX126" i="5"/>
  <c r="Q10" i="11"/>
  <c r="Q13" i="11" s="1"/>
  <c r="AV57" i="5"/>
  <c r="R4" i="11"/>
  <c r="P5" i="11"/>
  <c r="AU126" i="5"/>
  <c r="S10" i="11"/>
  <c r="S13" i="11" s="1"/>
  <c r="Q5" i="11"/>
  <c r="AV36" i="5"/>
  <c r="AV126" i="5"/>
  <c r="R5" i="11"/>
  <c r="AW126" i="5"/>
  <c r="AW36" i="5"/>
  <c r="Q4" i="11"/>
  <c r="AA13" i="11"/>
  <c r="C19" i="11"/>
  <c r="C20" i="11" s="1"/>
  <c r="AB17" i="11"/>
  <c r="N5" i="11"/>
  <c r="N7" i="11" s="1"/>
  <c r="X7" i="11"/>
  <c r="Y7" i="11"/>
  <c r="T13" i="11"/>
  <c r="D13" i="8"/>
  <c r="E13" i="8" s="1"/>
  <c r="T7" i="11"/>
  <c r="U7" i="11"/>
  <c r="P13" i="11"/>
  <c r="P14" i="11" s="1"/>
  <c r="D19" i="11"/>
  <c r="Z7" i="11"/>
  <c r="U13" i="11"/>
  <c r="Y13" i="11"/>
  <c r="W7" i="11"/>
  <c r="AA7" i="11"/>
  <c r="R13" i="11"/>
  <c r="V13" i="11"/>
  <c r="Z13" i="11"/>
  <c r="AU65" i="5"/>
  <c r="AU75" i="5" s="1"/>
  <c r="P16" i="11"/>
  <c r="AY65" i="5"/>
  <c r="AY75" i="5" s="1"/>
  <c r="T16" i="11"/>
  <c r="T19" i="11" s="1"/>
  <c r="BC65" i="5"/>
  <c r="BC75" i="5" s="1"/>
  <c r="X16" i="11"/>
  <c r="X19" i="11" s="1"/>
  <c r="AV65" i="5"/>
  <c r="AV125" i="5" s="1"/>
  <c r="Q16" i="11"/>
  <c r="Q19" i="11" s="1"/>
  <c r="AJ75" i="5"/>
  <c r="H16" i="11"/>
  <c r="H19" i="11" s="1"/>
  <c r="AN75" i="5"/>
  <c r="L16" i="11"/>
  <c r="L19" i="11" s="1"/>
  <c r="AW65" i="5"/>
  <c r="AW75" i="5" s="1"/>
  <c r="R16" i="11"/>
  <c r="R19" i="11" s="1"/>
  <c r="BA65" i="5"/>
  <c r="BA75" i="5" s="1"/>
  <c r="V16" i="11"/>
  <c r="V19" i="11" s="1"/>
  <c r="BE65" i="5"/>
  <c r="BE125" i="5" s="1"/>
  <c r="Z16" i="11"/>
  <c r="Z19" i="11" s="1"/>
  <c r="AI75" i="5"/>
  <c r="G16" i="11"/>
  <c r="G19" i="11" s="1"/>
  <c r="AM75" i="5"/>
  <c r="K16" i="11"/>
  <c r="K19" i="11" s="1"/>
  <c r="AZ65" i="5"/>
  <c r="AZ75" i="5" s="1"/>
  <c r="U16" i="11"/>
  <c r="U19" i="11" s="1"/>
  <c r="BD65" i="5"/>
  <c r="BD75" i="5" s="1"/>
  <c r="Y16" i="11"/>
  <c r="Y19" i="11" s="1"/>
  <c r="AG75" i="5"/>
  <c r="E16" i="11"/>
  <c r="E19" i="11" s="1"/>
  <c r="AX65" i="5"/>
  <c r="AX125" i="5" s="1"/>
  <c r="S16" i="11"/>
  <c r="S19" i="11" s="1"/>
  <c r="BB65" i="5"/>
  <c r="BB75" i="5" s="1"/>
  <c r="W16" i="11"/>
  <c r="W19" i="11" s="1"/>
  <c r="BF65" i="5"/>
  <c r="BF125" i="5" s="1"/>
  <c r="AA16" i="11"/>
  <c r="AA19" i="11" s="1"/>
  <c r="AH75" i="5"/>
  <c r="AL75" i="5"/>
  <c r="AP75" i="5"/>
  <c r="AK75" i="5"/>
  <c r="AO75" i="5"/>
  <c r="AF75" i="5"/>
  <c r="AE75" i="5"/>
  <c r="AZ57" i="5"/>
  <c r="BD57" i="5"/>
  <c r="AW57" i="5"/>
  <c r="BA57" i="5"/>
  <c r="BE57" i="5"/>
  <c r="AX36" i="5"/>
  <c r="BF36" i="5"/>
  <c r="AZ126" i="5"/>
  <c r="Q75" i="5"/>
  <c r="U75" i="5"/>
  <c r="Y75" i="5"/>
  <c r="BD126" i="5"/>
  <c r="P75" i="5"/>
  <c r="T75" i="5"/>
  <c r="X75" i="5"/>
  <c r="AB65" i="5"/>
  <c r="R75" i="5"/>
  <c r="V75" i="5"/>
  <c r="Z75" i="5"/>
  <c r="S75" i="5"/>
  <c r="W75" i="5"/>
  <c r="AA75" i="5"/>
  <c r="BB126" i="5"/>
  <c r="AQ65" i="5"/>
  <c r="AQ66" i="5" s="1"/>
  <c r="BC126" i="5"/>
  <c r="AU57" i="5"/>
  <c r="AY57" i="5"/>
  <c r="BD36" i="5"/>
  <c r="AU36" i="5"/>
  <c r="BC36" i="5"/>
  <c r="BE36" i="5"/>
  <c r="AY36" i="5"/>
  <c r="AZ36" i="5"/>
  <c r="BA36" i="5"/>
  <c r="BA126" i="5"/>
  <c r="BE126" i="5"/>
  <c r="BB36" i="5"/>
  <c r="AX57" i="5"/>
  <c r="BF57" i="5"/>
  <c r="AB73" i="5"/>
  <c r="AZ125" i="5" l="1"/>
  <c r="AB11" i="11"/>
  <c r="P121" i="16"/>
  <c r="CV4" i="5"/>
  <c r="CV6" i="5" s="1"/>
  <c r="CV16" i="5" s="1"/>
  <c r="CV125" i="5" s="1"/>
  <c r="BG303" i="7"/>
  <c r="P7" i="11"/>
  <c r="P8" i="11" s="1"/>
  <c r="BC91" i="7"/>
  <c r="BB101" i="7"/>
  <c r="BB161" i="7" s="1"/>
  <c r="BB107" i="7"/>
  <c r="V7" i="11"/>
  <c r="V36" i="11" s="1"/>
  <c r="BG37" i="5"/>
  <c r="AV75" i="5"/>
  <c r="BD125" i="5"/>
  <c r="AX75" i="5"/>
  <c r="AU125" i="5"/>
  <c r="AW125" i="5"/>
  <c r="AB5" i="11"/>
  <c r="R7" i="11"/>
  <c r="Q7" i="11"/>
  <c r="AB4" i="11"/>
  <c r="BF75" i="5"/>
  <c r="BA125" i="5"/>
  <c r="BE75" i="5"/>
  <c r="D20" i="11"/>
  <c r="E20" i="11" s="1"/>
  <c r="F20" i="11" s="1"/>
  <c r="G20" i="11" s="1"/>
  <c r="H20" i="11" s="1"/>
  <c r="I20" i="11" s="1"/>
  <c r="J20" i="11" s="1"/>
  <c r="K20" i="11" s="1"/>
  <c r="L20" i="11" s="1"/>
  <c r="M20" i="11" s="1"/>
  <c r="N20" i="11" s="1"/>
  <c r="P19" i="11"/>
  <c r="P20" i="11" s="1"/>
  <c r="Q20" i="11" s="1"/>
  <c r="R20" i="11" s="1"/>
  <c r="S20" i="11" s="1"/>
  <c r="T20" i="11" s="1"/>
  <c r="U20" i="11" s="1"/>
  <c r="V20" i="11" s="1"/>
  <c r="W20" i="11" s="1"/>
  <c r="X20" i="11" s="1"/>
  <c r="Y20" i="11" s="1"/>
  <c r="Z20" i="11" s="1"/>
  <c r="AA20" i="11" s="1"/>
  <c r="AB16" i="11"/>
  <c r="AB20" i="11" s="1"/>
  <c r="O16" i="11"/>
  <c r="O20" i="11" s="1"/>
  <c r="Q14" i="11"/>
  <c r="R14" i="11" s="1"/>
  <c r="S14" i="11" s="1"/>
  <c r="T14" i="11" s="1"/>
  <c r="U14" i="11" s="1"/>
  <c r="V14" i="11" s="1"/>
  <c r="Y40" i="11"/>
  <c r="Y44" i="11" s="1"/>
  <c r="U36" i="11"/>
  <c r="Y36" i="11"/>
  <c r="U40" i="11"/>
  <c r="U44" i="11" s="1"/>
  <c r="S40" i="11"/>
  <c r="S44" i="11" s="1"/>
  <c r="S36" i="11"/>
  <c r="Z40" i="11"/>
  <c r="Z44" i="11" s="1"/>
  <c r="Z36" i="11"/>
  <c r="AY125" i="5"/>
  <c r="D15" i="8"/>
  <c r="E15" i="8" s="1"/>
  <c r="F15" i="8" s="1"/>
  <c r="F13" i="8"/>
  <c r="D16" i="8"/>
  <c r="AB75" i="5"/>
  <c r="AQ75" i="5"/>
  <c r="AQ76" i="5" s="1"/>
  <c r="CV36" i="5" l="1"/>
  <c r="BB102" i="7"/>
  <c r="BB114" i="7"/>
  <c r="BF115" i="7" s="1"/>
  <c r="BF122" i="7" s="1"/>
  <c r="BH125" i="7" s="1"/>
  <c r="BH307" i="7" s="1"/>
  <c r="BC98" i="7"/>
  <c r="BC146" i="7"/>
  <c r="BC164" i="7" s="1"/>
  <c r="V40" i="11"/>
  <c r="V44" i="11" s="1"/>
  <c r="R40" i="11"/>
  <c r="R44" i="11" s="1"/>
  <c r="Q40" i="11"/>
  <c r="Q44" i="11" s="1"/>
  <c r="Q8" i="11"/>
  <c r="R8" i="11" s="1"/>
  <c r="S8" i="11" s="1"/>
  <c r="T8" i="11" s="1"/>
  <c r="U8" i="11" s="1"/>
  <c r="V8" i="11" s="1"/>
  <c r="W8" i="11" s="1"/>
  <c r="X8" i="11" s="1"/>
  <c r="Y8" i="11" s="1"/>
  <c r="Z8" i="11" s="1"/>
  <c r="AA8" i="11" s="1"/>
  <c r="Q36" i="11"/>
  <c r="AB8" i="11"/>
  <c r="R36" i="11"/>
  <c r="P36" i="11"/>
  <c r="P40" i="11"/>
  <c r="P41" i="11" s="1"/>
  <c r="E16" i="8"/>
  <c r="D95" i="5"/>
  <c r="G110" i="5"/>
  <c r="I109" i="5"/>
  <c r="J110" i="5"/>
  <c r="Y95" i="5"/>
  <c r="T110" i="5"/>
  <c r="Q110" i="5"/>
  <c r="O105" i="5"/>
  <c r="AB105" i="5"/>
  <c r="O102" i="5"/>
  <c r="AB103" i="5"/>
  <c r="AB102" i="5"/>
  <c r="C151" i="5"/>
  <c r="C137" i="5"/>
  <c r="CW4" i="5" l="1"/>
  <c r="CW6" i="5" s="1"/>
  <c r="CW16" i="5" s="1"/>
  <c r="CW125" i="5" s="1"/>
  <c r="BH303" i="7"/>
  <c r="BD91" i="7"/>
  <c r="BC101" i="7"/>
  <c r="BC161" i="7" s="1"/>
  <c r="BC107" i="7"/>
  <c r="Q41" i="11"/>
  <c r="R41" i="11" s="1"/>
  <c r="S41" i="11" s="1"/>
  <c r="P44" i="11"/>
  <c r="F16" i="8"/>
  <c r="P148" i="5"/>
  <c r="CW36" i="5" l="1"/>
  <c r="BC102" i="7"/>
  <c r="BC114" i="7"/>
  <c r="BG115" i="7" s="1"/>
  <c r="BG122" i="7" s="1"/>
  <c r="BI125" i="7" s="1"/>
  <c r="BI307" i="7" s="1"/>
  <c r="BD98" i="7"/>
  <c r="BD146" i="7"/>
  <c r="BD164" i="7" s="1"/>
  <c r="O148" i="5"/>
  <c r="O154" i="5"/>
  <c r="P154" i="5" s="1"/>
  <c r="CX4" i="5" l="1"/>
  <c r="CX6" i="5" s="1"/>
  <c r="CX16" i="5" s="1"/>
  <c r="CX125" i="5" s="1"/>
  <c r="BI303" i="7"/>
  <c r="BE91" i="7"/>
  <c r="BD101" i="7"/>
  <c r="BD161" i="7" s="1"/>
  <c r="BD107" i="7"/>
  <c r="Q154" i="5"/>
  <c r="K54" i="5"/>
  <c r="CX36" i="5" l="1"/>
  <c r="BD102" i="7"/>
  <c r="BD114" i="7"/>
  <c r="BH115" i="7" s="1"/>
  <c r="BH122" i="7" s="1"/>
  <c r="BJ125" i="7" s="1"/>
  <c r="BJ307" i="7" s="1"/>
  <c r="BE98" i="7"/>
  <c r="BE146" i="7"/>
  <c r="BE164" i="7" s="1"/>
  <c r="R154" i="5"/>
  <c r="K121" i="5"/>
  <c r="CY4" i="5" l="1"/>
  <c r="CY6" i="5" s="1"/>
  <c r="CY16" i="5" s="1"/>
  <c r="CY125" i="5" s="1"/>
  <c r="BJ303" i="7"/>
  <c r="BF91" i="7"/>
  <c r="BE101" i="7"/>
  <c r="BE161" i="7" s="1"/>
  <c r="BE107" i="7"/>
  <c r="S154" i="5"/>
  <c r="K33" i="5"/>
  <c r="CY36" i="5" l="1"/>
  <c r="BE102" i="7"/>
  <c r="BF98" i="7"/>
  <c r="BF146" i="7"/>
  <c r="BF164" i="7" s="1"/>
  <c r="T154" i="5"/>
  <c r="AB106" i="5"/>
  <c r="AB94" i="5"/>
  <c r="AB93" i="5"/>
  <c r="O94" i="5"/>
  <c r="BG91" i="7" l="1"/>
  <c r="BF101" i="7"/>
  <c r="BF161" i="7" s="1"/>
  <c r="BF107" i="7"/>
  <c r="U154" i="5"/>
  <c r="AB95" i="5"/>
  <c r="O95" i="5"/>
  <c r="O93" i="5"/>
  <c r="O106" i="5"/>
  <c r="BF102" i="7" l="1"/>
  <c r="BF114" i="7"/>
  <c r="BJ115" i="7" s="1"/>
  <c r="BG98" i="7"/>
  <c r="BG146" i="7"/>
  <c r="BG164" i="7" s="1"/>
  <c r="V154" i="5"/>
  <c r="BH91" i="7" l="1"/>
  <c r="BG101" i="7"/>
  <c r="BG161" i="7" s="1"/>
  <c r="BG107" i="7"/>
  <c r="W154" i="5"/>
  <c r="AQ10" i="5"/>
  <c r="AB10" i="5"/>
  <c r="O10" i="5"/>
  <c r="BG102" i="7" l="1"/>
  <c r="BG114" i="7"/>
  <c r="BH98" i="7"/>
  <c r="BH146" i="7"/>
  <c r="BH164" i="7" s="1"/>
  <c r="X154" i="5"/>
  <c r="AB135" i="5"/>
  <c r="AB134" i="5"/>
  <c r="AB133" i="5"/>
  <c r="AB132" i="5"/>
  <c r="O134" i="5"/>
  <c r="O133" i="5"/>
  <c r="O132" i="5"/>
  <c r="AB131" i="5"/>
  <c r="BI91" i="7" l="1"/>
  <c r="BH101" i="7"/>
  <c r="BH161" i="7" s="1"/>
  <c r="BH107" i="7"/>
  <c r="Y154" i="5"/>
  <c r="BH102" i="7" l="1"/>
  <c r="BI98" i="7"/>
  <c r="BI146" i="7"/>
  <c r="BI164" i="7" s="1"/>
  <c r="Z154" i="5"/>
  <c r="AP161" i="5"/>
  <c r="AO161" i="5"/>
  <c r="AN161" i="5"/>
  <c r="AM161" i="5"/>
  <c r="AL161" i="5"/>
  <c r="AK161" i="5"/>
  <c r="AJ161" i="5"/>
  <c r="AI161" i="5"/>
  <c r="AH161" i="5"/>
  <c r="AG161" i="5"/>
  <c r="AF161" i="5"/>
  <c r="AQ90" i="5"/>
  <c r="AQ89" i="5"/>
  <c r="AP54" i="5"/>
  <c r="M11" i="11"/>
  <c r="AN54" i="5"/>
  <c r="L11" i="11" s="1"/>
  <c r="AM54" i="5"/>
  <c r="K11" i="11" s="1"/>
  <c r="AL54" i="5"/>
  <c r="J11" i="11" s="1"/>
  <c r="AK54" i="5"/>
  <c r="I11" i="11" s="1"/>
  <c r="AJ54" i="5"/>
  <c r="H11" i="11" s="1"/>
  <c r="AI54" i="5"/>
  <c r="G11" i="11" s="1"/>
  <c r="AH54" i="5"/>
  <c r="F11" i="11" s="1"/>
  <c r="AG54" i="5"/>
  <c r="E11" i="11" s="1"/>
  <c r="AQ46" i="5"/>
  <c r="AQ45" i="5"/>
  <c r="AP42" i="5"/>
  <c r="N10" i="11" s="1"/>
  <c r="AO42" i="5"/>
  <c r="AN42" i="5"/>
  <c r="L10" i="11" s="1"/>
  <c r="AM42" i="5"/>
  <c r="K10" i="11" s="1"/>
  <c r="AL42" i="5"/>
  <c r="J10" i="11" s="1"/>
  <c r="AK42" i="5"/>
  <c r="I10" i="11" s="1"/>
  <c r="AJ42" i="5"/>
  <c r="H10" i="11" s="1"/>
  <c r="AI42" i="5"/>
  <c r="G10" i="11" s="1"/>
  <c r="AH42" i="5"/>
  <c r="F10" i="11" s="1"/>
  <c r="AG42" i="5"/>
  <c r="E10" i="11" s="1"/>
  <c r="AF42" i="5"/>
  <c r="D10" i="11" s="1"/>
  <c r="D13" i="11" s="1"/>
  <c r="AE42" i="5"/>
  <c r="AQ41" i="5"/>
  <c r="AN33" i="5"/>
  <c r="AM33" i="5"/>
  <c r="AL33" i="5"/>
  <c r="AK33" i="5"/>
  <c r="AJ33" i="5"/>
  <c r="AI33" i="5"/>
  <c r="G5" i="11" s="1"/>
  <c r="AH33" i="5"/>
  <c r="AG33" i="5"/>
  <c r="E5" i="11" s="1"/>
  <c r="AF33" i="5"/>
  <c r="D5" i="11" s="1"/>
  <c r="AQ29" i="5"/>
  <c r="AQ24" i="5"/>
  <c r="AQ23" i="5"/>
  <c r="AQ22" i="5"/>
  <c r="AQ14" i="5"/>
  <c r="AQ13" i="5"/>
  <c r="AQ12" i="5"/>
  <c r="AQ11" i="5"/>
  <c r="AI16" i="5"/>
  <c r="G4" i="11" s="1"/>
  <c r="AG16" i="5"/>
  <c r="E4" i="11" s="1"/>
  <c r="AF16" i="5"/>
  <c r="D4" i="11" s="1"/>
  <c r="BJ91" i="7" l="1"/>
  <c r="BI101" i="7"/>
  <c r="BI161" i="7" s="1"/>
  <c r="BI107" i="7"/>
  <c r="M10" i="11"/>
  <c r="M13" i="11" s="1"/>
  <c r="AO57" i="5"/>
  <c r="H5" i="11"/>
  <c r="H7" i="11" s="1"/>
  <c r="F5" i="11"/>
  <c r="F7" i="11" s="1"/>
  <c r="I5" i="11"/>
  <c r="I7" i="11" s="1"/>
  <c r="J5" i="11"/>
  <c r="J7" i="11" s="1"/>
  <c r="K5" i="11"/>
  <c r="K7" i="11" s="1"/>
  <c r="L5" i="11"/>
  <c r="L7" i="11" s="1"/>
  <c r="G7" i="11"/>
  <c r="E13" i="11"/>
  <c r="F13" i="11"/>
  <c r="G13" i="11"/>
  <c r="O4" i="11"/>
  <c r="M5" i="11"/>
  <c r="E7" i="11"/>
  <c r="H13" i="11"/>
  <c r="I13" i="11"/>
  <c r="L13" i="11"/>
  <c r="J13" i="11"/>
  <c r="K13" i="11"/>
  <c r="AE125" i="5"/>
  <c r="C10" i="11"/>
  <c r="C13" i="11" s="1"/>
  <c r="AP126" i="5"/>
  <c r="N11" i="11"/>
  <c r="N13" i="11" s="1"/>
  <c r="N36" i="11" s="1"/>
  <c r="AF126" i="5"/>
  <c r="D7" i="11"/>
  <c r="AQ121" i="5"/>
  <c r="AQ122" i="5" s="1"/>
  <c r="C13" i="8"/>
  <c r="AQ16" i="5"/>
  <c r="AQ54" i="5"/>
  <c r="C16" i="8" s="1"/>
  <c r="AF36" i="5"/>
  <c r="AA154" i="5"/>
  <c r="AG125" i="5"/>
  <c r="AO125" i="5"/>
  <c r="AK125" i="5"/>
  <c r="AJ125" i="5"/>
  <c r="AN125" i="5"/>
  <c r="AM125" i="5"/>
  <c r="AI125" i="5"/>
  <c r="AH125" i="5"/>
  <c r="AL125" i="5"/>
  <c r="AP125" i="5"/>
  <c r="AH126" i="5"/>
  <c r="AL126" i="5"/>
  <c r="AF125" i="5"/>
  <c r="AI126" i="5"/>
  <c r="AM126" i="5"/>
  <c r="AJ126" i="5"/>
  <c r="AN126" i="5"/>
  <c r="AG126" i="5"/>
  <c r="AK126" i="5"/>
  <c r="AO126" i="5"/>
  <c r="AE57" i="5"/>
  <c r="AQ33" i="5"/>
  <c r="AG57" i="5"/>
  <c r="AK57" i="5"/>
  <c r="AM36" i="5"/>
  <c r="AH57" i="5"/>
  <c r="AL57" i="5"/>
  <c r="AP57" i="5"/>
  <c r="AI57" i="5"/>
  <c r="AM57" i="5"/>
  <c r="AJ57" i="5"/>
  <c r="AN57" i="5"/>
  <c r="AF57" i="5"/>
  <c r="AQ42" i="5"/>
  <c r="AQ43" i="5" s="1"/>
  <c r="AK36" i="5"/>
  <c r="AL36" i="5"/>
  <c r="AP36" i="5"/>
  <c r="AH36" i="5"/>
  <c r="AG36" i="5"/>
  <c r="AJ36" i="5"/>
  <c r="AN36" i="5"/>
  <c r="AI36" i="5"/>
  <c r="BI102" i="7" l="1"/>
  <c r="BI114" i="7"/>
  <c r="BJ98" i="7"/>
  <c r="BJ146" i="7"/>
  <c r="BJ164" i="7" s="1"/>
  <c r="E36" i="11"/>
  <c r="G36" i="11"/>
  <c r="K36" i="11"/>
  <c r="F40" i="11"/>
  <c r="F44" i="11" s="1"/>
  <c r="F36" i="11"/>
  <c r="J40" i="11"/>
  <c r="J44" i="11" s="1"/>
  <c r="I36" i="11"/>
  <c r="H36" i="11"/>
  <c r="L40" i="11"/>
  <c r="L44" i="11" s="1"/>
  <c r="O5" i="11"/>
  <c r="O8" i="11" s="1"/>
  <c r="E40" i="11"/>
  <c r="E44" i="11" s="1"/>
  <c r="O10" i="11"/>
  <c r="O11" i="11"/>
  <c r="M7" i="11"/>
  <c r="M36" i="11" s="1"/>
  <c r="L36" i="11"/>
  <c r="H40" i="11"/>
  <c r="H44" i="11" s="1"/>
  <c r="G40" i="11"/>
  <c r="G44" i="11" s="1"/>
  <c r="I40" i="11"/>
  <c r="I44" i="11" s="1"/>
  <c r="J36" i="11"/>
  <c r="K40" i="11"/>
  <c r="K44" i="11" s="1"/>
  <c r="D8" i="11"/>
  <c r="E8" i="11" s="1"/>
  <c r="F8" i="11" s="1"/>
  <c r="D40" i="11"/>
  <c r="D36" i="11"/>
  <c r="N40" i="11"/>
  <c r="N44" i="11" s="1"/>
  <c r="C14" i="11"/>
  <c r="D14" i="11" s="1"/>
  <c r="E14" i="11" s="1"/>
  <c r="F14" i="11" s="1"/>
  <c r="G14" i="11" s="1"/>
  <c r="H14" i="11" s="1"/>
  <c r="I14" i="11" s="1"/>
  <c r="J14" i="11" s="1"/>
  <c r="K14" i="11" s="1"/>
  <c r="L14" i="11" s="1"/>
  <c r="M14" i="11" s="1"/>
  <c r="N14" i="11" s="1"/>
  <c r="C40" i="11"/>
  <c r="C36" i="11"/>
  <c r="AQ36" i="5"/>
  <c r="AQ55" i="5"/>
  <c r="AQ34" i="5"/>
  <c r="C15" i="8"/>
  <c r="AQ126" i="5"/>
  <c r="AQ125" i="5"/>
  <c r="AB154" i="5"/>
  <c r="AE154" i="5" s="1"/>
  <c r="AQ57" i="5"/>
  <c r="AQ58" i="5" s="1"/>
  <c r="AQ7" i="5"/>
  <c r="AE36" i="5"/>
  <c r="BJ101" i="7" l="1"/>
  <c r="BJ161" i="7" s="1"/>
  <c r="BJ107" i="7"/>
  <c r="O14" i="11"/>
  <c r="O36" i="11" s="1"/>
  <c r="O37" i="11" s="1"/>
  <c r="G8" i="11"/>
  <c r="H8" i="11" s="1"/>
  <c r="I8" i="11" s="1"/>
  <c r="J8" i="11" s="1"/>
  <c r="K8" i="11" s="1"/>
  <c r="L8" i="11" s="1"/>
  <c r="M8" i="11" s="1"/>
  <c r="N8" i="11" s="1"/>
  <c r="M40" i="11"/>
  <c r="M44" i="11" s="1"/>
  <c r="D44" i="11"/>
  <c r="C41" i="11"/>
  <c r="D41" i="11" s="1"/>
  <c r="E41" i="11" s="1"/>
  <c r="F41" i="11" s="1"/>
  <c r="G41" i="11" s="1"/>
  <c r="H41" i="11" s="1"/>
  <c r="I41" i="11" s="1"/>
  <c r="J41" i="11" s="1"/>
  <c r="K41" i="11" s="1"/>
  <c r="L41" i="11" s="1"/>
  <c r="C44" i="11"/>
  <c r="AQ37" i="5"/>
  <c r="AF154" i="5"/>
  <c r="AQ17" i="5"/>
  <c r="BJ102" i="7" l="1"/>
  <c r="BJ114" i="7"/>
  <c r="M41" i="11"/>
  <c r="N41" i="11" s="1"/>
  <c r="AG154" i="5"/>
  <c r="AB109" i="5"/>
  <c r="O109" i="5"/>
  <c r="AH154" i="5" l="1"/>
  <c r="AI154" i="5" l="1"/>
  <c r="AJ154" i="5" l="1"/>
  <c r="AK154" i="5" l="1"/>
  <c r="O135" i="5"/>
  <c r="O131" i="5"/>
  <c r="D137" i="5"/>
  <c r="E137" i="5" s="1"/>
  <c r="F137" i="5" s="1"/>
  <c r="AL154" i="5" l="1"/>
  <c r="G137" i="5"/>
  <c r="P142" i="5"/>
  <c r="Q142" i="5" s="1"/>
  <c r="R142" i="5" s="1"/>
  <c r="S142" i="5" s="1"/>
  <c r="T142" i="5" s="1"/>
  <c r="U142" i="5" s="1"/>
  <c r="V142" i="5" s="1"/>
  <c r="W142" i="5" s="1"/>
  <c r="X142" i="5" s="1"/>
  <c r="Y142" i="5" s="1"/>
  <c r="Z142" i="5" s="1"/>
  <c r="AA142" i="5" s="1"/>
  <c r="O142" i="5"/>
  <c r="AB111" i="5"/>
  <c r="O111" i="5"/>
  <c r="AM154" i="5" l="1"/>
  <c r="H137" i="5"/>
  <c r="I137" i="5" s="1"/>
  <c r="J137" i="5" s="1"/>
  <c r="K137" i="5" s="1"/>
  <c r="L137" i="5" s="1"/>
  <c r="AB142" i="5"/>
  <c r="AE142" i="5"/>
  <c r="AF142" i="5" s="1"/>
  <c r="AG142" i="5" s="1"/>
  <c r="AH142" i="5" s="1"/>
  <c r="AI142" i="5" s="1"/>
  <c r="AJ142" i="5" s="1"/>
  <c r="AK142" i="5" s="1"/>
  <c r="AL142" i="5" s="1"/>
  <c r="AM142" i="5" s="1"/>
  <c r="AN142" i="5" s="1"/>
  <c r="AO142" i="5" s="1"/>
  <c r="AP142" i="5" s="1"/>
  <c r="Q148" i="5"/>
  <c r="R148" i="5" s="1"/>
  <c r="S148" i="5" s="1"/>
  <c r="T148" i="5" s="1"/>
  <c r="U148" i="5" s="1"/>
  <c r="V148" i="5" s="1"/>
  <c r="W148" i="5" s="1"/>
  <c r="X148" i="5" s="1"/>
  <c r="Y148" i="5" s="1"/>
  <c r="Z148" i="5" s="1"/>
  <c r="AA148" i="5" s="1"/>
  <c r="AN154" i="5" l="1"/>
  <c r="AQ142" i="5"/>
  <c r="AU142" i="5"/>
  <c r="AV142" i="5" s="1"/>
  <c r="AW142" i="5" s="1"/>
  <c r="AX142" i="5" s="1"/>
  <c r="AY142" i="5" s="1"/>
  <c r="AZ142" i="5" s="1"/>
  <c r="BA142" i="5" s="1"/>
  <c r="BB142" i="5" s="1"/>
  <c r="BC142" i="5" s="1"/>
  <c r="BD142" i="5" s="1"/>
  <c r="BE142" i="5" s="1"/>
  <c r="BF142" i="5" s="1"/>
  <c r="BG142" i="5" s="1"/>
  <c r="M137" i="5"/>
  <c r="N137" i="5" s="1"/>
  <c r="AB148" i="5"/>
  <c r="AE148" i="5"/>
  <c r="AF148" i="5" s="1"/>
  <c r="AG148" i="5" s="1"/>
  <c r="AH148" i="5" s="1"/>
  <c r="AI148" i="5" s="1"/>
  <c r="AJ148" i="5" s="1"/>
  <c r="AK148" i="5" s="1"/>
  <c r="AL148" i="5" s="1"/>
  <c r="AM148" i="5" s="1"/>
  <c r="AN148" i="5" s="1"/>
  <c r="AO148" i="5" s="1"/>
  <c r="AP148" i="5" s="1"/>
  <c r="BJ142" i="5" l="1"/>
  <c r="BK142" i="5" s="1"/>
  <c r="BL142" i="5" s="1"/>
  <c r="BM142" i="5" s="1"/>
  <c r="BN142" i="5" s="1"/>
  <c r="BO142" i="5" s="1"/>
  <c r="BP142" i="5" s="1"/>
  <c r="BQ142" i="5" s="1"/>
  <c r="BR142" i="5" s="1"/>
  <c r="BS142" i="5" s="1"/>
  <c r="BT142" i="5" s="1"/>
  <c r="BU142" i="5" s="1"/>
  <c r="AO154" i="5"/>
  <c r="AQ148" i="5"/>
  <c r="AU148" i="5"/>
  <c r="AV148" i="5" s="1"/>
  <c r="AW148" i="5" s="1"/>
  <c r="AX148" i="5" s="1"/>
  <c r="AY148" i="5" s="1"/>
  <c r="AZ148" i="5" s="1"/>
  <c r="BA148" i="5" s="1"/>
  <c r="BB148" i="5" s="1"/>
  <c r="BC148" i="5" s="1"/>
  <c r="BD148" i="5" s="1"/>
  <c r="BE148" i="5" s="1"/>
  <c r="BF148" i="5" s="1"/>
  <c r="BG148" i="5" s="1"/>
  <c r="P137" i="5"/>
  <c r="Q137" i="5" s="1"/>
  <c r="R137" i="5" s="1"/>
  <c r="S137" i="5" s="1"/>
  <c r="T137" i="5" s="1"/>
  <c r="U137" i="5" s="1"/>
  <c r="V137" i="5" s="1"/>
  <c r="W137" i="5" s="1"/>
  <c r="X137" i="5" s="1"/>
  <c r="Y137" i="5" s="1"/>
  <c r="Z137" i="5" s="1"/>
  <c r="AA137" i="5" s="1"/>
  <c r="AB137" i="5" s="1"/>
  <c r="O137" i="5"/>
  <c r="BV142" i="5" l="1"/>
  <c r="D142" i="16" s="1"/>
  <c r="E142" i="16" s="1"/>
  <c r="BY142" i="5"/>
  <c r="BZ142" i="5" s="1"/>
  <c r="CA142" i="5" s="1"/>
  <c r="CB142" i="5" s="1"/>
  <c r="CC142" i="5" s="1"/>
  <c r="CD142" i="5" s="1"/>
  <c r="CE142" i="5" s="1"/>
  <c r="CF142" i="5" s="1"/>
  <c r="CG142" i="5" s="1"/>
  <c r="CH142" i="5" s="1"/>
  <c r="CI142" i="5" s="1"/>
  <c r="CJ142" i="5" s="1"/>
  <c r="BJ148" i="5"/>
  <c r="BK148" i="5" s="1"/>
  <c r="BL148" i="5" s="1"/>
  <c r="BM148" i="5" s="1"/>
  <c r="BN148" i="5" s="1"/>
  <c r="BO148" i="5" s="1"/>
  <c r="BP148" i="5" s="1"/>
  <c r="BQ148" i="5" s="1"/>
  <c r="BR148" i="5" s="1"/>
  <c r="BS148" i="5" s="1"/>
  <c r="BT148" i="5" s="1"/>
  <c r="BU148" i="5" s="1"/>
  <c r="AP154" i="5"/>
  <c r="AE137" i="5"/>
  <c r="AF137" i="5" s="1"/>
  <c r="AG137" i="5" s="1"/>
  <c r="AH137" i="5" s="1"/>
  <c r="AI137" i="5" s="1"/>
  <c r="AJ137" i="5" s="1"/>
  <c r="AK137" i="5" s="1"/>
  <c r="AL137" i="5" s="1"/>
  <c r="AM137" i="5" s="1"/>
  <c r="AN137" i="5" s="1"/>
  <c r="AO137" i="5" s="1"/>
  <c r="AP137" i="5" s="1"/>
  <c r="P141" i="16" l="1"/>
  <c r="E141" i="16"/>
  <c r="CK142" i="5"/>
  <c r="CN142" i="5"/>
  <c r="CO142" i="5" s="1"/>
  <c r="CP142" i="5" s="1"/>
  <c r="CQ142" i="5" s="1"/>
  <c r="CR142" i="5" s="1"/>
  <c r="CS142" i="5" s="1"/>
  <c r="CT142" i="5" s="1"/>
  <c r="CU142" i="5" s="1"/>
  <c r="CV142" i="5" s="1"/>
  <c r="CW142" i="5" s="1"/>
  <c r="CX142" i="5" s="1"/>
  <c r="CY142" i="5" s="1"/>
  <c r="CZ142" i="5" s="1"/>
  <c r="BV148" i="5"/>
  <c r="BY148" i="5"/>
  <c r="BZ148" i="5" s="1"/>
  <c r="CA148" i="5" s="1"/>
  <c r="CB148" i="5" s="1"/>
  <c r="CC148" i="5" s="1"/>
  <c r="CD148" i="5" s="1"/>
  <c r="CE148" i="5" s="1"/>
  <c r="CF148" i="5" s="1"/>
  <c r="CG148" i="5" s="1"/>
  <c r="CH148" i="5" s="1"/>
  <c r="CI148" i="5" s="1"/>
  <c r="CJ148" i="5" s="1"/>
  <c r="AU137" i="5"/>
  <c r="AV137" i="5" s="1"/>
  <c r="AW137" i="5" s="1"/>
  <c r="AX137" i="5" s="1"/>
  <c r="AQ154" i="5"/>
  <c r="AU154" i="5" s="1"/>
  <c r="AV154" i="5" s="1"/>
  <c r="AW154" i="5" s="1"/>
  <c r="AX154" i="5" s="1"/>
  <c r="AY154" i="5" s="1"/>
  <c r="AZ154" i="5" s="1"/>
  <c r="BA154" i="5" s="1"/>
  <c r="BB154" i="5" s="1"/>
  <c r="BC154" i="5" s="1"/>
  <c r="BD154" i="5" s="1"/>
  <c r="BE154" i="5" s="1"/>
  <c r="BF154" i="5" s="1"/>
  <c r="AQ137" i="5"/>
  <c r="AA121" i="5"/>
  <c r="Z121" i="5"/>
  <c r="Y121" i="5"/>
  <c r="X121" i="5"/>
  <c r="W121" i="5"/>
  <c r="V121" i="5"/>
  <c r="U121" i="5"/>
  <c r="T121" i="5"/>
  <c r="S121" i="5"/>
  <c r="R121" i="5"/>
  <c r="Q121" i="5"/>
  <c r="P121" i="5"/>
  <c r="AA33" i="5"/>
  <c r="Z33" i="5"/>
  <c r="Y33" i="5"/>
  <c r="X33" i="5"/>
  <c r="W33" i="5"/>
  <c r="V33" i="5"/>
  <c r="U33" i="5"/>
  <c r="T33" i="5"/>
  <c r="S33" i="5"/>
  <c r="R33" i="5"/>
  <c r="Q33" i="5"/>
  <c r="P33" i="5"/>
  <c r="N33" i="5"/>
  <c r="M33" i="5"/>
  <c r="AB14" i="5"/>
  <c r="AB13" i="5"/>
  <c r="O14" i="5"/>
  <c r="O13" i="5"/>
  <c r="AB12" i="5"/>
  <c r="AB11" i="5"/>
  <c r="AB9" i="5"/>
  <c r="O12" i="5"/>
  <c r="O11" i="5"/>
  <c r="O9" i="5"/>
  <c r="E147" i="16" l="1"/>
  <c r="P147" i="16"/>
  <c r="CK148" i="5"/>
  <c r="CN148" i="5"/>
  <c r="CO148" i="5" s="1"/>
  <c r="CP148" i="5" s="1"/>
  <c r="CQ148" i="5" s="1"/>
  <c r="CR148" i="5" s="1"/>
  <c r="CS148" i="5" s="1"/>
  <c r="CT148" i="5" s="1"/>
  <c r="CU148" i="5" s="1"/>
  <c r="CV148" i="5" s="1"/>
  <c r="CW148" i="5" s="1"/>
  <c r="CX148" i="5" s="1"/>
  <c r="CY148" i="5" s="1"/>
  <c r="CZ148" i="5" s="1"/>
  <c r="BG154" i="5"/>
  <c r="BJ154" i="5" s="1"/>
  <c r="BK154" i="5" s="1"/>
  <c r="BL154" i="5" s="1"/>
  <c r="BM154" i="5" s="1"/>
  <c r="BN154" i="5" s="1"/>
  <c r="BO154" i="5" s="1"/>
  <c r="BP154" i="5" s="1"/>
  <c r="BQ154" i="5" s="1"/>
  <c r="BR154" i="5" s="1"/>
  <c r="BS154" i="5" s="1"/>
  <c r="BT154" i="5" s="1"/>
  <c r="BU154" i="5" s="1"/>
  <c r="BV154" i="5" s="1"/>
  <c r="AY137" i="5"/>
  <c r="AZ137" i="5" s="1"/>
  <c r="BA137" i="5" s="1"/>
  <c r="BB137" i="5" s="1"/>
  <c r="BC137" i="5" s="1"/>
  <c r="J33" i="5"/>
  <c r="L33" i="5"/>
  <c r="BY154" i="5" l="1"/>
  <c r="BZ154" i="5" s="1"/>
  <c r="CA154" i="5" s="1"/>
  <c r="CB154" i="5" s="1"/>
  <c r="CC154" i="5" s="1"/>
  <c r="CD154" i="5" s="1"/>
  <c r="CE154" i="5" s="1"/>
  <c r="CF154" i="5" s="1"/>
  <c r="CG154" i="5" s="1"/>
  <c r="CH154" i="5" s="1"/>
  <c r="CI154" i="5" s="1"/>
  <c r="CJ154" i="5" s="1"/>
  <c r="CK154" i="5" s="1"/>
  <c r="CN154" i="5" s="1"/>
  <c r="CO154" i="5" s="1"/>
  <c r="CP154" i="5" s="1"/>
  <c r="CQ154" i="5" s="1"/>
  <c r="CR154" i="5" s="1"/>
  <c r="CS154" i="5" s="1"/>
  <c r="CT154" i="5" s="1"/>
  <c r="CU154" i="5" s="1"/>
  <c r="CV154" i="5" s="1"/>
  <c r="CW154" i="5" s="1"/>
  <c r="CX154" i="5" s="1"/>
  <c r="CY154" i="5" s="1"/>
  <c r="CZ154" i="5" s="1"/>
  <c r="P153" i="16"/>
  <c r="E153" i="16"/>
  <c r="BD137" i="5"/>
  <c r="BE137" i="5" s="1"/>
  <c r="BF137" i="5" s="1"/>
  <c r="BJ137" i="5" s="1"/>
  <c r="D161" i="5"/>
  <c r="BG137" i="5" l="1"/>
  <c r="BK137" i="5"/>
  <c r="BL137" i="5" s="1"/>
  <c r="BM137" i="5" s="1"/>
  <c r="BN137" i="5" s="1"/>
  <c r="BO137" i="5" s="1"/>
  <c r="BP137" i="5" s="1"/>
  <c r="BQ137" i="5" s="1"/>
  <c r="BR137" i="5" s="1"/>
  <c r="BS137" i="5" s="1"/>
  <c r="BT137" i="5" s="1"/>
  <c r="BU137" i="5" s="1"/>
  <c r="BV137" i="5" s="1"/>
  <c r="E121" i="5"/>
  <c r="Z161" i="5"/>
  <c r="Y161" i="5"/>
  <c r="X161" i="5"/>
  <c r="W161" i="5"/>
  <c r="V161" i="5"/>
  <c r="U161" i="5"/>
  <c r="T161" i="5"/>
  <c r="S161" i="5"/>
  <c r="R161" i="5"/>
  <c r="Q161" i="5"/>
  <c r="P161" i="5"/>
  <c r="P136" i="16" l="1"/>
  <c r="E136" i="16"/>
  <c r="BY137" i="5"/>
  <c r="BZ137" i="5" s="1"/>
  <c r="CA137" i="5" s="1"/>
  <c r="CB137" i="5" s="1"/>
  <c r="CC137" i="5" s="1"/>
  <c r="CD137" i="5" s="1"/>
  <c r="CE137" i="5" s="1"/>
  <c r="CF137" i="5" s="1"/>
  <c r="CG137" i="5" s="1"/>
  <c r="CH137" i="5" s="1"/>
  <c r="CI137" i="5" s="1"/>
  <c r="CJ137" i="5" s="1"/>
  <c r="CK137" i="5" s="1"/>
  <c r="D151" i="5"/>
  <c r="E151" i="5" s="1"/>
  <c r="F151" i="5" s="1"/>
  <c r="CN137" i="5" l="1"/>
  <c r="CO137" i="5" s="1"/>
  <c r="CP137" i="5" s="1"/>
  <c r="CQ137" i="5" s="1"/>
  <c r="CR137" i="5" s="1"/>
  <c r="CS137" i="5" s="1"/>
  <c r="CT137" i="5" s="1"/>
  <c r="CU137" i="5" s="1"/>
  <c r="CV137" i="5" s="1"/>
  <c r="CW137" i="5" s="1"/>
  <c r="CX137" i="5" s="1"/>
  <c r="CY137" i="5" s="1"/>
  <c r="CZ137" i="5" s="1"/>
  <c r="G151" i="5"/>
  <c r="H151" i="5" s="1"/>
  <c r="I151" i="5" l="1"/>
  <c r="J151" i="5" s="1"/>
  <c r="K151" i="5" l="1"/>
  <c r="D121" i="5"/>
  <c r="L151" i="5" l="1"/>
  <c r="M151" i="5" l="1"/>
  <c r="F33" i="5" l="1"/>
  <c r="G33" i="5"/>
  <c r="N151" i="5"/>
  <c r="P151" i="5" s="1"/>
  <c r="O151" i="5" l="1"/>
  <c r="Q151" i="5"/>
  <c r="R151" i="5" s="1"/>
  <c r="S151" i="5" s="1"/>
  <c r="T151" i="5" s="1"/>
  <c r="U151" i="5" s="1"/>
  <c r="V151" i="5" s="1"/>
  <c r="W151" i="5" s="1"/>
  <c r="X151" i="5" s="1"/>
  <c r="Y151" i="5" s="1"/>
  <c r="Z151" i="5" s="1"/>
  <c r="AA151" i="5" s="1"/>
  <c r="E33" i="5"/>
  <c r="AE151" i="5" l="1"/>
  <c r="AF151" i="5" s="1"/>
  <c r="AG151" i="5" s="1"/>
  <c r="AH151" i="5" s="1"/>
  <c r="AI151" i="5" s="1"/>
  <c r="AJ151" i="5" s="1"/>
  <c r="AK151" i="5" s="1"/>
  <c r="AL151" i="5" s="1"/>
  <c r="AM151" i="5" s="1"/>
  <c r="AN151" i="5" s="1"/>
  <c r="AO151" i="5" s="1"/>
  <c r="AP151" i="5" s="1"/>
  <c r="AB151" i="5"/>
  <c r="AQ151" i="5" l="1"/>
  <c r="AU151" i="5"/>
  <c r="AV151" i="5" s="1"/>
  <c r="AW151" i="5" s="1"/>
  <c r="AX151" i="5" s="1"/>
  <c r="AY151" i="5" s="1"/>
  <c r="AZ151" i="5" s="1"/>
  <c r="BA151" i="5" s="1"/>
  <c r="BB151" i="5" s="1"/>
  <c r="BC151" i="5" s="1"/>
  <c r="BD151" i="5" s="1"/>
  <c r="BE151" i="5" s="1"/>
  <c r="BF151" i="5" s="1"/>
  <c r="O46" i="5"/>
  <c r="BG151" i="5" l="1"/>
  <c r="BJ151" i="5"/>
  <c r="BK151" i="5"/>
  <c r="BL151" i="5" s="1"/>
  <c r="BM151" i="5" s="1"/>
  <c r="BN151" i="5" s="1"/>
  <c r="BO151" i="5" s="1"/>
  <c r="BP151" i="5" s="1"/>
  <c r="BQ151" i="5" s="1"/>
  <c r="BR151" i="5" s="1"/>
  <c r="BS151" i="5" s="1"/>
  <c r="BT151" i="5" s="1"/>
  <c r="BU151" i="5" s="1"/>
  <c r="D33" i="5"/>
  <c r="BV151" i="5" l="1"/>
  <c r="BY151" i="5"/>
  <c r="O89" i="5"/>
  <c r="O90" i="5"/>
  <c r="O29" i="5"/>
  <c r="O99" i="5"/>
  <c r="O100" i="5"/>
  <c r="O108" i="5"/>
  <c r="O112" i="5"/>
  <c r="D151" i="16" l="1"/>
  <c r="E151" i="16" s="1"/>
  <c r="P150" i="16"/>
  <c r="E150" i="16"/>
  <c r="BZ151" i="5"/>
  <c r="N161" i="5"/>
  <c r="M161" i="5"/>
  <c r="L161" i="5"/>
  <c r="K161" i="5"/>
  <c r="J161" i="5"/>
  <c r="I161" i="5"/>
  <c r="H161" i="5"/>
  <c r="G161" i="5"/>
  <c r="F161" i="5"/>
  <c r="E161" i="5"/>
  <c r="C161" i="5"/>
  <c r="N121" i="5"/>
  <c r="M121" i="5"/>
  <c r="J121" i="5"/>
  <c r="CA151" i="5" l="1"/>
  <c r="C33" i="5"/>
  <c r="CB151" i="5" l="1"/>
  <c r="O101" i="5"/>
  <c r="C121" i="5"/>
  <c r="AB46" i="5"/>
  <c r="AB100" i="5"/>
  <c r="AB101" i="5"/>
  <c r="AB99" i="5"/>
  <c r="AB98" i="5"/>
  <c r="AB97" i="5"/>
  <c r="AB96" i="5"/>
  <c r="AB92" i="5"/>
  <c r="AB90" i="5"/>
  <c r="CC151" i="5" l="1"/>
  <c r="O110" i="5"/>
  <c r="CD151" i="5" l="1"/>
  <c r="O53" i="5"/>
  <c r="AA54" i="5"/>
  <c r="AA126" i="5" s="1"/>
  <c r="Z54" i="5"/>
  <c r="Z126" i="5" s="1"/>
  <c r="Y54" i="5"/>
  <c r="Y126" i="5" s="1"/>
  <c r="X54" i="5"/>
  <c r="X126" i="5" s="1"/>
  <c r="W54" i="5"/>
  <c r="W126" i="5" s="1"/>
  <c r="U54" i="5"/>
  <c r="U126" i="5" s="1"/>
  <c r="T54" i="5"/>
  <c r="T126" i="5" s="1"/>
  <c r="S54" i="5"/>
  <c r="S126" i="5" s="1"/>
  <c r="R54" i="5"/>
  <c r="R126" i="5" s="1"/>
  <c r="Q54" i="5"/>
  <c r="Q126" i="5" s="1"/>
  <c r="P54" i="5"/>
  <c r="P126" i="5" s="1"/>
  <c r="V54" i="5"/>
  <c r="V126" i="5" s="1"/>
  <c r="AA42" i="5"/>
  <c r="AA57" i="5" s="1"/>
  <c r="Z42" i="5"/>
  <c r="Z57" i="5" s="1"/>
  <c r="X42" i="5"/>
  <c r="W42" i="5"/>
  <c r="V42" i="5"/>
  <c r="U42" i="5"/>
  <c r="T42" i="5"/>
  <c r="R42" i="5"/>
  <c r="Q42" i="5"/>
  <c r="P42" i="5"/>
  <c r="S42" i="5"/>
  <c r="X6" i="5"/>
  <c r="X16" i="5" s="1"/>
  <c r="X36" i="5" s="1"/>
  <c r="AA6" i="5"/>
  <c r="AA16" i="5" s="1"/>
  <c r="AA36" i="5" s="1"/>
  <c r="Z6" i="5"/>
  <c r="Z16" i="5" s="1"/>
  <c r="Z36" i="5" s="1"/>
  <c r="Y6" i="5"/>
  <c r="W6" i="5"/>
  <c r="W16" i="5" s="1"/>
  <c r="W36" i="5" s="1"/>
  <c r="V6" i="5"/>
  <c r="V16" i="5" s="1"/>
  <c r="V36" i="5" s="1"/>
  <c r="U6" i="5"/>
  <c r="T6" i="5"/>
  <c r="T16" i="5" s="1"/>
  <c r="T36" i="5" s="1"/>
  <c r="S6" i="5"/>
  <c r="S16" i="5" s="1"/>
  <c r="S36" i="5" s="1"/>
  <c r="R6" i="5"/>
  <c r="R16" i="5" s="1"/>
  <c r="R36" i="5" s="1"/>
  <c r="Q6" i="5"/>
  <c r="Q16" i="5" s="1"/>
  <c r="Q36" i="5" s="1"/>
  <c r="AB4" i="5"/>
  <c r="AB53" i="5"/>
  <c r="AB45" i="5"/>
  <c r="AB39" i="5"/>
  <c r="AB116" i="5"/>
  <c r="AB112" i="5"/>
  <c r="AB110" i="5"/>
  <c r="AB108" i="5"/>
  <c r="AB107" i="5"/>
  <c r="AB89" i="5"/>
  <c r="AB33" i="5"/>
  <c r="G121" i="5"/>
  <c r="L121" i="5"/>
  <c r="I33" i="5"/>
  <c r="H33" i="5"/>
  <c r="CE151" i="5" l="1"/>
  <c r="U57" i="5"/>
  <c r="T57" i="5"/>
  <c r="I121" i="5"/>
  <c r="S57" i="5"/>
  <c r="X57" i="5"/>
  <c r="V57" i="5"/>
  <c r="AB121" i="5"/>
  <c r="AB122" i="5" s="1"/>
  <c r="F121" i="5"/>
  <c r="O107" i="5"/>
  <c r="O97" i="5"/>
  <c r="O92" i="5"/>
  <c r="H121" i="5"/>
  <c r="P57" i="5"/>
  <c r="AB34" i="5"/>
  <c r="Q57" i="5"/>
  <c r="R57" i="5"/>
  <c r="W57" i="5"/>
  <c r="U16" i="5"/>
  <c r="Y16" i="5"/>
  <c r="Y36" i="5" s="1"/>
  <c r="O98" i="5"/>
  <c r="O96" i="5"/>
  <c r="Q125" i="5"/>
  <c r="R125" i="5"/>
  <c r="Z125" i="5"/>
  <c r="T125" i="5"/>
  <c r="V125" i="5"/>
  <c r="S125" i="5"/>
  <c r="W125" i="5"/>
  <c r="AA125" i="5"/>
  <c r="P6" i="5"/>
  <c r="P16" i="5" s="1"/>
  <c r="P36" i="5" s="1"/>
  <c r="Y42" i="5"/>
  <c r="Y57" i="5" s="1"/>
  <c r="AB41" i="5"/>
  <c r="AB42" i="5" s="1"/>
  <c r="X125" i="5"/>
  <c r="AB54" i="5"/>
  <c r="AB55" i="5" s="1"/>
  <c r="CF151" i="5" l="1"/>
  <c r="O121" i="5"/>
  <c r="O122" i="5" s="1"/>
  <c r="AB57" i="5"/>
  <c r="AB58" i="5" s="1"/>
  <c r="U125" i="5"/>
  <c r="U36" i="5"/>
  <c r="AB43" i="5"/>
  <c r="P125" i="5"/>
  <c r="AB6" i="5"/>
  <c r="AB16" i="5" s="1"/>
  <c r="Y125" i="5"/>
  <c r="CG151" i="5" l="1"/>
  <c r="AB17" i="5"/>
  <c r="AB36" i="5"/>
  <c r="AB37" i="5" s="1"/>
  <c r="AB125" i="5"/>
  <c r="AB7" i="5"/>
  <c r="CH151" i="5" l="1"/>
  <c r="O45" i="5"/>
  <c r="O39" i="5"/>
  <c r="O41" i="5"/>
  <c r="CI151" i="5" l="1"/>
  <c r="O42" i="5"/>
  <c r="O54" i="5"/>
  <c r="N54" i="5"/>
  <c r="N126" i="5" s="1"/>
  <c r="M54" i="5"/>
  <c r="M126" i="5" s="1"/>
  <c r="L54" i="5"/>
  <c r="K126" i="5"/>
  <c r="J54" i="5"/>
  <c r="J126" i="5" s="1"/>
  <c r="I54" i="5"/>
  <c r="I126" i="5" s="1"/>
  <c r="H54" i="5"/>
  <c r="H126" i="5" s="1"/>
  <c r="G54" i="5"/>
  <c r="G126" i="5" s="1"/>
  <c r="F54" i="5"/>
  <c r="F126" i="5" s="1"/>
  <c r="E54" i="5"/>
  <c r="E126" i="5" s="1"/>
  <c r="D54" i="5"/>
  <c r="D126" i="5" s="1"/>
  <c r="C54" i="5"/>
  <c r="C126" i="5" s="1"/>
  <c r="N42" i="5"/>
  <c r="M42" i="5"/>
  <c r="L42" i="5"/>
  <c r="K42" i="5"/>
  <c r="J42" i="5"/>
  <c r="I42" i="5"/>
  <c r="H42" i="5"/>
  <c r="G42" i="5"/>
  <c r="F42" i="5"/>
  <c r="E42" i="5"/>
  <c r="D42" i="5"/>
  <c r="C42" i="5"/>
  <c r="CJ151" i="5" l="1"/>
  <c r="CN151" i="5" s="1"/>
  <c r="CO151" i="5" s="1"/>
  <c r="CP151" i="5" s="1"/>
  <c r="CQ151" i="5" s="1"/>
  <c r="CR151" i="5" s="1"/>
  <c r="CS151" i="5" s="1"/>
  <c r="CT151" i="5" s="1"/>
  <c r="CU151" i="5" s="1"/>
  <c r="CV151" i="5" s="1"/>
  <c r="CW151" i="5" s="1"/>
  <c r="CX151" i="5" s="1"/>
  <c r="CY151" i="5" s="1"/>
  <c r="CZ151" i="5" s="1"/>
  <c r="C57" i="5"/>
  <c r="L126" i="5"/>
  <c r="L57" i="5"/>
  <c r="K57" i="5"/>
  <c r="G57" i="5"/>
  <c r="F57" i="5"/>
  <c r="J57" i="5"/>
  <c r="N57" i="5"/>
  <c r="D57" i="5"/>
  <c r="H57" i="5"/>
  <c r="E57" i="5"/>
  <c r="I57" i="5"/>
  <c r="M57" i="5"/>
  <c r="O57" i="5"/>
  <c r="O55" i="5"/>
  <c r="O43" i="5"/>
  <c r="CK151" i="5" l="1"/>
  <c r="O58" i="5"/>
  <c r="O33" i="5" l="1"/>
  <c r="D2" i="5" l="1"/>
  <c r="E2" i="5" l="1"/>
  <c r="F2" i="5" l="1"/>
  <c r="G2" i="5" l="1"/>
  <c r="H2" i="5" l="1"/>
  <c r="I2" i="5" l="1"/>
  <c r="J2" i="5" l="1"/>
  <c r="K2" i="5" l="1"/>
  <c r="L2" i="5" l="1"/>
  <c r="M2" i="5" l="1"/>
  <c r="N2" i="5" l="1"/>
  <c r="P2" i="5" s="1"/>
  <c r="Q2" i="5" s="1"/>
  <c r="R2" i="5" s="1"/>
  <c r="S2" i="5" s="1"/>
  <c r="T2" i="5" s="1"/>
  <c r="U2" i="5" s="1"/>
  <c r="V2" i="5" s="1"/>
  <c r="W2" i="5" s="1"/>
  <c r="X2" i="5" s="1"/>
  <c r="Y2" i="5" s="1"/>
  <c r="Z2" i="5" s="1"/>
  <c r="AA2" i="5" s="1"/>
  <c r="C6" i="5" l="1"/>
  <c r="C16" i="5" s="1"/>
  <c r="C36" i="5" s="1"/>
  <c r="C125" i="5" l="1"/>
  <c r="D6" i="5"/>
  <c r="D16" i="5" l="1"/>
  <c r="E6" i="5"/>
  <c r="E16" i="5" s="1"/>
  <c r="E36" i="5" s="1"/>
  <c r="D125" i="5" l="1"/>
  <c r="D36" i="5"/>
  <c r="E125" i="5"/>
  <c r="O4" i="5"/>
  <c r="F6" i="5"/>
  <c r="F16" i="5" s="1"/>
  <c r="F36" i="5" s="1"/>
  <c r="F125" i="5" l="1"/>
  <c r="G6" i="5"/>
  <c r="G16" i="5" s="1"/>
  <c r="G36" i="5" s="1"/>
  <c r="H6" i="5" l="1"/>
  <c r="H16" i="5" s="1"/>
  <c r="H36" i="5" s="1"/>
  <c r="G125" i="5" l="1"/>
  <c r="H125" i="5"/>
  <c r="I6" i="5"/>
  <c r="I16" i="5" s="1"/>
  <c r="I36" i="5" s="1"/>
  <c r="I125" i="5" l="1"/>
  <c r="J6" i="5"/>
  <c r="J16" i="5" l="1"/>
  <c r="J125" i="5" s="1"/>
  <c r="K6" i="5"/>
  <c r="K16" i="5" s="1"/>
  <c r="K36" i="5" s="1"/>
  <c r="J36" i="5" l="1"/>
  <c r="K125" i="5"/>
  <c r="L6" i="5"/>
  <c r="L16" i="5" s="1"/>
  <c r="L36" i="5" s="1"/>
  <c r="O6" i="5" l="1"/>
  <c r="O16" i="5" s="1"/>
  <c r="O36" i="5" s="1"/>
  <c r="L125" i="5"/>
  <c r="N6" i="5"/>
  <c r="N16" i="5" s="1"/>
  <c r="N36" i="5" s="1"/>
  <c r="M6" i="5"/>
  <c r="M16" i="5" s="1"/>
  <c r="M36" i="5" s="1"/>
  <c r="O37" i="5" l="1"/>
  <c r="O7" i="5"/>
  <c r="O17" i="5"/>
  <c r="M125" i="5"/>
  <c r="N125" i="5" l="1"/>
  <c r="O125" i="5" s="1"/>
  <c r="O124" i="5" l="1"/>
  <c r="C127" i="5" l="1"/>
  <c r="C157" i="5" s="1"/>
  <c r="C162" i="5" l="1"/>
  <c r="D124" i="5"/>
  <c r="D127" i="5" s="1"/>
  <c r="D157" i="5" s="1"/>
  <c r="E124" i="5" l="1"/>
  <c r="E127" i="5" s="1"/>
  <c r="E128" i="5" s="1"/>
  <c r="D162" i="5"/>
  <c r="D128" i="5"/>
  <c r="F124" i="5" l="1"/>
  <c r="F127" i="5" s="1"/>
  <c r="F157" i="5" s="1"/>
  <c r="E157" i="5"/>
  <c r="E162" i="5" s="1"/>
  <c r="F162" i="5" l="1"/>
  <c r="G124" i="5"/>
  <c r="G127" i="5" s="1"/>
  <c r="G157" i="5" s="1"/>
  <c r="F128" i="5"/>
  <c r="H124" i="5" l="1"/>
  <c r="H127" i="5" s="1"/>
  <c r="H157" i="5" s="1"/>
  <c r="G162" i="5"/>
  <c r="G128" i="5"/>
  <c r="H128" i="5" l="1"/>
  <c r="H162" i="5"/>
  <c r="I124" i="5"/>
  <c r="I127" i="5" s="1"/>
  <c r="I157" i="5" l="1"/>
  <c r="I162" i="5" s="1"/>
  <c r="J124" i="5"/>
  <c r="J127" i="5" s="1"/>
  <c r="J157" i="5" s="1"/>
  <c r="I128" i="5"/>
  <c r="J128" i="5" l="1"/>
  <c r="K124" i="5"/>
  <c r="K127" i="5" s="1"/>
  <c r="K157" i="5" s="1"/>
  <c r="J162" i="5"/>
  <c r="L124" i="5" l="1"/>
  <c r="L127" i="5" s="1"/>
  <c r="K162" i="5"/>
  <c r="K128" i="5"/>
  <c r="O126" i="5"/>
  <c r="O127" i="5" s="1"/>
  <c r="L157" i="5" l="1"/>
  <c r="L162" i="5" s="1"/>
  <c r="L128" i="5"/>
  <c r="M124" i="5"/>
  <c r="M127" i="5" s="1"/>
  <c r="O34" i="5"/>
  <c r="M128" i="5" l="1"/>
  <c r="N124" i="5"/>
  <c r="N127" i="5" s="1"/>
  <c r="N128" i="5" l="1"/>
  <c r="P124" i="5"/>
  <c r="AB124" i="5" s="1"/>
  <c r="P127" i="5" l="1"/>
  <c r="AB126" i="5"/>
  <c r="AB127" i="5" s="1"/>
  <c r="Q124" i="5" l="1"/>
  <c r="Q127" i="5" s="1"/>
  <c r="P128" i="5"/>
  <c r="Q128" i="5" l="1"/>
  <c r="R124" i="5"/>
  <c r="R127" i="5" s="1"/>
  <c r="R128" i="5" l="1"/>
  <c r="S124" i="5"/>
  <c r="S127" i="5" s="1"/>
  <c r="S128" i="5" l="1"/>
  <c r="T124" i="5"/>
  <c r="T127" i="5" s="1"/>
  <c r="T128" i="5" l="1"/>
  <c r="U124" i="5"/>
  <c r="U127" i="5" s="1"/>
  <c r="U128" i="5" l="1"/>
  <c r="V124" i="5"/>
  <c r="V127" i="5" s="1"/>
  <c r="V128" i="5" l="1"/>
  <c r="W124" i="5"/>
  <c r="W127" i="5" s="1"/>
  <c r="W128" i="5" l="1"/>
  <c r="X124" i="5"/>
  <c r="X127" i="5" s="1"/>
  <c r="Y124" i="5" l="1"/>
  <c r="Y127" i="5" s="1"/>
  <c r="X128" i="5"/>
  <c r="Y128" i="5" l="1"/>
  <c r="Z124" i="5"/>
  <c r="Z127" i="5" s="1"/>
  <c r="AA124" i="5" l="1"/>
  <c r="AA127" i="5" s="1"/>
  <c r="Z128" i="5"/>
  <c r="AE124" i="5" l="1"/>
  <c r="AE127" i="5" s="1"/>
  <c r="AA157" i="5"/>
  <c r="C43" i="11" s="1"/>
  <c r="C45" i="11" s="1"/>
  <c r="AA128" i="5"/>
  <c r="D43" i="11" l="1"/>
  <c r="D45" i="11" s="1"/>
  <c r="C51" i="11"/>
  <c r="AE157" i="5"/>
  <c r="AF156" i="5" s="1"/>
  <c r="AQ124" i="5"/>
  <c r="AQ127" i="5" s="1"/>
  <c r="E43" i="11" l="1"/>
  <c r="E45" i="11" s="1"/>
  <c r="D51" i="11"/>
  <c r="AF124" i="5"/>
  <c r="AF127" i="5" s="1"/>
  <c r="AE128" i="5"/>
  <c r="F43" i="11" l="1"/>
  <c r="F45" i="11" s="1"/>
  <c r="E51" i="11"/>
  <c r="AG124" i="5"/>
  <c r="AG127" i="5" s="1"/>
  <c r="AF128" i="5"/>
  <c r="G43" i="11" l="1"/>
  <c r="G45" i="11" s="1"/>
  <c r="F51" i="11"/>
  <c r="AH124" i="5"/>
  <c r="AH127" i="5" s="1"/>
  <c r="AG128" i="5"/>
  <c r="H43" i="11" l="1"/>
  <c r="H45" i="11" s="1"/>
  <c r="G51" i="11"/>
  <c r="AH128" i="5"/>
  <c r="AI124" i="5"/>
  <c r="AI127" i="5" s="1"/>
  <c r="I43" i="11" l="1"/>
  <c r="I45" i="11" s="1"/>
  <c r="H51" i="11"/>
  <c r="AJ124" i="5"/>
  <c r="AJ127" i="5" s="1"/>
  <c r="AJ157" i="5" s="1"/>
  <c r="AI128" i="5"/>
  <c r="J43" i="11" l="1"/>
  <c r="J45" i="11" s="1"/>
  <c r="I51" i="11"/>
  <c r="AJ128" i="5"/>
  <c r="AK124" i="5"/>
  <c r="AK127" i="5" s="1"/>
  <c r="K43" i="11" l="1"/>
  <c r="K45" i="11" s="1"/>
  <c r="J51" i="11"/>
  <c r="AL124" i="5"/>
  <c r="AL127" i="5" s="1"/>
  <c r="AK128" i="5"/>
  <c r="L43" i="11" l="1"/>
  <c r="L45" i="11" s="1"/>
  <c r="K51" i="11"/>
  <c r="AL128" i="5"/>
  <c r="AM124" i="5"/>
  <c r="AM127" i="5" s="1"/>
  <c r="M43" i="11" l="1"/>
  <c r="M45" i="11" s="1"/>
  <c r="L51" i="11"/>
  <c r="AN124" i="5"/>
  <c r="AN127" i="5" s="1"/>
  <c r="AM128" i="5"/>
  <c r="N43" i="11" l="1"/>
  <c r="N45" i="11" s="1"/>
  <c r="N51" i="11" s="1"/>
  <c r="M51" i="11"/>
  <c r="AN128" i="5"/>
  <c r="AO124" i="5"/>
  <c r="AO127" i="5" s="1"/>
  <c r="P43" i="11" l="1"/>
  <c r="P45" i="11" s="1"/>
  <c r="AP124" i="5"/>
  <c r="AP127" i="5" s="1"/>
  <c r="AO128" i="5"/>
  <c r="AU124" i="5" l="1"/>
  <c r="BG124" i="5" s="1"/>
  <c r="Q43" i="11"/>
  <c r="Q45" i="11" s="1"/>
  <c r="P51" i="11"/>
  <c r="AP128" i="5"/>
  <c r="AU127" i="5" l="1"/>
  <c r="R43" i="11"/>
  <c r="R45" i="11" s="1"/>
  <c r="Q51" i="11"/>
  <c r="AU157" i="5" l="1"/>
  <c r="AV124" i="5"/>
  <c r="AV127" i="5" s="1"/>
  <c r="AW124" i="5" s="1"/>
  <c r="AW127" i="5" s="1"/>
  <c r="AU128" i="5"/>
  <c r="S43" i="11"/>
  <c r="S45" i="11" s="1"/>
  <c r="T43" i="11" s="1"/>
  <c r="R51" i="11"/>
  <c r="M157" i="5"/>
  <c r="M162" i="5" s="1"/>
  <c r="N157" i="5"/>
  <c r="AV157" i="5" l="1"/>
  <c r="AV128" i="5"/>
  <c r="S51" i="11"/>
  <c r="AW128" i="5"/>
  <c r="AX124" i="5"/>
  <c r="AX127" i="5" s="1"/>
  <c r="O143" i="5"/>
  <c r="O157" i="5" s="1"/>
  <c r="AX128" i="5" l="1"/>
  <c r="AY124" i="5"/>
  <c r="N162" i="5"/>
  <c r="Q157" i="5" l="1"/>
  <c r="Q162" i="5" s="1"/>
  <c r="P157" i="5"/>
  <c r="P162" i="5" s="1"/>
  <c r="R157" i="5" l="1"/>
  <c r="R162" i="5" s="1"/>
  <c r="S157" i="5" l="1"/>
  <c r="S162" i="5" s="1"/>
  <c r="T157" i="5" l="1"/>
  <c r="T162" i="5" s="1"/>
  <c r="U157" i="5" l="1"/>
  <c r="U162" i="5" s="1"/>
  <c r="V157" i="5" l="1"/>
  <c r="V162" i="5" s="1"/>
  <c r="W157" i="5"/>
  <c r="W162" i="5" s="1"/>
  <c r="X157" i="5" l="1"/>
  <c r="X162" i="5" s="1"/>
  <c r="Y157" i="5" l="1"/>
  <c r="Y162" i="5" s="1"/>
  <c r="Z157" i="5" l="1"/>
  <c r="Z162" i="5" s="1"/>
  <c r="AE162" i="5" l="1"/>
  <c r="AB143" i="5"/>
  <c r="AB157" i="5" s="1"/>
  <c r="AE156" i="5" s="1"/>
  <c r="AA162" i="5"/>
  <c r="AF157" i="5" l="1"/>
  <c r="AF162" i="5" l="1"/>
  <c r="AG156" i="5"/>
  <c r="AG157" i="5"/>
  <c r="AG162" i="5" l="1"/>
  <c r="AH156" i="5"/>
  <c r="AH157" i="5"/>
  <c r="AH162" i="5" l="1"/>
  <c r="AI156" i="5"/>
  <c r="AI157" i="5"/>
  <c r="AI162" i="5" l="1"/>
  <c r="AJ156" i="5"/>
  <c r="AJ162" i="5" l="1"/>
  <c r="AK156" i="5"/>
  <c r="AK157" i="5"/>
  <c r="AK162" i="5" l="1"/>
  <c r="AL156" i="5"/>
  <c r="AL157" i="5"/>
  <c r="AL162" i="5" l="1"/>
  <c r="AM156" i="5"/>
  <c r="AM157" i="5"/>
  <c r="AM162" i="5" l="1"/>
  <c r="AN156" i="5"/>
  <c r="AN157" i="5"/>
  <c r="AN162" i="5" l="1"/>
  <c r="AO156" i="5"/>
  <c r="AO157" i="5"/>
  <c r="AO162" i="5" l="1"/>
  <c r="AP156" i="5"/>
  <c r="AP157" i="5"/>
  <c r="AQ157" i="5" s="1"/>
  <c r="AU156" i="5" s="1"/>
  <c r="AQ143" i="5"/>
  <c r="AP162" i="5" l="1"/>
  <c r="AU162" i="5" l="1"/>
  <c r="AV156" i="5"/>
  <c r="AV162" i="5" l="1"/>
  <c r="AW156" i="5"/>
  <c r="AW157" i="5"/>
  <c r="AW162" i="5" l="1"/>
  <c r="AX156" i="5"/>
  <c r="AX157" i="5"/>
  <c r="AX162" i="5" l="1"/>
  <c r="L17" i="8" l="1"/>
  <c r="L16" i="8"/>
  <c r="M16" i="8" s="1"/>
  <c r="N16" i="8" s="1"/>
  <c r="K17" i="8" l="1"/>
  <c r="K16" i="8"/>
  <c r="K14" i="8"/>
  <c r="K10" i="8"/>
  <c r="K13" i="8" l="1"/>
  <c r="L19" i="8" l="1"/>
  <c r="L15" i="8"/>
  <c r="M15" i="8" s="1"/>
  <c r="N15" i="8" s="1"/>
  <c r="L14" i="8"/>
  <c r="M14" i="8" s="1"/>
  <c r="N14" i="8" s="1"/>
  <c r="L13" i="8"/>
  <c r="M13" i="8" s="1"/>
  <c r="N13" i="8" s="1"/>
  <c r="L10" i="8"/>
  <c r="M10" i="8" s="1"/>
  <c r="N10" i="8" s="1"/>
  <c r="L24" i="8"/>
  <c r="M24" i="8" s="1"/>
  <c r="N24" i="8" s="1"/>
  <c r="K15" i="8"/>
  <c r="K24" i="8" l="1"/>
  <c r="L6" i="8" l="1"/>
  <c r="M6" i="8" l="1"/>
  <c r="N6" i="8" l="1"/>
  <c r="K18" i="8" l="1"/>
  <c r="K19" i="8" l="1"/>
  <c r="K6" i="8" l="1"/>
  <c r="K20" i="8" l="1"/>
  <c r="L21" i="8" l="1"/>
  <c r="L25" i="8"/>
  <c r="M25" i="8" s="1"/>
  <c r="N25" i="8" s="1"/>
  <c r="K21" i="8" l="1"/>
  <c r="L26" i="8" l="1"/>
  <c r="M26" i="8" s="1"/>
  <c r="N26" i="8" s="1"/>
  <c r="L22" i="8"/>
  <c r="M22" i="8" s="1"/>
  <c r="N22" i="8" s="1"/>
  <c r="K30" i="8" l="1"/>
  <c r="K25" i="8"/>
  <c r="K26" i="8"/>
  <c r="K22" i="8"/>
  <c r="L29" i="8" l="1"/>
  <c r="M29" i="8" s="1"/>
  <c r="N29" i="8" s="1"/>
  <c r="K29" i="8"/>
  <c r="L30" i="8"/>
  <c r="M30" i="8" s="1"/>
  <c r="N30" i="8" s="1"/>
  <c r="L28" i="8" l="1"/>
  <c r="N28" i="8" s="1"/>
  <c r="K28" i="8"/>
  <c r="L5" i="8" l="1"/>
  <c r="M5" i="8" l="1"/>
  <c r="L7" i="8"/>
  <c r="N5" i="8" l="1"/>
  <c r="N7" i="8" s="1"/>
  <c r="M7" i="8"/>
  <c r="K5" i="8" l="1"/>
  <c r="K7" i="8" s="1"/>
  <c r="K31" i="8" s="1"/>
  <c r="K33" i="8" s="1"/>
  <c r="L32" i="8" s="1"/>
  <c r="T117" i="7"/>
  <c r="V149" i="7" l="1"/>
  <c r="V162" i="7" s="1"/>
  <c r="V165" i="7" s="1"/>
  <c r="V208" i="7" s="1"/>
  <c r="U113" i="7"/>
  <c r="V193" i="7" l="1"/>
  <c r="V207" i="7" s="1"/>
  <c r="V277" i="7" s="1"/>
  <c r="V206" i="7"/>
  <c r="V204" i="7"/>
  <c r="V203" i="7" l="1"/>
  <c r="V263" i="7" s="1"/>
  <c r="V264" i="7" s="1"/>
  <c r="V205" i="7"/>
  <c r="V270" i="7" s="1"/>
  <c r="I303" i="7" l="1"/>
  <c r="H303" i="7"/>
  <c r="G249" i="7" l="1"/>
  <c r="G242" i="7"/>
  <c r="G256" i="7"/>
  <c r="E249" i="7"/>
  <c r="E256" i="7"/>
  <c r="C6" i="8"/>
  <c r="C4" i="8" s="1"/>
  <c r="C10" i="8" s="1"/>
  <c r="C14" i="8" s="1"/>
  <c r="C18" i="8" s="1"/>
  <c r="C21" i="8" s="1"/>
  <c r="E257" i="7" l="1"/>
  <c r="F254" i="7" s="1"/>
  <c r="E242" i="7"/>
  <c r="E243" i="7" s="1"/>
  <c r="F240" i="7" s="1"/>
  <c r="F249" i="7"/>
  <c r="F256" i="7"/>
  <c r="C25" i="8"/>
  <c r="F257" i="7" l="1"/>
  <c r="G254" i="7" s="1"/>
  <c r="G257" i="7" s="1"/>
  <c r="H254" i="7" s="1"/>
  <c r="F242" i="7"/>
  <c r="F243" i="7" s="1"/>
  <c r="G240" i="7" s="1"/>
  <c r="G243" i="7" s="1"/>
  <c r="H240" i="7" s="1"/>
  <c r="H249" i="7" l="1"/>
  <c r="H256" i="7"/>
  <c r="H257" i="7" l="1"/>
  <c r="I254" i="7" s="1"/>
  <c r="H242" i="7"/>
  <c r="H243" i="7" s="1"/>
  <c r="I240" i="7" s="1"/>
  <c r="I249" i="7"/>
  <c r="I256" i="7"/>
  <c r="I257" i="7" l="1"/>
  <c r="J254" i="7" s="1"/>
  <c r="I242" i="7"/>
  <c r="I243" i="7" s="1"/>
  <c r="J240" i="7" s="1"/>
  <c r="J256" i="7"/>
  <c r="J249" i="7"/>
  <c r="J257" i="7" l="1"/>
  <c r="K254" i="7" s="1"/>
  <c r="J242" i="7"/>
  <c r="J243" i="7" s="1"/>
  <c r="K240" i="7" s="1"/>
  <c r="K242" i="7"/>
  <c r="K256" i="7"/>
  <c r="K249" i="7"/>
  <c r="K243" i="7" l="1"/>
  <c r="L242" i="7"/>
  <c r="L243" i="7" s="1"/>
  <c r="M240" i="7" s="1"/>
  <c r="L256" i="7"/>
  <c r="L249" i="7"/>
  <c r="L250" i="7" s="1"/>
  <c r="M247" i="7" s="1"/>
  <c r="K257" i="7"/>
  <c r="L254" i="7" s="1"/>
  <c r="L257" i="7" l="1"/>
  <c r="M254" i="7" s="1"/>
  <c r="M242" i="7"/>
  <c r="M243" i="7" s="1"/>
  <c r="N240" i="7" s="1"/>
  <c r="M256" i="7"/>
  <c r="M249" i="7"/>
  <c r="M250" i="7" s="1"/>
  <c r="N247" i="7" s="1"/>
  <c r="M257" i="7" l="1"/>
  <c r="N254" i="7" s="1"/>
  <c r="N256" i="7"/>
  <c r="N249" i="7"/>
  <c r="N250" i="7" s="1"/>
  <c r="O247" i="7" s="1"/>
  <c r="N257" i="7" l="1"/>
  <c r="O254" i="7" s="1"/>
  <c r="N242" i="7"/>
  <c r="N243" i="7" s="1"/>
  <c r="O240" i="7" s="1"/>
  <c r="P242" i="7"/>
  <c r="P249" i="7"/>
  <c r="O256" i="7"/>
  <c r="O249" i="7"/>
  <c r="Q249" i="7"/>
  <c r="P256" i="7" l="1"/>
  <c r="Q256" i="7"/>
  <c r="O250" i="7"/>
  <c r="O257" i="7"/>
  <c r="O242" i="7"/>
  <c r="O243" i="7" s="1"/>
  <c r="Q242" i="7"/>
  <c r="R256" i="7"/>
  <c r="R249" i="7"/>
  <c r="P257" i="7" l="1"/>
  <c r="Q254" i="7" s="1"/>
  <c r="Q257" i="7" s="1"/>
  <c r="R254" i="7" s="1"/>
  <c r="R257" i="7" s="1"/>
  <c r="S254" i="7" s="1"/>
  <c r="P250" i="7"/>
  <c r="Q247" i="7" s="1"/>
  <c r="Q250" i="7" s="1"/>
  <c r="R247" i="7" s="1"/>
  <c r="R250" i="7" s="1"/>
  <c r="S247" i="7" s="1"/>
  <c r="P243" i="7"/>
  <c r="Q240" i="7" s="1"/>
  <c r="Q243" i="7" s="1"/>
  <c r="R240" i="7" s="1"/>
  <c r="R242" i="7"/>
  <c r="S242" i="7"/>
  <c r="S249" i="7"/>
  <c r="BC42" i="5"/>
  <c r="U303" i="7"/>
  <c r="D6" i="8"/>
  <c r="D4" i="8" s="1"/>
  <c r="T303" i="7"/>
  <c r="S256" i="7" l="1"/>
  <c r="S257" i="7" s="1"/>
  <c r="T254" i="7" s="1"/>
  <c r="T256" i="7"/>
  <c r="R243" i="7"/>
  <c r="S240" i="7" s="1"/>
  <c r="S243" i="7" s="1"/>
  <c r="T240" i="7" s="1"/>
  <c r="S250" i="7"/>
  <c r="T242" i="7"/>
  <c r="T249" i="7"/>
  <c r="U249" i="7"/>
  <c r="X10" i="11"/>
  <c r="X13" i="11" s="1"/>
  <c r="BC125" i="5"/>
  <c r="BC57" i="5"/>
  <c r="D25" i="8"/>
  <c r="BG43" i="5"/>
  <c r="U256" i="7" l="1"/>
  <c r="T243" i="7"/>
  <c r="U240" i="7" s="1"/>
  <c r="T250" i="7"/>
  <c r="U247" i="7" s="1"/>
  <c r="U250" i="7" s="1"/>
  <c r="V247" i="7" s="1"/>
  <c r="V250" i="7" s="1"/>
  <c r="W250" i="7" s="1"/>
  <c r="X247" i="7" s="1"/>
  <c r="X250" i="7" s="1"/>
  <c r="Y247" i="7" s="1"/>
  <c r="Y250" i="7" s="1"/>
  <c r="Z247" i="7" s="1"/>
  <c r="Z250" i="7" s="1"/>
  <c r="AA250" i="7" s="1"/>
  <c r="AB247" i="7" s="1"/>
  <c r="AB250" i="7" s="1"/>
  <c r="AC247" i="7" s="1"/>
  <c r="AC250" i="7" s="1"/>
  <c r="AD247" i="7" s="1"/>
  <c r="AD250" i="7" s="1"/>
  <c r="AE247" i="7" s="1"/>
  <c r="AE250" i="7" s="1"/>
  <c r="AF247" i="7" s="1"/>
  <c r="U242" i="7"/>
  <c r="X40" i="11"/>
  <c r="X44" i="11" s="1"/>
  <c r="X36" i="11"/>
  <c r="T257" i="7"/>
  <c r="U254" i="7" s="1"/>
  <c r="W10" i="11"/>
  <c r="BB125" i="5"/>
  <c r="BG125" i="5" s="1"/>
  <c r="BB57" i="5"/>
  <c r="BG58" i="5" s="1"/>
  <c r="AF250" i="7" l="1"/>
  <c r="AG247" i="7" s="1"/>
  <c r="AG250" i="7" s="1"/>
  <c r="AH250" i="7" s="1"/>
  <c r="AI247" i="7" s="1"/>
  <c r="AI250" i="7" s="1"/>
  <c r="AJ247" i="7" s="1"/>
  <c r="AJ250" i="7" s="1"/>
  <c r="AK247" i="7" s="1"/>
  <c r="AK250" i="7" s="1"/>
  <c r="AL247" i="7" s="1"/>
  <c r="AL250" i="7" s="1"/>
  <c r="AM247" i="7" s="1"/>
  <c r="AM250" i="7" s="1"/>
  <c r="AN247" i="7" s="1"/>
  <c r="AN250" i="7" s="1"/>
  <c r="AO247" i="7" s="1"/>
  <c r="AO250" i="7" s="1"/>
  <c r="AP247" i="7" s="1"/>
  <c r="AP250" i="7" s="1"/>
  <c r="AQ247" i="7" s="1"/>
  <c r="AQ250" i="7" s="1"/>
  <c r="AR247" i="7" s="1"/>
  <c r="AR250" i="7" s="1"/>
  <c r="AS247" i="7" s="1"/>
  <c r="AS250" i="7" s="1"/>
  <c r="AT247" i="7" s="1"/>
  <c r="AT250" i="7" s="1"/>
  <c r="AU247" i="7" s="1"/>
  <c r="AU250" i="7" s="1"/>
  <c r="AV247" i="7" s="1"/>
  <c r="AV250" i="7" s="1"/>
  <c r="AW247" i="7" s="1"/>
  <c r="AW250" i="7" s="1"/>
  <c r="AX247" i="7" s="1"/>
  <c r="AX250" i="7" s="1"/>
  <c r="AY247" i="7" s="1"/>
  <c r="AY250" i="7" s="1"/>
  <c r="AZ247" i="7" s="1"/>
  <c r="AZ250" i="7" s="1"/>
  <c r="BA247" i="7" s="1"/>
  <c r="BA250" i="7" s="1"/>
  <c r="BB247" i="7" s="1"/>
  <c r="BB250" i="7" s="1"/>
  <c r="BC247" i="7" s="1"/>
  <c r="BC250" i="7" s="1"/>
  <c r="BD247" i="7" s="1"/>
  <c r="BD250" i="7" s="1"/>
  <c r="BE247" i="7" s="1"/>
  <c r="BE250" i="7" s="1"/>
  <c r="BF247" i="7" s="1"/>
  <c r="BF250" i="7" s="1"/>
  <c r="BG247" i="7" s="1"/>
  <c r="BG250" i="7" s="1"/>
  <c r="BH247" i="7" s="1"/>
  <c r="BH250" i="7" s="1"/>
  <c r="BI247" i="7" s="1"/>
  <c r="BI250" i="7" s="1"/>
  <c r="BJ247" i="7" s="1"/>
  <c r="BJ250" i="7" s="1"/>
  <c r="U243" i="7"/>
  <c r="V240" i="7" s="1"/>
  <c r="V243" i="7" s="1"/>
  <c r="W240" i="7" s="1"/>
  <c r="W243" i="7" s="1"/>
  <c r="X243" i="7" s="1"/>
  <c r="Y240" i="7" s="1"/>
  <c r="Y243" i="7" s="1"/>
  <c r="U257" i="7"/>
  <c r="V254" i="7" s="1"/>
  <c r="V257" i="7" s="1"/>
  <c r="W254" i="7" s="1"/>
  <c r="W257" i="7" s="1"/>
  <c r="X254" i="7" s="1"/>
  <c r="X257" i="7" s="1"/>
  <c r="Y254" i="7" s="1"/>
  <c r="Y257" i="7" s="1"/>
  <c r="Z254" i="7" s="1"/>
  <c r="Z257" i="7" s="1"/>
  <c r="AA254" i="7" s="1"/>
  <c r="AA257" i="7" s="1"/>
  <c r="AB257" i="7" s="1"/>
  <c r="AC254" i="7" s="1"/>
  <c r="AC257" i="7" s="1"/>
  <c r="AD254" i="7" s="1"/>
  <c r="AD257" i="7" s="1"/>
  <c r="AE254" i="7" s="1"/>
  <c r="AE257" i="7" s="1"/>
  <c r="W13" i="11"/>
  <c r="W14" i="11" s="1"/>
  <c r="X14" i="11" s="1"/>
  <c r="Y14" i="11" s="1"/>
  <c r="Z14" i="11" s="1"/>
  <c r="AA14" i="11" s="1"/>
  <c r="AB10" i="11"/>
  <c r="AB14" i="11" s="1"/>
  <c r="AF254" i="7" l="1"/>
  <c r="AF257" i="7" s="1"/>
  <c r="Z240" i="7"/>
  <c r="Z243" i="7" s="1"/>
  <c r="W40" i="11"/>
  <c r="W44" i="11" s="1"/>
  <c r="W36" i="11"/>
  <c r="AG257" i="7" l="1"/>
  <c r="AH254" i="7" s="1"/>
  <c r="AH257" i="7" s="1"/>
  <c r="AI254" i="7" s="1"/>
  <c r="AI257" i="7" s="1"/>
  <c r="AJ254" i="7" s="1"/>
  <c r="AJ257" i="7" s="1"/>
  <c r="AK254" i="7" s="1"/>
  <c r="AK257" i="7" s="1"/>
  <c r="AL254" i="7" s="1"/>
  <c r="AL257" i="7" s="1"/>
  <c r="AM254" i="7" s="1"/>
  <c r="AM257" i="7" s="1"/>
  <c r="AN254" i="7" s="1"/>
  <c r="AN257" i="7" s="1"/>
  <c r="AO254" i="7" s="1"/>
  <c r="AO257" i="7" s="1"/>
  <c r="AP254" i="7" s="1"/>
  <c r="AP257" i="7" s="1"/>
  <c r="AQ254" i="7" s="1"/>
  <c r="AQ257" i="7" s="1"/>
  <c r="AR254" i="7" s="1"/>
  <c r="AR257" i="7" s="1"/>
  <c r="AS254" i="7" s="1"/>
  <c r="AS257" i="7" s="1"/>
  <c r="AT254" i="7" s="1"/>
  <c r="AT257" i="7" s="1"/>
  <c r="AU254" i="7" s="1"/>
  <c r="AU257" i="7" s="1"/>
  <c r="AV254" i="7" s="1"/>
  <c r="AV257" i="7" s="1"/>
  <c r="AW254" i="7" s="1"/>
  <c r="AW257" i="7" s="1"/>
  <c r="AX254" i="7" s="1"/>
  <c r="AX257" i="7" s="1"/>
  <c r="AY254" i="7" s="1"/>
  <c r="AY257" i="7" s="1"/>
  <c r="AZ254" i="7" s="1"/>
  <c r="AZ257" i="7" s="1"/>
  <c r="BA254" i="7" s="1"/>
  <c r="BA257" i="7" s="1"/>
  <c r="BB254" i="7" s="1"/>
  <c r="BB257" i="7" s="1"/>
  <c r="BC254" i="7" s="1"/>
  <c r="BC257" i="7" s="1"/>
  <c r="BD254" i="7" s="1"/>
  <c r="BD257" i="7" s="1"/>
  <c r="BE254" i="7" s="1"/>
  <c r="BE257" i="7" s="1"/>
  <c r="BF254" i="7" s="1"/>
  <c r="BF257" i="7" s="1"/>
  <c r="BG254" i="7" s="1"/>
  <c r="BG257" i="7" s="1"/>
  <c r="BH254" i="7" s="1"/>
  <c r="BH257" i="7" s="1"/>
  <c r="BI254" i="7" s="1"/>
  <c r="BI257" i="7" s="1"/>
  <c r="BJ254" i="7" s="1"/>
  <c r="BJ257" i="7" s="1"/>
  <c r="AA240" i="7"/>
  <c r="AA243" i="7" s="1"/>
  <c r="AB240" i="7" s="1"/>
  <c r="AB243" i="7" s="1"/>
  <c r="AC240" i="7" s="1"/>
  <c r="AC243" i="7" s="1"/>
  <c r="AD240" i="7" s="1"/>
  <c r="AD243" i="7" s="1"/>
  <c r="AE243" i="7" s="1"/>
  <c r="AF240" i="7" s="1"/>
  <c r="AF243" i="7" s="1"/>
  <c r="AG240" i="7" s="1"/>
  <c r="AG243" i="7" s="1"/>
  <c r="AH240" i="7" s="1"/>
  <c r="AH243" i="7" s="1"/>
  <c r="AI240" i="7" s="1"/>
  <c r="AI243" i="7" s="1"/>
  <c r="AJ240" i="7" s="1"/>
  <c r="AJ243" i="7" s="1"/>
  <c r="AK240" i="7" s="1"/>
  <c r="AK243" i="7" s="1"/>
  <c r="AL240" i="7" s="1"/>
  <c r="AL243" i="7" s="1"/>
  <c r="AM240" i="7" s="1"/>
  <c r="AM243" i="7" s="1"/>
  <c r="AN240" i="7" s="1"/>
  <c r="AN243" i="7" s="1"/>
  <c r="AO240" i="7" s="1"/>
  <c r="AO243" i="7" s="1"/>
  <c r="AP240" i="7" s="1"/>
  <c r="AP243" i="7" s="1"/>
  <c r="AQ240" i="7" s="1"/>
  <c r="AQ243" i="7" s="1"/>
  <c r="AR240" i="7" s="1"/>
  <c r="AR243" i="7" s="1"/>
  <c r="AS240" i="7" s="1"/>
  <c r="AS243" i="7" s="1"/>
  <c r="AT240" i="7" s="1"/>
  <c r="AT243" i="7" s="1"/>
  <c r="AU240" i="7" s="1"/>
  <c r="AU243" i="7" s="1"/>
  <c r="AV240" i="7" s="1"/>
  <c r="AV243" i="7" s="1"/>
  <c r="AW240" i="7" s="1"/>
  <c r="AW243" i="7" s="1"/>
  <c r="AX240" i="7" s="1"/>
  <c r="AX243" i="7" s="1"/>
  <c r="AY240" i="7" s="1"/>
  <c r="AY243" i="7" s="1"/>
  <c r="AZ240" i="7" s="1"/>
  <c r="AZ243" i="7" s="1"/>
  <c r="BA240" i="7" s="1"/>
  <c r="BA243" i="7" s="1"/>
  <c r="BB240" i="7" s="1"/>
  <c r="BB243" i="7" s="1"/>
  <c r="BC240" i="7" s="1"/>
  <c r="BC243" i="7" s="1"/>
  <c r="BD240" i="7" s="1"/>
  <c r="BD243" i="7" s="1"/>
  <c r="BE240" i="7" s="1"/>
  <c r="BE243" i="7" s="1"/>
  <c r="BF240" i="7" s="1"/>
  <c r="BF243" i="7" s="1"/>
  <c r="BG240" i="7" s="1"/>
  <c r="BG243" i="7" s="1"/>
  <c r="BH240" i="7" s="1"/>
  <c r="BH243" i="7" s="1"/>
  <c r="BI240" i="7" s="1"/>
  <c r="BI243" i="7" s="1"/>
  <c r="BJ240" i="7" s="1"/>
  <c r="BJ243" i="7" s="1"/>
  <c r="BF80" i="5"/>
  <c r="AS112" i="7"/>
  <c r="Y126" i="7"/>
  <c r="U117" i="7"/>
  <c r="BG80" i="5" l="1"/>
  <c r="BF121" i="5"/>
  <c r="BE112" i="7"/>
  <c r="BE114" i="7" s="1"/>
  <c r="BI115" i="7" s="1"/>
  <c r="BI122" i="7" s="1"/>
  <c r="AS114" i="7"/>
  <c r="AW115" i="7" s="1"/>
  <c r="AW122" i="7" s="1"/>
  <c r="AL111" i="7"/>
  <c r="AL122" i="7"/>
  <c r="Z121" i="7"/>
  <c r="AA307" i="7"/>
  <c r="BJ4" i="5" s="1"/>
  <c r="BJ6" i="5" s="1"/>
  <c r="BJ16" i="5" s="1"/>
  <c r="W149" i="7"/>
  <c r="W162" i="7" s="1"/>
  <c r="V113" i="7"/>
  <c r="AA22" i="11" l="1"/>
  <c r="AA24" i="11" s="1"/>
  <c r="BF126" i="5"/>
  <c r="BJ125" i="5"/>
  <c r="BJ36" i="5"/>
  <c r="AN307" i="7"/>
  <c r="BJ122" i="7"/>
  <c r="AX122" i="7"/>
  <c r="AL118" i="7"/>
  <c r="V117" i="7"/>
  <c r="X149" i="7" s="1"/>
  <c r="X162" i="7" s="1"/>
  <c r="Z126" i="7"/>
  <c r="AA121" i="7" s="1"/>
  <c r="AA152" i="7" s="1"/>
  <c r="AA163" i="7" s="1"/>
  <c r="Z152" i="7"/>
  <c r="Z163" i="7" s="1"/>
  <c r="AC4" i="11"/>
  <c r="W165" i="7"/>
  <c r="W208" i="7" s="1"/>
  <c r="AA303" i="7"/>
  <c r="AA36" i="11" l="1"/>
  <c r="AA40" i="11"/>
  <c r="AA44" i="11" s="1"/>
  <c r="AZ125" i="7"/>
  <c r="AZ307" i="7" s="1"/>
  <c r="AX307" i="7"/>
  <c r="AX303" i="7" s="1"/>
  <c r="AY125" i="7"/>
  <c r="AY307" i="7" s="1"/>
  <c r="W113" i="7"/>
  <c r="W117" i="7" s="1"/>
  <c r="X113" i="7" s="1"/>
  <c r="AM307" i="7"/>
  <c r="BY4" i="5" s="1"/>
  <c r="BY6" i="5" s="1"/>
  <c r="BY16" i="5" s="1"/>
  <c r="AL307" i="7"/>
  <c r="AN303" i="7"/>
  <c r="BZ4" i="5"/>
  <c r="BZ6" i="5" s="1"/>
  <c r="BZ16" i="5" s="1"/>
  <c r="AA126" i="7"/>
  <c r="AB121" i="7" s="1"/>
  <c r="AB152" i="7" s="1"/>
  <c r="AB163" i="7" s="1"/>
  <c r="AC7" i="11"/>
  <c r="W193" i="7"/>
  <c r="W207" i="7" s="1"/>
  <c r="W277" i="7" s="1"/>
  <c r="W206" i="7"/>
  <c r="W204" i="7"/>
  <c r="X165" i="7"/>
  <c r="X208" i="7" s="1"/>
  <c r="CO4" i="5" l="1"/>
  <c r="CO6" i="5" s="1"/>
  <c r="CO16" i="5" s="1"/>
  <c r="CO125" i="5" s="1"/>
  <c r="AZ303" i="7"/>
  <c r="CJ4" i="5"/>
  <c r="CJ6" i="5" s="1"/>
  <c r="CJ16" i="5" s="1"/>
  <c r="CJ36" i="5" s="1"/>
  <c r="CN4" i="5"/>
  <c r="AY303" i="7"/>
  <c r="F5" i="8"/>
  <c r="F4" i="8" s="1"/>
  <c r="F10" i="8" s="1"/>
  <c r="F14" i="8" s="1"/>
  <c r="F18" i="8" s="1"/>
  <c r="N18" i="8" s="1"/>
  <c r="N31" i="8" s="1"/>
  <c r="AM303" i="7"/>
  <c r="AT4" i="11"/>
  <c r="AT7" i="11" s="1"/>
  <c r="BZ36" i="5"/>
  <c r="BZ125" i="5"/>
  <c r="BU4" i="5"/>
  <c r="AL303" i="7"/>
  <c r="Y149" i="7"/>
  <c r="Y162" i="7" s="1"/>
  <c r="Y165" i="7" s="1"/>
  <c r="Y206" i="7" s="1"/>
  <c r="AS4" i="11"/>
  <c r="BY36" i="5"/>
  <c r="BY125" i="5"/>
  <c r="AC8" i="11"/>
  <c r="AD8" i="11" s="1"/>
  <c r="AC40" i="11"/>
  <c r="AC36" i="11"/>
  <c r="W203" i="7"/>
  <c r="W263" i="7" s="1"/>
  <c r="W264" i="7" s="1"/>
  <c r="X261" i="7" s="1"/>
  <c r="W205" i="7"/>
  <c r="W270" i="7" s="1"/>
  <c r="X193" i="7"/>
  <c r="X207" i="7" s="1"/>
  <c r="X277" i="7" s="1"/>
  <c r="X206" i="7"/>
  <c r="X204" i="7"/>
  <c r="CO36" i="5" l="1"/>
  <c r="BD4" i="11"/>
  <c r="BD7" i="11" s="1"/>
  <c r="BD36" i="11" s="1"/>
  <c r="CJ125" i="5"/>
  <c r="CK125" i="5" s="1"/>
  <c r="CK4" i="5"/>
  <c r="CK6" i="5" s="1"/>
  <c r="CK7" i="5" s="1"/>
  <c r="BU6" i="5"/>
  <c r="BU16" i="5" s="1"/>
  <c r="CN6" i="5"/>
  <c r="CN16" i="5" s="1"/>
  <c r="F25" i="8"/>
  <c r="AT40" i="11"/>
  <c r="AT44" i="11" s="1"/>
  <c r="AT36" i="11"/>
  <c r="AS7" i="11"/>
  <c r="AC44" i="11"/>
  <c r="AC41" i="11"/>
  <c r="AD41" i="11" s="1"/>
  <c r="Y204" i="7"/>
  <c r="Y208" i="7"/>
  <c r="X203" i="7"/>
  <c r="X263" i="7" s="1"/>
  <c r="X264" i="7" s="1"/>
  <c r="Y261" i="7" s="1"/>
  <c r="X205" i="7"/>
  <c r="X270" i="7" s="1"/>
  <c r="Y193" i="7"/>
  <c r="BE4" i="11" l="1"/>
  <c r="BE8" i="11" s="1"/>
  <c r="BE36" i="11" s="1"/>
  <c r="BD40" i="11"/>
  <c r="BD44" i="11" s="1"/>
  <c r="CK16" i="5"/>
  <c r="CK36" i="5" s="1"/>
  <c r="CK37" i="5" s="1"/>
  <c r="BU36" i="5"/>
  <c r="BU125" i="5"/>
  <c r="AN4" i="11"/>
  <c r="AN7" i="11" s="1"/>
  <c r="AN36" i="11" s="1"/>
  <c r="CN36" i="5"/>
  <c r="CN125" i="5"/>
  <c r="Y203" i="7"/>
  <c r="Y263" i="7" s="1"/>
  <c r="Y264" i="7" s="1"/>
  <c r="Z261" i="7" s="1"/>
  <c r="AS8" i="11"/>
  <c r="AT8" i="11" s="1"/>
  <c r="AU8" i="11" s="1"/>
  <c r="AV8" i="11" s="1"/>
  <c r="AW8" i="11" s="1"/>
  <c r="AX8" i="11" s="1"/>
  <c r="AY8" i="11" s="1"/>
  <c r="AZ8" i="11" s="1"/>
  <c r="BA8" i="11" s="1"/>
  <c r="BB8" i="11" s="1"/>
  <c r="BC8" i="11" s="1"/>
  <c r="BD8" i="11" s="1"/>
  <c r="AS36" i="11"/>
  <c r="AS40" i="11"/>
  <c r="Y207" i="7"/>
  <c r="Y277" i="7" s="1"/>
  <c r="Y205" i="7"/>
  <c r="Y270" i="7" s="1"/>
  <c r="BE37" i="11" l="1"/>
  <c r="AN40" i="11"/>
  <c r="AN44" i="11" s="1"/>
  <c r="CK17" i="5"/>
  <c r="AS41" i="11"/>
  <c r="AT41" i="11" s="1"/>
  <c r="AU41" i="11" s="1"/>
  <c r="AV41" i="11" s="1"/>
  <c r="AW41" i="11" s="1"/>
  <c r="AX41" i="11" s="1"/>
  <c r="AY41" i="11" s="1"/>
  <c r="AZ41" i="11" s="1"/>
  <c r="BA41" i="11" s="1"/>
  <c r="BB41" i="11" s="1"/>
  <c r="BC41" i="11" s="1"/>
  <c r="BD41" i="11" s="1"/>
  <c r="AS44" i="11"/>
  <c r="K187" i="7" l="1"/>
  <c r="K205" i="7" s="1"/>
  <c r="K270" i="7" s="1"/>
  <c r="C187" i="7" l="1"/>
  <c r="C189" i="7" s="1"/>
  <c r="D185" i="7" s="1"/>
  <c r="D194" i="7" s="1"/>
  <c r="C235" i="7" l="1"/>
  <c r="C236" i="7" s="1"/>
  <c r="D233" i="7" s="1"/>
  <c r="C228" i="7"/>
  <c r="C229" i="7" s="1"/>
  <c r="D226" i="7" s="1"/>
  <c r="D197" i="7"/>
  <c r="D199" i="7"/>
  <c r="D201" i="7"/>
  <c r="D195" i="7"/>
  <c r="D188" i="7"/>
  <c r="D209" i="7" l="1"/>
  <c r="C214" i="7"/>
  <c r="C250" i="7"/>
  <c r="D247" i="7" s="1"/>
  <c r="C221" i="7"/>
  <c r="C222" i="7" s="1"/>
  <c r="D219" i="7" s="1"/>
  <c r="E187" i="7"/>
  <c r="E205" i="7" s="1"/>
  <c r="E270" i="7" s="1"/>
  <c r="E271" i="7" s="1"/>
  <c r="F268" i="7" s="1"/>
  <c r="G187" i="7"/>
  <c r="G205" i="7" s="1"/>
  <c r="G270" i="7" s="1"/>
  <c r="I187" i="7"/>
  <c r="I270" i="7" s="1"/>
  <c r="J187" i="7"/>
  <c r="J205" i="7" s="1"/>
  <c r="J270" i="7" s="1"/>
  <c r="D187" i="7"/>
  <c r="D189" i="7" s="1"/>
  <c r="E185" i="7" s="1"/>
  <c r="E194" i="7" s="1"/>
  <c r="C215" i="7" l="1"/>
  <c r="D212" i="7" s="1"/>
  <c r="C278" i="7"/>
  <c r="D275" i="7" s="1"/>
  <c r="D228" i="7"/>
  <c r="D229" i="7" s="1"/>
  <c r="E226" i="7" s="1"/>
  <c r="D235" i="7"/>
  <c r="D236" i="7" s="1"/>
  <c r="E233" i="7" s="1"/>
  <c r="H187" i="7"/>
  <c r="H205" i="7" s="1"/>
  <c r="H270" i="7" s="1"/>
  <c r="F187" i="7"/>
  <c r="F205" i="7" s="1"/>
  <c r="F270" i="7" s="1"/>
  <c r="F271" i="7" s="1"/>
  <c r="G268" i="7" s="1"/>
  <c r="G271" i="7" s="1"/>
  <c r="H268" i="7" s="1"/>
  <c r="H271" i="7" l="1"/>
  <c r="I268" i="7" s="1"/>
  <c r="I271" i="7" s="1"/>
  <c r="J268" i="7" s="1"/>
  <c r="J271" i="7" s="1"/>
  <c r="K268" i="7" s="1"/>
  <c r="K271" i="7" s="1"/>
  <c r="D250" i="7"/>
  <c r="E247" i="7" s="1"/>
  <c r="D222" i="7"/>
  <c r="E219" i="7" s="1"/>
  <c r="E197" i="7"/>
  <c r="E188" i="7"/>
  <c r="E189" i="7" s="1"/>
  <c r="F185" i="7" s="1"/>
  <c r="F194" i="7" s="1"/>
  <c r="E201" i="7"/>
  <c r="E199" i="7"/>
  <c r="E195" i="7"/>
  <c r="D214" i="7" l="1"/>
  <c r="E209" i="7"/>
  <c r="E250" i="7"/>
  <c r="F247" i="7" s="1"/>
  <c r="F250" i="7" s="1"/>
  <c r="G247" i="7" s="1"/>
  <c r="G250" i="7" s="1"/>
  <c r="H247" i="7" s="1"/>
  <c r="H250" i="7" s="1"/>
  <c r="I247" i="7" s="1"/>
  <c r="I250" i="7" s="1"/>
  <c r="J247" i="7" s="1"/>
  <c r="J250" i="7" s="1"/>
  <c r="K247" i="7" s="1"/>
  <c r="K250" i="7" s="1"/>
  <c r="E222" i="7"/>
  <c r="F219" i="7" s="1"/>
  <c r="E235" i="7"/>
  <c r="E236" i="7" s="1"/>
  <c r="F233" i="7" s="1"/>
  <c r="E228" i="7"/>
  <c r="E229" i="7" s="1"/>
  <c r="F226" i="7" s="1"/>
  <c r="D215" i="7" l="1"/>
  <c r="E212" i="7" s="1"/>
  <c r="D278" i="7"/>
  <c r="E275" i="7" s="1"/>
  <c r="E214" i="7"/>
  <c r="F199" i="7"/>
  <c r="F228" i="7" s="1"/>
  <c r="F229" i="7" s="1"/>
  <c r="G226" i="7" s="1"/>
  <c r="F197" i="7"/>
  <c r="F222" i="7" s="1"/>
  <c r="G219" i="7" s="1"/>
  <c r="F201" i="7"/>
  <c r="F235" i="7" s="1"/>
  <c r="F236" i="7" s="1"/>
  <c r="G233" i="7" s="1"/>
  <c r="F195" i="7"/>
  <c r="F188" i="7"/>
  <c r="F189" i="7" s="1"/>
  <c r="G185" i="7" s="1"/>
  <c r="G194" i="7" s="1"/>
  <c r="E215" i="7" l="1"/>
  <c r="F212" i="7" s="1"/>
  <c r="E278" i="7"/>
  <c r="F275" i="7" s="1"/>
  <c r="F214" i="7"/>
  <c r="F209" i="7"/>
  <c r="G188" i="7"/>
  <c r="G189" i="7" s="1"/>
  <c r="H185" i="7" s="1"/>
  <c r="H194" i="7" s="1"/>
  <c r="G195" i="7"/>
  <c r="G214" i="7" s="1"/>
  <c r="G199" i="7"/>
  <c r="G228" i="7" s="1"/>
  <c r="G229" i="7" s="1"/>
  <c r="H226" i="7" s="1"/>
  <c r="G201" i="7"/>
  <c r="G235" i="7" s="1"/>
  <c r="G236" i="7" s="1"/>
  <c r="H233" i="7" s="1"/>
  <c r="G197" i="7"/>
  <c r="G222" i="7" s="1"/>
  <c r="H219" i="7" s="1"/>
  <c r="F215" i="7" l="1"/>
  <c r="G212" i="7" s="1"/>
  <c r="G215" i="7" s="1"/>
  <c r="H212" i="7" s="1"/>
  <c r="F278" i="7"/>
  <c r="G275" i="7" s="1"/>
  <c r="G278" i="7" s="1"/>
  <c r="H275" i="7" s="1"/>
  <c r="G209" i="7"/>
  <c r="H195" i="7"/>
  <c r="H214" i="7" s="1"/>
  <c r="H201" i="7"/>
  <c r="H235" i="7" s="1"/>
  <c r="H236" i="7" s="1"/>
  <c r="I233" i="7" s="1"/>
  <c r="H199" i="7"/>
  <c r="H228" i="7" s="1"/>
  <c r="H229" i="7" s="1"/>
  <c r="I226" i="7" s="1"/>
  <c r="H197" i="7"/>
  <c r="H222" i="7" s="1"/>
  <c r="I219" i="7" s="1"/>
  <c r="H188" i="7"/>
  <c r="H189" i="7" s="1"/>
  <c r="I185" i="7" s="1"/>
  <c r="I194" i="7" s="1"/>
  <c r="H278" i="7" l="1"/>
  <c r="I275" i="7" s="1"/>
  <c r="H215" i="7"/>
  <c r="I212" i="7" s="1"/>
  <c r="H209" i="7"/>
  <c r="I199" i="7"/>
  <c r="I228" i="7" s="1"/>
  <c r="I229" i="7" s="1"/>
  <c r="J226" i="7" s="1"/>
  <c r="I188" i="7"/>
  <c r="I189" i="7" s="1"/>
  <c r="J185" i="7" s="1"/>
  <c r="J194" i="7" s="1"/>
  <c r="I195" i="7"/>
  <c r="I214" i="7" s="1"/>
  <c r="I201" i="7"/>
  <c r="I235" i="7" s="1"/>
  <c r="I236" i="7" s="1"/>
  <c r="J233" i="7" s="1"/>
  <c r="I197" i="7"/>
  <c r="I222" i="7" s="1"/>
  <c r="J219" i="7" s="1"/>
  <c r="I278" i="7" l="1"/>
  <c r="J275" i="7" s="1"/>
  <c r="I215" i="7"/>
  <c r="J212" i="7" s="1"/>
  <c r="I209" i="7"/>
  <c r="J195" i="7"/>
  <c r="J214" i="7" s="1"/>
  <c r="J201" i="7"/>
  <c r="J235" i="7" s="1"/>
  <c r="J236" i="7" s="1"/>
  <c r="K233" i="7" s="1"/>
  <c r="J197" i="7"/>
  <c r="J222" i="7" s="1"/>
  <c r="K219" i="7" s="1"/>
  <c r="J199" i="7"/>
  <c r="J228" i="7" s="1"/>
  <c r="J229" i="7" s="1"/>
  <c r="K226" i="7" s="1"/>
  <c r="J188" i="7"/>
  <c r="J189" i="7" s="1"/>
  <c r="K185" i="7" s="1"/>
  <c r="K194" i="7" s="1"/>
  <c r="J278" i="7" l="1"/>
  <c r="K275" i="7" s="1"/>
  <c r="J215" i="7"/>
  <c r="K212" i="7" s="1"/>
  <c r="J209" i="7"/>
  <c r="K195" i="7"/>
  <c r="K214" i="7" s="1"/>
  <c r="K201" i="7"/>
  <c r="K235" i="7" s="1"/>
  <c r="K236" i="7" s="1"/>
  <c r="L233" i="7" s="1"/>
  <c r="K197" i="7"/>
  <c r="K222" i="7" s="1"/>
  <c r="K188" i="7"/>
  <c r="K189" i="7" s="1"/>
  <c r="L185" i="7" s="1"/>
  <c r="L194" i="7" s="1"/>
  <c r="K199" i="7"/>
  <c r="K228" i="7" s="1"/>
  <c r="K229" i="7" s="1"/>
  <c r="L226" i="7" s="1"/>
  <c r="K278" i="7" l="1"/>
  <c r="L275" i="7" s="1"/>
  <c r="L278" i="7" s="1"/>
  <c r="M275" i="7" s="1"/>
  <c r="K215" i="7"/>
  <c r="K209" i="7"/>
  <c r="L228" i="7"/>
  <c r="L229" i="7" s="1"/>
  <c r="M226" i="7" s="1"/>
  <c r="L188" i="7"/>
  <c r="L189" i="7" s="1"/>
  <c r="M185" i="7" s="1"/>
  <c r="M194" i="7" s="1"/>
  <c r="L235" i="7"/>
  <c r="L236" i="7" s="1"/>
  <c r="M233" i="7" s="1"/>
  <c r="L195" i="7"/>
  <c r="L214" i="7" l="1"/>
  <c r="L209" i="7"/>
  <c r="L222" i="7" s="1"/>
  <c r="M219" i="7" s="1"/>
  <c r="L215" i="7" l="1"/>
  <c r="M212" i="7" s="1"/>
  <c r="M188" i="7"/>
  <c r="M189" i="7" s="1"/>
  <c r="N185" i="7" s="1"/>
  <c r="N194" i="7" s="1"/>
  <c r="M235" i="7"/>
  <c r="M236" i="7" s="1"/>
  <c r="N233" i="7" s="1"/>
  <c r="M195" i="7"/>
  <c r="M228" i="7"/>
  <c r="M229" i="7" s="1"/>
  <c r="N226" i="7" s="1"/>
  <c r="M214" i="7" l="1"/>
  <c r="M209" i="7"/>
  <c r="M222" i="7" s="1"/>
  <c r="N219" i="7" s="1"/>
  <c r="M215" i="7" l="1"/>
  <c r="N212" i="7" s="1"/>
  <c r="M278" i="7"/>
  <c r="N275" i="7" s="1"/>
  <c r="N195" i="7"/>
  <c r="N228" i="7"/>
  <c r="N229" i="7" s="1"/>
  <c r="O226" i="7" s="1"/>
  <c r="N188" i="7"/>
  <c r="N189" i="7" s="1"/>
  <c r="O185" i="7" s="1"/>
  <c r="O194" i="7" s="1"/>
  <c r="N235" i="7"/>
  <c r="N236" i="7" s="1"/>
  <c r="O233" i="7" s="1"/>
  <c r="N214" i="7" l="1"/>
  <c r="N209" i="7"/>
  <c r="N222" i="7" s="1"/>
  <c r="O219" i="7" s="1"/>
  <c r="N215" i="7" l="1"/>
  <c r="O212" i="7" s="1"/>
  <c r="N278" i="7"/>
  <c r="O275" i="7" s="1"/>
  <c r="O195" i="7"/>
  <c r="O228" i="7"/>
  <c r="O229" i="7" s="1"/>
  <c r="P226" i="7" s="1"/>
  <c r="O235" i="7"/>
  <c r="O236" i="7" s="1"/>
  <c r="P233" i="7" s="1"/>
  <c r="O188" i="7"/>
  <c r="O189" i="7" s="1"/>
  <c r="P185" i="7" s="1"/>
  <c r="P194" i="7" s="1"/>
  <c r="O214" i="7" l="1"/>
  <c r="O209" i="7"/>
  <c r="O222" i="7" s="1"/>
  <c r="P228" i="7"/>
  <c r="P229" i="7" s="1"/>
  <c r="Q226" i="7" s="1"/>
  <c r="P235" i="7"/>
  <c r="P236" i="7" s="1"/>
  <c r="Q233" i="7" s="1"/>
  <c r="P195" i="7"/>
  <c r="P188" i="7"/>
  <c r="P189" i="7" s="1"/>
  <c r="Q185" i="7" s="1"/>
  <c r="Q194" i="7" s="1"/>
  <c r="P214" i="7" l="1"/>
  <c r="P278" i="7" s="1"/>
  <c r="Q275" i="7" s="1"/>
  <c r="O215" i="7"/>
  <c r="O278" i="7"/>
  <c r="P209" i="7"/>
  <c r="P222" i="7" s="1"/>
  <c r="Q219" i="7" s="1"/>
  <c r="Q235" i="7"/>
  <c r="Q236" i="7" s="1"/>
  <c r="R233" i="7" s="1"/>
  <c r="Q228" i="7"/>
  <c r="Q229" i="7" s="1"/>
  <c r="R226" i="7" s="1"/>
  <c r="Q188" i="7"/>
  <c r="Q189" i="7" s="1"/>
  <c r="R185" i="7" s="1"/>
  <c r="R194" i="7" s="1"/>
  <c r="Q195" i="7"/>
  <c r="Q214" i="7" l="1"/>
  <c r="Q278" i="7" s="1"/>
  <c r="R275" i="7" s="1"/>
  <c r="P215" i="7"/>
  <c r="Q212" i="7" s="1"/>
  <c r="Q209" i="7"/>
  <c r="Q222" i="7" s="1"/>
  <c r="R219" i="7" s="1"/>
  <c r="Q215" i="7" l="1"/>
  <c r="R212" i="7" s="1"/>
  <c r="R195" i="7"/>
  <c r="R235" i="7"/>
  <c r="R236" i="7" s="1"/>
  <c r="S233" i="7" s="1"/>
  <c r="R228" i="7"/>
  <c r="R229" i="7" s="1"/>
  <c r="S226" i="7" s="1"/>
  <c r="R188" i="7"/>
  <c r="R189" i="7" s="1"/>
  <c r="S185" i="7" s="1"/>
  <c r="S194" i="7" s="1"/>
  <c r="R214" i="7" l="1"/>
  <c r="R209" i="7"/>
  <c r="R222" i="7" s="1"/>
  <c r="S219" i="7" s="1"/>
  <c r="S228" i="7"/>
  <c r="S229" i="7" s="1"/>
  <c r="T226" i="7" s="1"/>
  <c r="S235" i="7"/>
  <c r="S236" i="7" s="1"/>
  <c r="T233" i="7" s="1"/>
  <c r="S195" i="7"/>
  <c r="S214" i="7" s="1"/>
  <c r="S215" i="7" s="1"/>
  <c r="S188" i="7"/>
  <c r="S189" i="7" s="1"/>
  <c r="T185" i="7" s="1"/>
  <c r="T194" i="7" s="1"/>
  <c r="R215" i="7" l="1"/>
  <c r="R278" i="7"/>
  <c r="S275" i="7" s="1"/>
  <c r="S278" i="7" s="1"/>
  <c r="T275" i="7" s="1"/>
  <c r="S209" i="7"/>
  <c r="S222" i="7" s="1"/>
  <c r="T219" i="7" s="1"/>
  <c r="T212" i="7" l="1"/>
  <c r="T228" i="7"/>
  <c r="T229" i="7" s="1"/>
  <c r="U226" i="7" s="1"/>
  <c r="T195" i="7"/>
  <c r="T235" i="7"/>
  <c r="T236" i="7" s="1"/>
  <c r="U233" i="7" s="1"/>
  <c r="T188" i="7"/>
  <c r="T189" i="7" s="1"/>
  <c r="U185" i="7" s="1"/>
  <c r="U194" i="7" s="1"/>
  <c r="T214" i="7" l="1"/>
  <c r="T209" i="7"/>
  <c r="T222" i="7" s="1"/>
  <c r="U219" i="7" s="1"/>
  <c r="U228" i="7"/>
  <c r="U229" i="7" s="1"/>
  <c r="V226" i="7" s="1"/>
  <c r="U235" i="7"/>
  <c r="U236" i="7" s="1"/>
  <c r="V233" i="7" s="1"/>
  <c r="U195" i="7"/>
  <c r="U188" i="7"/>
  <c r="U189" i="7" s="1"/>
  <c r="V185" i="7" s="1"/>
  <c r="V194" i="7" s="1"/>
  <c r="U214" i="7" l="1"/>
  <c r="T215" i="7"/>
  <c r="U212" i="7" s="1"/>
  <c r="T278" i="7"/>
  <c r="U275" i="7" s="1"/>
  <c r="U209" i="7"/>
  <c r="U222" i="7" s="1"/>
  <c r="V219" i="7" s="1"/>
  <c r="V195" i="7"/>
  <c r="V235" i="7"/>
  <c r="V236" i="7" s="1"/>
  <c r="W233" i="7" s="1"/>
  <c r="V228" i="7"/>
  <c r="V229" i="7" s="1"/>
  <c r="W226" i="7" s="1"/>
  <c r="V188" i="7"/>
  <c r="V189" i="7" s="1"/>
  <c r="W185" i="7" s="1"/>
  <c r="W194" i="7" s="1"/>
  <c r="U215" i="7" l="1"/>
  <c r="V212" i="7" s="1"/>
  <c r="U278" i="7"/>
  <c r="V275" i="7" s="1"/>
  <c r="V278" i="7" s="1"/>
  <c r="W275" i="7" s="1"/>
  <c r="V214" i="7"/>
  <c r="V209" i="7"/>
  <c r="V222" i="7" s="1"/>
  <c r="W219" i="7" s="1"/>
  <c r="W228" i="7"/>
  <c r="W229" i="7" s="1"/>
  <c r="X226" i="7" s="1"/>
  <c r="W235" i="7"/>
  <c r="W236" i="7" s="1"/>
  <c r="X233" i="7" s="1"/>
  <c r="W195" i="7"/>
  <c r="W188" i="7"/>
  <c r="W189" i="7" s="1"/>
  <c r="X185" i="7" s="1"/>
  <c r="X194" i="7" s="1"/>
  <c r="V215" i="7" l="1"/>
  <c r="W212" i="7" s="1"/>
  <c r="W214" i="7"/>
  <c r="W278" i="7" s="1"/>
  <c r="X275" i="7" s="1"/>
  <c r="W209" i="7"/>
  <c r="W222" i="7" s="1"/>
  <c r="X219" i="7" s="1"/>
  <c r="W215" i="7" l="1"/>
  <c r="X195" i="7"/>
  <c r="X228" i="7"/>
  <c r="X229" i="7" s="1"/>
  <c r="Y226" i="7" s="1"/>
  <c r="X235" i="7"/>
  <c r="X236" i="7" s="1"/>
  <c r="Y233" i="7" s="1"/>
  <c r="X188" i="7"/>
  <c r="X189" i="7" s="1"/>
  <c r="Y185" i="7" s="1"/>
  <c r="Y194" i="7" s="1"/>
  <c r="X214" i="7" l="1"/>
  <c r="X209" i="7"/>
  <c r="X222" i="7" s="1"/>
  <c r="Y219" i="7" s="1"/>
  <c r="Y235" i="7"/>
  <c r="Y236" i="7" s="1"/>
  <c r="Z233" i="7" s="1"/>
  <c r="Y228" i="7"/>
  <c r="Y229" i="7" s="1"/>
  <c r="Z226" i="7" s="1"/>
  <c r="Y188" i="7"/>
  <c r="Y189" i="7" s="1"/>
  <c r="Z185" i="7" s="1"/>
  <c r="Y195" i="7"/>
  <c r="Y214" i="7" l="1"/>
  <c r="X215" i="7"/>
  <c r="Y212" i="7" s="1"/>
  <c r="X278" i="7"/>
  <c r="Y275" i="7" s="1"/>
  <c r="Y209" i="7"/>
  <c r="Y222" i="7" s="1"/>
  <c r="Z219" i="7" s="1"/>
  <c r="Z235" i="7"/>
  <c r="Z236" i="7" s="1"/>
  <c r="AA233" i="7" s="1"/>
  <c r="Z228" i="7"/>
  <c r="Z229" i="7" s="1"/>
  <c r="AA226" i="7" s="1"/>
  <c r="Y278" i="7" l="1"/>
  <c r="Z275" i="7" s="1"/>
  <c r="Y215" i="7"/>
  <c r="Z212" i="7" s="1"/>
  <c r="AA235" i="7" l="1"/>
  <c r="AA236" i="7" s="1"/>
  <c r="AB233" i="7" s="1"/>
  <c r="AA228" i="7"/>
  <c r="AA229" i="7" s="1"/>
  <c r="AB226" i="7" s="1"/>
  <c r="AB235" i="7" l="1"/>
  <c r="AB236" i="7" s="1"/>
  <c r="AC233" i="7" s="1"/>
  <c r="AB228" i="7"/>
  <c r="AB229" i="7" s="1"/>
  <c r="AC226" i="7" s="1"/>
  <c r="AC235" i="7" l="1"/>
  <c r="AC236" i="7" s="1"/>
  <c r="AD233" i="7" s="1"/>
  <c r="AC228" i="7"/>
  <c r="AC229" i="7" s="1"/>
  <c r="AD226" i="7" s="1"/>
  <c r="AD228" i="7" l="1"/>
  <c r="AD229" i="7" s="1"/>
  <c r="AE226" i="7" s="1"/>
  <c r="AD235" i="7"/>
  <c r="AD236" i="7" s="1"/>
  <c r="AE233" i="7" s="1"/>
  <c r="AE235" i="7" l="1"/>
  <c r="AE236" i="7" s="1"/>
  <c r="AF233" i="7" s="1"/>
  <c r="AE228" i="7"/>
  <c r="AE229" i="7" s="1"/>
  <c r="AF226" i="7" s="1"/>
  <c r="AF228" i="7" l="1"/>
  <c r="AF229" i="7" s="1"/>
  <c r="AG226" i="7" s="1"/>
  <c r="AF235" i="7"/>
  <c r="AF236" i="7" s="1"/>
  <c r="AG233" i="7" s="1"/>
  <c r="AG235" i="7" l="1"/>
  <c r="AG236" i="7" s="1"/>
  <c r="AH233" i="7" s="1"/>
  <c r="AG228" i="7"/>
  <c r="AG229" i="7" s="1"/>
  <c r="AH226" i="7" s="1"/>
  <c r="AH235" i="7" l="1"/>
  <c r="AH236" i="7" s="1"/>
  <c r="AI233" i="7" s="1"/>
  <c r="AH228" i="7"/>
  <c r="AH229" i="7" s="1"/>
  <c r="AI226" i="7" s="1"/>
  <c r="AI228" i="7" l="1"/>
  <c r="AI229" i="7" s="1"/>
  <c r="AJ226" i="7" s="1"/>
  <c r="AI235" i="7"/>
  <c r="AI236" i="7" s="1"/>
  <c r="AJ233" i="7" s="1"/>
  <c r="AJ235" i="7" l="1"/>
  <c r="AJ236" i="7" s="1"/>
  <c r="AK233" i="7" s="1"/>
  <c r="AJ228" i="7"/>
  <c r="AJ229" i="7" s="1"/>
  <c r="AK226" i="7" s="1"/>
  <c r="AK235" i="7" l="1"/>
  <c r="AK236" i="7" s="1"/>
  <c r="AL233" i="7" s="1"/>
  <c r="AK228" i="7"/>
  <c r="AK229" i="7" s="1"/>
  <c r="AL226" i="7" s="1"/>
  <c r="AL235" i="7" l="1"/>
  <c r="AL236" i="7" s="1"/>
  <c r="AM233" i="7" s="1"/>
  <c r="AL228" i="7"/>
  <c r="AL229" i="7" s="1"/>
  <c r="AM226" i="7" s="1"/>
  <c r="AM235" i="7" l="1"/>
  <c r="AM236" i="7" s="1"/>
  <c r="AN233" i="7" s="1"/>
  <c r="AM228" i="7"/>
  <c r="AM229" i="7" s="1"/>
  <c r="AN226" i="7" s="1"/>
  <c r="AN235" i="7" l="1"/>
  <c r="AN236" i="7" s="1"/>
  <c r="AO233" i="7" s="1"/>
  <c r="AN228" i="7"/>
  <c r="AN229" i="7" s="1"/>
  <c r="AO226" i="7" s="1"/>
  <c r="AO228" i="7" l="1"/>
  <c r="AO229" i="7" s="1"/>
  <c r="AP226" i="7" s="1"/>
  <c r="AO235" i="7"/>
  <c r="AO236" i="7" s="1"/>
  <c r="AP233" i="7" s="1"/>
  <c r="AP228" i="7" l="1"/>
  <c r="AP229" i="7" s="1"/>
  <c r="AQ226" i="7" s="1"/>
  <c r="AP235" i="7"/>
  <c r="AP236" i="7" s="1"/>
  <c r="AQ233" i="7" s="1"/>
  <c r="AQ235" i="7" l="1"/>
  <c r="AQ236" i="7" s="1"/>
  <c r="AR233" i="7" s="1"/>
  <c r="AQ228" i="7"/>
  <c r="AQ229" i="7" s="1"/>
  <c r="AR226" i="7" s="1"/>
  <c r="AR228" i="7" l="1"/>
  <c r="AR229" i="7" s="1"/>
  <c r="AS226" i="7" s="1"/>
  <c r="AR235" i="7"/>
  <c r="AR236" i="7" s="1"/>
  <c r="AS233" i="7" s="1"/>
  <c r="AS235" i="7" l="1"/>
  <c r="AS236" i="7" s="1"/>
  <c r="AT233" i="7" s="1"/>
  <c r="AS228" i="7"/>
  <c r="AS229" i="7" s="1"/>
  <c r="AT226" i="7" s="1"/>
  <c r="AT235" i="7" l="1"/>
  <c r="AT236" i="7" s="1"/>
  <c r="AU233" i="7" s="1"/>
  <c r="AT228" i="7"/>
  <c r="AT229" i="7" s="1"/>
  <c r="AU226" i="7" s="1"/>
  <c r="AU235" i="7" l="1"/>
  <c r="AU236" i="7" s="1"/>
  <c r="AV233" i="7" s="1"/>
  <c r="AU228" i="7"/>
  <c r="AU229" i="7" s="1"/>
  <c r="AV226" i="7" s="1"/>
  <c r="AV228" i="7" l="1"/>
  <c r="AV229" i="7" s="1"/>
  <c r="AW226" i="7" s="1"/>
  <c r="AV235" i="7"/>
  <c r="AV236" i="7" s="1"/>
  <c r="AW233" i="7" s="1"/>
  <c r="AW228" i="7" l="1"/>
  <c r="AW229" i="7" s="1"/>
  <c r="AX226" i="7" s="1"/>
  <c r="AW235" i="7"/>
  <c r="AW236" i="7" s="1"/>
  <c r="AX233" i="7" s="1"/>
  <c r="AX228" i="7" l="1"/>
  <c r="AX229" i="7" s="1"/>
  <c r="AY226" i="7" s="1"/>
  <c r="AY229" i="7" s="1"/>
  <c r="AZ226" i="7" s="1"/>
  <c r="AZ229" i="7" s="1"/>
  <c r="BA226" i="7" s="1"/>
  <c r="BA229" i="7" s="1"/>
  <c r="BB226" i="7" s="1"/>
  <c r="BB229" i="7" s="1"/>
  <c r="BC226" i="7" s="1"/>
  <c r="BC229" i="7" s="1"/>
  <c r="BD226" i="7" s="1"/>
  <c r="BD229" i="7" s="1"/>
  <c r="BE226" i="7" s="1"/>
  <c r="BE229" i="7" s="1"/>
  <c r="BF226" i="7" s="1"/>
  <c r="BF229" i="7" s="1"/>
  <c r="BG226" i="7" s="1"/>
  <c r="BG229" i="7" s="1"/>
  <c r="BH226" i="7" s="1"/>
  <c r="BH229" i="7" s="1"/>
  <c r="BI226" i="7" s="1"/>
  <c r="BI229" i="7" s="1"/>
  <c r="BJ226" i="7" s="1"/>
  <c r="BJ229" i="7" s="1"/>
  <c r="AX235" i="7"/>
  <c r="AX236" i="7" s="1"/>
  <c r="AY233" i="7" s="1"/>
  <c r="AY236" i="7" s="1"/>
  <c r="AZ233" i="7" s="1"/>
  <c r="AZ236" i="7" s="1"/>
  <c r="BA233" i="7" s="1"/>
  <c r="BA236" i="7" s="1"/>
  <c r="BB233" i="7" s="1"/>
  <c r="BB236" i="7" s="1"/>
  <c r="BC233" i="7" s="1"/>
  <c r="BC236" i="7" s="1"/>
  <c r="BD233" i="7" s="1"/>
  <c r="BD236" i="7" s="1"/>
  <c r="BE233" i="7" s="1"/>
  <c r="BE236" i="7" s="1"/>
  <c r="BF233" i="7" s="1"/>
  <c r="BF236" i="7" s="1"/>
  <c r="BG233" i="7" s="1"/>
  <c r="BG236" i="7" s="1"/>
  <c r="BH233" i="7" s="1"/>
  <c r="BH236" i="7" s="1"/>
  <c r="BI233" i="7" s="1"/>
  <c r="BI236" i="7" s="1"/>
  <c r="BJ233" i="7" s="1"/>
  <c r="BJ236" i="7" s="1"/>
  <c r="T268" i="7" l="1"/>
  <c r="T271" i="7" s="1"/>
  <c r="U268" i="7" s="1"/>
  <c r="U271" i="7" s="1"/>
  <c r="V268" i="7" s="1"/>
  <c r="V271" i="7" s="1"/>
  <c r="W271" i="7" s="1"/>
  <c r="X268" i="7" s="1"/>
  <c r="X271" i="7" s="1"/>
  <c r="Y268" i="7" s="1"/>
  <c r="Y271" i="7" s="1"/>
  <c r="Z268" i="7" s="1"/>
  <c r="S272" i="7"/>
  <c r="AY85" i="5" s="1"/>
  <c r="AY121" i="5" l="1"/>
  <c r="T22" i="11" s="1"/>
  <c r="BG85" i="5"/>
  <c r="BG121" i="5" s="1"/>
  <c r="S301" i="7"/>
  <c r="S299" i="7" s="1"/>
  <c r="D7" i="8" s="1"/>
  <c r="D10" i="8" s="1"/>
  <c r="D14" i="8" s="1"/>
  <c r="D18" i="8" s="1"/>
  <c r="L18" i="8" s="1"/>
  <c r="L31" i="8" s="1"/>
  <c r="L33" i="8" s="1"/>
  <c r="M32" i="8" s="1"/>
  <c r="BG122" i="5" l="1"/>
  <c r="L36" i="8"/>
  <c r="L37" i="8" s="1"/>
  <c r="AY126" i="5"/>
  <c r="AB22" i="11"/>
  <c r="AB25" i="11" s="1"/>
  <c r="AB36" i="11" s="1"/>
  <c r="T24" i="11"/>
  <c r="AY127" i="5" l="1"/>
  <c r="AY157" i="5" s="1"/>
  <c r="BG126" i="5"/>
  <c r="BG127" i="5" s="1"/>
  <c r="AY156" i="5"/>
  <c r="T40" i="11"/>
  <c r="T25" i="11"/>
  <c r="U25" i="11" s="1"/>
  <c r="V25" i="11" s="1"/>
  <c r="W25" i="11" s="1"/>
  <c r="X25" i="11" s="1"/>
  <c r="Y25" i="11" s="1"/>
  <c r="Z25" i="11" s="1"/>
  <c r="AA25" i="11" s="1"/>
  <c r="T36" i="11"/>
  <c r="AB37" i="11" s="1"/>
  <c r="AY128" i="5" l="1"/>
  <c r="AZ124" i="5"/>
  <c r="AZ127" i="5" s="1"/>
  <c r="BA124" i="5" s="1"/>
  <c r="BA127" i="5" s="1"/>
  <c r="AY162" i="5"/>
  <c r="AZ156" i="5"/>
  <c r="T44" i="11"/>
  <c r="T45" i="11" s="1"/>
  <c r="T41" i="11"/>
  <c r="U41" i="11" s="1"/>
  <c r="V41" i="11" s="1"/>
  <c r="W41" i="11" s="1"/>
  <c r="X41" i="11" s="1"/>
  <c r="Y41" i="11" s="1"/>
  <c r="Z41" i="11" s="1"/>
  <c r="AA41" i="11" s="1"/>
  <c r="AZ128" i="5" l="1"/>
  <c r="AZ157" i="5"/>
  <c r="AZ162" i="5" s="1"/>
  <c r="U43" i="11"/>
  <c r="U45" i="11" s="1"/>
  <c r="T51" i="11"/>
  <c r="BA128" i="5"/>
  <c r="BA157" i="5"/>
  <c r="BB124" i="5"/>
  <c r="BB127" i="5" s="1"/>
  <c r="BA156" i="5" l="1"/>
  <c r="V43" i="11"/>
  <c r="V45" i="11" s="1"/>
  <c r="U51" i="11"/>
  <c r="BB157" i="5"/>
  <c r="BB128" i="5"/>
  <c r="BC124" i="5"/>
  <c r="BC127" i="5" s="1"/>
  <c r="BA162" i="5"/>
  <c r="BB156" i="5"/>
  <c r="W43" i="11" l="1"/>
  <c r="W45" i="11" s="1"/>
  <c r="V51" i="11"/>
  <c r="BD124" i="5"/>
  <c r="BD127" i="5" s="1"/>
  <c r="BC128" i="5"/>
  <c r="BC157" i="5"/>
  <c r="BC156" i="5"/>
  <c r="BB162" i="5"/>
  <c r="X43" i="11" l="1"/>
  <c r="X45" i="11" s="1"/>
  <c r="W51" i="11"/>
  <c r="BC162" i="5"/>
  <c r="BD156" i="5"/>
  <c r="BD128" i="5"/>
  <c r="BE124" i="5"/>
  <c r="BE127" i="5" s="1"/>
  <c r="BD157" i="5"/>
  <c r="Y43" i="11" l="1"/>
  <c r="Y45" i="11" s="1"/>
  <c r="Y51" i="11" s="1"/>
  <c r="X51" i="11"/>
  <c r="BD162" i="5"/>
  <c r="BE156" i="5"/>
  <c r="BE157" i="5"/>
  <c r="BF156" i="5" s="1"/>
  <c r="BE128" i="5"/>
  <c r="BF124" i="5"/>
  <c r="BF127" i="5" s="1"/>
  <c r="BF157" i="5" l="1"/>
  <c r="BG157" i="5" s="1"/>
  <c r="BJ156" i="5" s="1"/>
  <c r="BJ124" i="5"/>
  <c r="BJ127" i="5" s="1"/>
  <c r="BJ157" i="5" s="1"/>
  <c r="Z43" i="11"/>
  <c r="Z45" i="11" s="1"/>
  <c r="Z51" i="11" s="1"/>
  <c r="BF128" i="5"/>
  <c r="BE162" i="5"/>
  <c r="AA43" i="11" l="1"/>
  <c r="AA45" i="11" s="1"/>
  <c r="AA51" i="11" s="1"/>
  <c r="BV124" i="5"/>
  <c r="D124" i="16" s="1"/>
  <c r="BF162" i="5"/>
  <c r="P123" i="16" l="1"/>
  <c r="AC43" i="11"/>
  <c r="AC45" i="11" s="1"/>
  <c r="AD43" i="11" s="1"/>
  <c r="AD45" i="11" s="1"/>
  <c r="AE43" i="11" s="1"/>
  <c r="BK124" i="5"/>
  <c r="BK127" i="5" s="1"/>
  <c r="BJ128" i="5"/>
  <c r="AC51" i="11" l="1"/>
  <c r="AD51" i="11"/>
  <c r="BJ162" i="5"/>
  <c r="BK156" i="5"/>
  <c r="BK128" i="5"/>
  <c r="BL124" i="5"/>
  <c r="BK157" i="5"/>
  <c r="BK162" i="5" l="1"/>
  <c r="Z222" i="7" l="1"/>
  <c r="AA219" i="7" s="1"/>
  <c r="AA222" i="7" s="1"/>
  <c r="X117" i="7"/>
  <c r="AV114" i="7" l="1"/>
  <c r="AZ115" i="7" s="1"/>
  <c r="AZ122" i="7" s="1"/>
  <c r="BB125" i="7" s="1"/>
  <c r="BB307" i="7" s="1"/>
  <c r="AM111" i="7"/>
  <c r="AB219" i="7"/>
  <c r="AB222" i="7" s="1"/>
  <c r="BH112" i="7"/>
  <c r="AY111" i="7" s="1"/>
  <c r="Z149" i="7"/>
  <c r="Z162" i="7" s="1"/>
  <c r="Z165" i="7" s="1"/>
  <c r="Z204" i="7" s="1"/>
  <c r="Y113" i="7"/>
  <c r="AC307" i="7"/>
  <c r="BL4" i="5" l="1"/>
  <c r="BL6" i="5" s="1"/>
  <c r="BL16" i="5" s="1"/>
  <c r="AC303" i="7"/>
  <c r="CQ4" i="5"/>
  <c r="CQ6" i="5" s="1"/>
  <c r="CQ16" i="5" s="1"/>
  <c r="BB303" i="7"/>
  <c r="AX111" i="7"/>
  <c r="BA122" i="7"/>
  <c r="BC125" i="7" s="1"/>
  <c r="BC307" i="7" s="1"/>
  <c r="AC219" i="7"/>
  <c r="AC222" i="7" s="1"/>
  <c r="AD219" i="7" s="1"/>
  <c r="AD222" i="7" s="1"/>
  <c r="AE219" i="7" s="1"/>
  <c r="AE222" i="7" s="1"/>
  <c r="AF219" i="7" s="1"/>
  <c r="AF222" i="7" s="1"/>
  <c r="AG219" i="7" s="1"/>
  <c r="AG222" i="7" s="1"/>
  <c r="AH219" i="7" s="1"/>
  <c r="AH222" i="7" s="1"/>
  <c r="AI222" i="7" s="1"/>
  <c r="AJ219" i="7" s="1"/>
  <c r="AJ222" i="7" s="1"/>
  <c r="AK219" i="7" s="1"/>
  <c r="AK222" i="7" s="1"/>
  <c r="AL219" i="7" s="1"/>
  <c r="AL222" i="7" s="1"/>
  <c r="AM219" i="7" s="1"/>
  <c r="AM222" i="7" s="1"/>
  <c r="AN219" i="7" s="1"/>
  <c r="AN222" i="7" s="1"/>
  <c r="AO219" i="7" s="1"/>
  <c r="AO222" i="7" s="1"/>
  <c r="AP219" i="7" s="1"/>
  <c r="AP222" i="7" s="1"/>
  <c r="AQ219" i="7" s="1"/>
  <c r="AQ222" i="7" s="1"/>
  <c r="AR219" i="7" s="1"/>
  <c r="AR222" i="7" s="1"/>
  <c r="AS219" i="7" s="1"/>
  <c r="AS222" i="7" s="1"/>
  <c r="AT219" i="7" s="1"/>
  <c r="AT222" i="7" s="1"/>
  <c r="AU219" i="7" s="1"/>
  <c r="AU222" i="7" s="1"/>
  <c r="AV219" i="7" s="1"/>
  <c r="AV222" i="7" s="1"/>
  <c r="AW219" i="7" s="1"/>
  <c r="AW222" i="7" s="1"/>
  <c r="AX219" i="7" s="1"/>
  <c r="AX222" i="7" s="1"/>
  <c r="AY219" i="7" s="1"/>
  <c r="AY222" i="7" s="1"/>
  <c r="AZ219" i="7" s="1"/>
  <c r="AZ222" i="7" s="1"/>
  <c r="BA219" i="7" s="1"/>
  <c r="BA222" i="7" s="1"/>
  <c r="BB219" i="7" s="1"/>
  <c r="BB222" i="7" s="1"/>
  <c r="BC219" i="7" s="1"/>
  <c r="BC222" i="7" s="1"/>
  <c r="BD219" i="7" s="1"/>
  <c r="BD222" i="7" s="1"/>
  <c r="BE219" i="7" s="1"/>
  <c r="BE222" i="7" s="1"/>
  <c r="BF219" i="7" s="1"/>
  <c r="BF222" i="7" s="1"/>
  <c r="BG219" i="7" s="1"/>
  <c r="BG222" i="7" s="1"/>
  <c r="BH219" i="7" s="1"/>
  <c r="BH222" i="7" s="1"/>
  <c r="BI219" i="7" s="1"/>
  <c r="BI222" i="7" s="1"/>
  <c r="BJ219" i="7" s="1"/>
  <c r="BJ222" i="7" s="1"/>
  <c r="BH114" i="7"/>
  <c r="Y117" i="7"/>
  <c r="Z113" i="7" s="1"/>
  <c r="Z206" i="7"/>
  <c r="Z208" i="7"/>
  <c r="Z193" i="7"/>
  <c r="Z203" i="7" s="1"/>
  <c r="AB126" i="7"/>
  <c r="AC121" i="7" s="1"/>
  <c r="AD307" i="7"/>
  <c r="BM4" i="5" s="1"/>
  <c r="CQ125" i="5" l="1"/>
  <c r="CQ36" i="5"/>
  <c r="AX118" i="7"/>
  <c r="CR4" i="5"/>
  <c r="BC303" i="7"/>
  <c r="BJ118" i="7"/>
  <c r="BJ111" i="7"/>
  <c r="AE4" i="11"/>
  <c r="AE7" i="11" s="1"/>
  <c r="AA149" i="7"/>
  <c r="AA162" i="7" s="1"/>
  <c r="AA165" i="7" s="1"/>
  <c r="AA193" i="7" s="1"/>
  <c r="Z117" i="7"/>
  <c r="Z263" i="7"/>
  <c r="Z264" i="7" s="1"/>
  <c r="AC152" i="7"/>
  <c r="AC163" i="7" s="1"/>
  <c r="AC126" i="7"/>
  <c r="AD121" i="7" s="1"/>
  <c r="E5" i="8"/>
  <c r="E4" i="8" s="1"/>
  <c r="E10" i="8" s="1"/>
  <c r="E14" i="8" s="1"/>
  <c r="E18" i="8" s="1"/>
  <c r="M18" i="8" s="1"/>
  <c r="M31" i="8" s="1"/>
  <c r="M33" i="8" s="1"/>
  <c r="N32" i="8" s="1"/>
  <c r="N33" i="8" s="1"/>
  <c r="AD303" i="7"/>
  <c r="Z207" i="7"/>
  <c r="Z277" i="7" s="1"/>
  <c r="Z278" i="7" s="1"/>
  <c r="AA275" i="7" s="1"/>
  <c r="Z205" i="7"/>
  <c r="Z270" i="7" s="1"/>
  <c r="Z271" i="7" s="1"/>
  <c r="AA268" i="7" s="1"/>
  <c r="BV4" i="5" l="1"/>
  <c r="D4" i="16" s="1"/>
  <c r="BM6" i="5"/>
  <c r="BM16" i="5" s="1"/>
  <c r="CR6" i="5"/>
  <c r="CR16" i="5" s="1"/>
  <c r="CZ4" i="5"/>
  <c r="CZ6" i="5" s="1"/>
  <c r="BL125" i="5"/>
  <c r="BL127" i="5" s="1"/>
  <c r="BL36" i="5"/>
  <c r="AE36" i="11"/>
  <c r="AE40" i="11"/>
  <c r="AE8" i="11"/>
  <c r="AA204" i="7"/>
  <c r="AA203" i="7" s="1"/>
  <c r="AA263" i="7" s="1"/>
  <c r="AA264" i="7" s="1"/>
  <c r="AA206" i="7"/>
  <c r="AA208" i="7"/>
  <c r="AA207" i="7" s="1"/>
  <c r="AA277" i="7" s="1"/>
  <c r="AA278" i="7" s="1"/>
  <c r="AB275" i="7" s="1"/>
  <c r="AB149" i="7"/>
  <c r="AB162" i="7" s="1"/>
  <c r="AB165" i="7" s="1"/>
  <c r="AA113" i="7"/>
  <c r="E25" i="8"/>
  <c r="AD152" i="7"/>
  <c r="AD163" i="7" s="1"/>
  <c r="AD126" i="7"/>
  <c r="AE121" i="7" s="1"/>
  <c r="Z194" i="7"/>
  <c r="BV6" i="5" l="1"/>
  <c r="P4" i="16"/>
  <c r="E4" i="16"/>
  <c r="CZ16" i="5"/>
  <c r="CZ7" i="5"/>
  <c r="CR125" i="5"/>
  <c r="CZ125" i="5" s="1"/>
  <c r="CR36" i="5"/>
  <c r="AB208" i="7"/>
  <c r="AB204" i="7"/>
  <c r="AB206" i="7"/>
  <c r="BL156" i="5"/>
  <c r="AA205" i="7"/>
  <c r="AA270" i="7" s="1"/>
  <c r="AA271" i="7" s="1"/>
  <c r="AB268" i="7" s="1"/>
  <c r="AE44" i="11"/>
  <c r="AE45" i="11" s="1"/>
  <c r="AE41" i="11"/>
  <c r="BL128" i="5"/>
  <c r="BL157" i="5"/>
  <c r="BL162" i="5" s="1"/>
  <c r="BM124" i="5"/>
  <c r="AB193" i="7"/>
  <c r="AA117" i="7"/>
  <c r="Z188" i="7"/>
  <c r="Z189" i="7" s="1"/>
  <c r="AA185" i="7" s="1"/>
  <c r="Z195" i="7"/>
  <c r="Z214" i="7" s="1"/>
  <c r="Z215" i="7" s="1"/>
  <c r="AA212" i="7" s="1"/>
  <c r="AF4" i="11"/>
  <c r="BM125" i="5"/>
  <c r="BM36" i="5"/>
  <c r="AE152" i="7"/>
  <c r="AE163" i="7" s="1"/>
  <c r="AE126" i="7"/>
  <c r="AF121" i="7" s="1"/>
  <c r="AF126" i="7" l="1"/>
  <c r="AG121" i="7" s="1"/>
  <c r="AG126" i="7" s="1"/>
  <c r="AF152" i="7"/>
  <c r="AF163" i="7" s="1"/>
  <c r="BV7" i="5"/>
  <c r="D6" i="16"/>
  <c r="E6" i="16" s="1"/>
  <c r="BV16" i="5"/>
  <c r="D16" i="16" s="1"/>
  <c r="E16" i="16" s="1"/>
  <c r="P6" i="16"/>
  <c r="CZ17" i="5"/>
  <c r="CZ36" i="5"/>
  <c r="CZ37" i="5" s="1"/>
  <c r="AB205" i="7"/>
  <c r="AB270" i="7" s="1"/>
  <c r="AB271" i="7" s="1"/>
  <c r="AC268" i="7" s="1"/>
  <c r="AB203" i="7"/>
  <c r="AB263" i="7" s="1"/>
  <c r="AB264" i="7" s="1"/>
  <c r="AF43" i="11"/>
  <c r="AE51" i="11"/>
  <c r="AB207" i="7"/>
  <c r="AB277" i="7" s="1"/>
  <c r="AB278" i="7" s="1"/>
  <c r="AC275" i="7" s="1"/>
  <c r="AB113" i="7"/>
  <c r="AB117" i="7" s="1"/>
  <c r="AC149" i="7"/>
  <c r="AC162" i="7" s="1"/>
  <c r="AC165" i="7" s="1"/>
  <c r="BV125" i="5"/>
  <c r="D125" i="16" s="1"/>
  <c r="E125" i="16" s="1"/>
  <c r="BM127" i="5"/>
  <c r="BM156" i="5"/>
  <c r="AF7" i="11"/>
  <c r="AO4" i="11"/>
  <c r="AO8" i="11" s="1"/>
  <c r="AO36" i="11" s="1"/>
  <c r="Z209" i="7"/>
  <c r="AA194" i="7"/>
  <c r="D7" i="16" l="1"/>
  <c r="P7" i="16"/>
  <c r="BV17" i="5"/>
  <c r="D17" i="16" s="1"/>
  <c r="BV127" i="5"/>
  <c r="E124" i="16"/>
  <c r="P124" i="16"/>
  <c r="BV36" i="5"/>
  <c r="D36" i="16" s="1"/>
  <c r="E15" i="16"/>
  <c r="P15" i="16"/>
  <c r="AC204" i="7"/>
  <c r="AC193" i="7"/>
  <c r="AC208" i="7"/>
  <c r="AC206" i="7"/>
  <c r="AC113" i="7"/>
  <c r="AC117" i="7" s="1"/>
  <c r="AD149" i="7"/>
  <c r="AD162" i="7" s="1"/>
  <c r="AG152" i="7"/>
  <c r="AG163" i="7" s="1"/>
  <c r="AH121" i="7"/>
  <c r="AH126" i="7" s="1"/>
  <c r="AF36" i="11"/>
  <c r="AO37" i="11" s="1"/>
  <c r="AF8" i="11"/>
  <c r="AG8" i="11" s="1"/>
  <c r="AH8" i="11" s="1"/>
  <c r="AI8" i="11" s="1"/>
  <c r="AJ8" i="11" s="1"/>
  <c r="AK8" i="11" s="1"/>
  <c r="AL8" i="11" s="1"/>
  <c r="AM8" i="11" s="1"/>
  <c r="AN8" i="11" s="1"/>
  <c r="AF40" i="11"/>
  <c r="BN124" i="5"/>
  <c r="BN127" i="5" s="1"/>
  <c r="BM157" i="5"/>
  <c r="BM128" i="5"/>
  <c r="AA188" i="7"/>
  <c r="AA189" i="7" s="1"/>
  <c r="AB185" i="7" s="1"/>
  <c r="AB194" i="7" s="1"/>
  <c r="AB188" i="7" s="1"/>
  <c r="AA195" i="7"/>
  <c r="P16" i="16" l="1"/>
  <c r="P126" i="16"/>
  <c r="D127" i="16"/>
  <c r="E127" i="16" s="1"/>
  <c r="AA214" i="7"/>
  <c r="AA215" i="7" s="1"/>
  <c r="AB212" i="7" s="1"/>
  <c r="E126" i="16"/>
  <c r="P35" i="16"/>
  <c r="BV37" i="5"/>
  <c r="D37" i="16" s="1"/>
  <c r="AC207" i="7"/>
  <c r="AC277" i="7" s="1"/>
  <c r="AC278" i="7" s="1"/>
  <c r="AD275" i="7" s="1"/>
  <c r="AD113" i="7"/>
  <c r="AD117" i="7" s="1"/>
  <c r="AE149" i="7"/>
  <c r="AE162" i="7" s="1"/>
  <c r="AD165" i="7"/>
  <c r="AD204" i="7" s="1"/>
  <c r="AC205" i="7"/>
  <c r="AC270" i="7" s="1"/>
  <c r="AC271" i="7" s="1"/>
  <c r="AD268" i="7" s="1"/>
  <c r="AC203" i="7"/>
  <c r="AC263" i="7" s="1"/>
  <c r="AC264" i="7" s="1"/>
  <c r="AD261" i="7" s="1"/>
  <c r="AA209" i="7"/>
  <c r="AF41" i="11"/>
  <c r="AG41" i="11" s="1"/>
  <c r="AH41" i="11" s="1"/>
  <c r="AI41" i="11" s="1"/>
  <c r="AJ41" i="11" s="1"/>
  <c r="AK41" i="11" s="1"/>
  <c r="AL41" i="11" s="1"/>
  <c r="AM41" i="11" s="1"/>
  <c r="AN41" i="11" s="1"/>
  <c r="AF44" i="11"/>
  <c r="AF45" i="11" s="1"/>
  <c r="AH152" i="7"/>
  <c r="AH163" i="7" s="1"/>
  <c r="AI121" i="7"/>
  <c r="BN156" i="5"/>
  <c r="BM162" i="5"/>
  <c r="BN128" i="5"/>
  <c r="BN157" i="5"/>
  <c r="BO124" i="5"/>
  <c r="BO127" i="5" s="1"/>
  <c r="P36" i="16" l="1"/>
  <c r="AE165" i="7"/>
  <c r="AE204" i="7" s="1"/>
  <c r="AD206" i="7"/>
  <c r="AD193" i="7"/>
  <c r="AD208" i="7"/>
  <c r="AF149" i="7"/>
  <c r="AF162" i="7" s="1"/>
  <c r="AE113" i="7"/>
  <c r="AE117" i="7" s="1"/>
  <c r="BO157" i="5"/>
  <c r="BO128" i="5"/>
  <c r="BP124" i="5"/>
  <c r="BP127" i="5" s="1"/>
  <c r="BN162" i="5"/>
  <c r="BO156" i="5"/>
  <c r="AI152" i="7"/>
  <c r="AI163" i="7" s="1"/>
  <c r="AI126" i="7"/>
  <c r="AJ121" i="7" s="1"/>
  <c r="AB195" i="7"/>
  <c r="AB189" i="7"/>
  <c r="AC185" i="7" s="1"/>
  <c r="AG43" i="11"/>
  <c r="AG45" i="11" s="1"/>
  <c r="AF51" i="11"/>
  <c r="AH43" i="11" l="1"/>
  <c r="AH45" i="11" s="1"/>
  <c r="AG51" i="11"/>
  <c r="AB214" i="7"/>
  <c r="AB215" i="7" s="1"/>
  <c r="AC212" i="7" s="1"/>
  <c r="AD205" i="7"/>
  <c r="AD270" i="7" s="1"/>
  <c r="AD271" i="7" s="1"/>
  <c r="AE268" i="7" s="1"/>
  <c r="AD207" i="7"/>
  <c r="AD277" i="7" s="1"/>
  <c r="AD278" i="7" s="1"/>
  <c r="AE275" i="7" s="1"/>
  <c r="AF165" i="7"/>
  <c r="AF204" i="7" s="1"/>
  <c r="AE206" i="7"/>
  <c r="AE193" i="7"/>
  <c r="AE203" i="7" s="1"/>
  <c r="AE263" i="7" s="1"/>
  <c r="AE208" i="7"/>
  <c r="AG149" i="7"/>
  <c r="AG162" i="7" s="1"/>
  <c r="AF113" i="7"/>
  <c r="AF117" i="7" s="1"/>
  <c r="AD203" i="7"/>
  <c r="AD263" i="7" s="1"/>
  <c r="AD264" i="7" s="1"/>
  <c r="AE261" i="7" s="1"/>
  <c r="AB209" i="7"/>
  <c r="BO162" i="5"/>
  <c r="BP156" i="5"/>
  <c r="AJ126" i="7"/>
  <c r="AK121" i="7" s="1"/>
  <c r="AJ152" i="7"/>
  <c r="AJ163" i="7" s="1"/>
  <c r="BP157" i="5"/>
  <c r="BP128" i="5"/>
  <c r="BQ124" i="5"/>
  <c r="BQ127" i="5" s="1"/>
  <c r="AC194" i="7"/>
  <c r="AI43" i="11" l="1"/>
  <c r="AI45" i="11" s="1"/>
  <c r="AH51" i="11"/>
  <c r="AE207" i="7"/>
  <c r="AE277" i="7" s="1"/>
  <c r="AE278" i="7" s="1"/>
  <c r="AF275" i="7" s="1"/>
  <c r="AE264" i="7"/>
  <c r="AF261" i="7" s="1"/>
  <c r="AG113" i="7"/>
  <c r="AG117" i="7" s="1"/>
  <c r="AH149" i="7"/>
  <c r="AH162" i="7" s="1"/>
  <c r="AF206" i="7"/>
  <c r="AF193" i="7"/>
  <c r="AF208" i="7"/>
  <c r="AG165" i="7"/>
  <c r="AG204" i="7" s="1"/>
  <c r="AE205" i="7"/>
  <c r="AE270" i="7" s="1"/>
  <c r="AE271" i="7" s="1"/>
  <c r="AF268" i="7" s="1"/>
  <c r="AK126" i="7"/>
  <c r="AL121" i="7" s="1"/>
  <c r="AK152" i="7"/>
  <c r="AK163" i="7" s="1"/>
  <c r="BQ156" i="5"/>
  <c r="BP162" i="5"/>
  <c r="AC188" i="7"/>
  <c r="AC189" i="7" s="1"/>
  <c r="AD185" i="7" s="1"/>
  <c r="AC195" i="7"/>
  <c r="AC214" i="7" s="1"/>
  <c r="AC215" i="7" s="1"/>
  <c r="BQ157" i="5"/>
  <c r="BQ128" i="5"/>
  <c r="BR124" i="5"/>
  <c r="BR127" i="5" s="1"/>
  <c r="AJ43" i="11" l="1"/>
  <c r="AJ45" i="11" s="1"/>
  <c r="AI51" i="11"/>
  <c r="AF207" i="7"/>
  <c r="AF277" i="7" s="1"/>
  <c r="AF278" i="7" s="1"/>
  <c r="AF205" i="7"/>
  <c r="AF270" i="7" s="1"/>
  <c r="AF271" i="7" s="1"/>
  <c r="AG193" i="7"/>
  <c r="AG203" i="7" s="1"/>
  <c r="AG263" i="7" s="1"/>
  <c r="AG206" i="7"/>
  <c r="AG208" i="7"/>
  <c r="AH165" i="7"/>
  <c r="AH204" i="7" s="1"/>
  <c r="AF203" i="7"/>
  <c r="AF263" i="7" s="1"/>
  <c r="AF264" i="7" s="1"/>
  <c r="AG261" i="7" s="1"/>
  <c r="AH113" i="7"/>
  <c r="AH117" i="7" s="1"/>
  <c r="AI149" i="7"/>
  <c r="AI162" i="7" s="1"/>
  <c r="BS124" i="5"/>
  <c r="BS127" i="5" s="1"/>
  <c r="BR157" i="5"/>
  <c r="BR128" i="5"/>
  <c r="AD194" i="7"/>
  <c r="BQ162" i="5"/>
  <c r="BR156" i="5"/>
  <c r="AL126" i="7"/>
  <c r="AM121" i="7" s="1"/>
  <c r="AL152" i="7"/>
  <c r="AL163" i="7" s="1"/>
  <c r="AC209" i="7"/>
  <c r="AK43" i="11" l="1"/>
  <c r="AK45" i="11" s="1"/>
  <c r="AL43" i="11" s="1"/>
  <c r="AL45" i="11" s="1"/>
  <c r="AM43" i="11" s="1"/>
  <c r="AM45" i="11" s="1"/>
  <c r="AN43" i="11" s="1"/>
  <c r="AN45" i="11" s="1"/>
  <c r="AS43" i="11" s="1"/>
  <c r="AS45" i="11" s="1"/>
  <c r="AT43" i="11" s="1"/>
  <c r="AT45" i="11" s="1"/>
  <c r="AT51" i="11" s="1"/>
  <c r="AJ51" i="11"/>
  <c r="AG207" i="7"/>
  <c r="AG277" i="7" s="1"/>
  <c r="AG278" i="7" s="1"/>
  <c r="AH275" i="7" s="1"/>
  <c r="AG205" i="7"/>
  <c r="AG270" i="7" s="1"/>
  <c r="AG271" i="7" s="1"/>
  <c r="AH268" i="7" s="1"/>
  <c r="AG264" i="7"/>
  <c r="AH261" i="7" s="1"/>
  <c r="AJ149" i="7"/>
  <c r="AJ162" i="7" s="1"/>
  <c r="AJ165" i="7" s="1"/>
  <c r="AI113" i="7"/>
  <c r="AI117" i="7" s="1"/>
  <c r="AH206" i="7"/>
  <c r="AH193" i="7"/>
  <c r="AH208" i="7"/>
  <c r="AI165" i="7"/>
  <c r="AD188" i="7"/>
  <c r="AD189" i="7" s="1"/>
  <c r="AE185" i="7" s="1"/>
  <c r="AD195" i="7"/>
  <c r="AD214" i="7" s="1"/>
  <c r="AD215" i="7" s="1"/>
  <c r="AE212" i="7" s="1"/>
  <c r="BT124" i="5"/>
  <c r="BT127" i="5" s="1"/>
  <c r="BS157" i="5"/>
  <c r="BS128" i="5"/>
  <c r="BR162" i="5"/>
  <c r="BS156" i="5"/>
  <c r="AM152" i="7"/>
  <c r="AM163" i="7" s="1"/>
  <c r="AM126" i="7"/>
  <c r="AN121" i="7" s="1"/>
  <c r="AS51" i="11" l="1"/>
  <c r="AU43" i="11"/>
  <c r="AU45" i="11" s="1"/>
  <c r="AV43" i="11" s="1"/>
  <c r="AV45" i="11" s="1"/>
  <c r="AW43" i="11" s="1"/>
  <c r="AW45" i="11" s="1"/>
  <c r="AX43" i="11" s="1"/>
  <c r="AX45" i="11" s="1"/>
  <c r="AY43" i="11" s="1"/>
  <c r="AY45" i="11" s="1"/>
  <c r="AZ43" i="11" s="1"/>
  <c r="AZ45" i="11" s="1"/>
  <c r="BA43" i="11" s="1"/>
  <c r="BA45" i="11" s="1"/>
  <c r="BB43" i="11" s="1"/>
  <c r="BB45" i="11" s="1"/>
  <c r="BC43" i="11" s="1"/>
  <c r="BC45" i="11" s="1"/>
  <c r="BD43" i="11" s="1"/>
  <c r="BD45" i="11" s="1"/>
  <c r="AH205" i="7"/>
  <c r="AH270" i="7" s="1"/>
  <c r="AH271" i="7" s="1"/>
  <c r="AI268" i="7" s="1"/>
  <c r="AH207" i="7"/>
  <c r="AH277" i="7" s="1"/>
  <c r="AH278" i="7" s="1"/>
  <c r="AI275" i="7" s="1"/>
  <c r="AI206" i="7"/>
  <c r="AI193" i="7"/>
  <c r="AI208" i="7"/>
  <c r="AH203" i="7"/>
  <c r="AH263" i="7" s="1"/>
  <c r="AH264" i="7" s="1"/>
  <c r="AI261" i="7" s="1"/>
  <c r="AI204" i="7"/>
  <c r="AJ113" i="7"/>
  <c r="AJ117" i="7" s="1"/>
  <c r="AK149" i="7"/>
  <c r="AK162" i="7" s="1"/>
  <c r="AJ204" i="7"/>
  <c r="AJ208" i="7"/>
  <c r="AJ193" i="7"/>
  <c r="AJ206" i="7"/>
  <c r="BS162" i="5"/>
  <c r="BT156" i="5"/>
  <c r="BT157" i="5"/>
  <c r="BT128" i="5"/>
  <c r="BU124" i="5"/>
  <c r="BU127" i="5" s="1"/>
  <c r="AD209" i="7"/>
  <c r="AN152" i="7"/>
  <c r="AN163" i="7" s="1"/>
  <c r="AN126" i="7"/>
  <c r="AO121" i="7" s="1"/>
  <c r="AE194" i="7"/>
  <c r="AU51" i="11" l="1"/>
  <c r="AV51" i="11"/>
  <c r="AI203" i="7"/>
  <c r="AI263" i="7" s="1"/>
  <c r="AI264" i="7" s="1"/>
  <c r="AJ261" i="7" s="1"/>
  <c r="AJ205" i="7"/>
  <c r="AJ270" i="7" s="1"/>
  <c r="AI207" i="7"/>
  <c r="AI277" i="7" s="1"/>
  <c r="AI278" i="7" s="1"/>
  <c r="AJ275" i="7" s="1"/>
  <c r="AJ203" i="7"/>
  <c r="AJ263" i="7" s="1"/>
  <c r="AI205" i="7"/>
  <c r="AI270" i="7" s="1"/>
  <c r="AI271" i="7" s="1"/>
  <c r="AJ268" i="7" s="1"/>
  <c r="AJ207" i="7"/>
  <c r="AJ277" i="7" s="1"/>
  <c r="AL149" i="7"/>
  <c r="AL162" i="7" s="1"/>
  <c r="AK113" i="7"/>
  <c r="AK117" i="7" s="1"/>
  <c r="AM149" i="7" s="1"/>
  <c r="AK165" i="7"/>
  <c r="AK204" i="7" s="1"/>
  <c r="AO126" i="7"/>
  <c r="AP121" i="7" s="1"/>
  <c r="AO152" i="7"/>
  <c r="AO163" i="7" s="1"/>
  <c r="AE188" i="7"/>
  <c r="AE189" i="7" s="1"/>
  <c r="AF185" i="7" s="1"/>
  <c r="AE195" i="7"/>
  <c r="AE214" i="7" s="1"/>
  <c r="AE215" i="7" s="1"/>
  <c r="AF212" i="7" s="1"/>
  <c r="BU157" i="5"/>
  <c r="BU128" i="5"/>
  <c r="BY124" i="5"/>
  <c r="BU156" i="5"/>
  <c r="BT162" i="5"/>
  <c r="AJ271" i="7" l="1"/>
  <c r="AK268" i="7" s="1"/>
  <c r="AJ264" i="7"/>
  <c r="AK261" i="7" s="1"/>
  <c r="AJ278" i="7"/>
  <c r="AK275" i="7" s="1"/>
  <c r="AK208" i="7"/>
  <c r="AK206" i="7"/>
  <c r="AK193" i="7"/>
  <c r="AK203" i="7" s="1"/>
  <c r="AK263" i="7" s="1"/>
  <c r="AL113" i="7"/>
  <c r="AL117" i="7" s="1"/>
  <c r="AM113" i="7" s="1"/>
  <c r="AM162" i="7"/>
  <c r="AL165" i="7"/>
  <c r="AL204" i="7" s="1"/>
  <c r="AE209" i="7"/>
  <c r="BY127" i="5"/>
  <c r="CK124" i="5"/>
  <c r="CK127" i="5" s="1"/>
  <c r="BV157" i="5"/>
  <c r="D157" i="16" s="1"/>
  <c r="BU162" i="5"/>
  <c r="AF194" i="7"/>
  <c r="AP126" i="7"/>
  <c r="AQ121" i="7" s="1"/>
  <c r="AP152" i="7"/>
  <c r="AP163" i="7" s="1"/>
  <c r="BY156" i="5" l="1"/>
  <c r="P156" i="16"/>
  <c r="AK264" i="7"/>
  <c r="AL261" i="7" s="1"/>
  <c r="AL206" i="7"/>
  <c r="AL208" i="7"/>
  <c r="AL193" i="7"/>
  <c r="AM165" i="7"/>
  <c r="AM204" i="7" s="1"/>
  <c r="AM117" i="7"/>
  <c r="AN149" i="7"/>
  <c r="AN162" i="7" s="1"/>
  <c r="AK205" i="7"/>
  <c r="AK270" i="7" s="1"/>
  <c r="AK271" i="7" s="1"/>
  <c r="AL268" i="7" s="1"/>
  <c r="AK207" i="7"/>
  <c r="AK277" i="7" s="1"/>
  <c r="AK278" i="7" s="1"/>
  <c r="AL275" i="7" s="1"/>
  <c r="BZ124" i="5"/>
  <c r="BZ127" i="5" s="1"/>
  <c r="BY128" i="5"/>
  <c r="BY157" i="5"/>
  <c r="AQ152" i="7"/>
  <c r="AQ163" i="7" s="1"/>
  <c r="AQ126" i="7"/>
  <c r="AR121" i="7" s="1"/>
  <c r="AF195" i="7"/>
  <c r="AF214" i="7" s="1"/>
  <c r="AF215" i="7" s="1"/>
  <c r="AG212" i="7" s="1"/>
  <c r="AF188" i="7"/>
  <c r="AF189" i="7" s="1"/>
  <c r="AG185" i="7" s="1"/>
  <c r="AL205" i="7" l="1"/>
  <c r="AL270" i="7" s="1"/>
  <c r="AL271" i="7" s="1"/>
  <c r="AM268" i="7" s="1"/>
  <c r="AN113" i="7"/>
  <c r="AN117" i="7" s="1"/>
  <c r="AO113" i="7" s="1"/>
  <c r="AO149" i="7"/>
  <c r="AN165" i="7"/>
  <c r="AM206" i="7"/>
  <c r="AM208" i="7"/>
  <c r="AM193" i="7"/>
  <c r="AL207" i="7"/>
  <c r="AL277" i="7" s="1"/>
  <c r="AL278" i="7" s="1"/>
  <c r="AM275" i="7" s="1"/>
  <c r="AL203" i="7"/>
  <c r="AL263" i="7" s="1"/>
  <c r="AL264" i="7" s="1"/>
  <c r="AM261" i="7" s="1"/>
  <c r="AF209" i="7"/>
  <c r="AR126" i="7"/>
  <c r="AS121" i="7" s="1"/>
  <c r="AR152" i="7"/>
  <c r="AR163" i="7" s="1"/>
  <c r="BY162" i="5"/>
  <c r="BZ156" i="5"/>
  <c r="BZ128" i="5"/>
  <c r="BZ157" i="5"/>
  <c r="CA124" i="5"/>
  <c r="CA127" i="5" s="1"/>
  <c r="AG194" i="7"/>
  <c r="AM207" i="7" l="1"/>
  <c r="AM277" i="7" s="1"/>
  <c r="AM278" i="7" s="1"/>
  <c r="AN275" i="7" s="1"/>
  <c r="AM205" i="7"/>
  <c r="AM270" i="7" s="1"/>
  <c r="AM271" i="7" s="1"/>
  <c r="AN268" i="7" s="1"/>
  <c r="AO162" i="7"/>
  <c r="AO165" i="7" s="1"/>
  <c r="AN206" i="7"/>
  <c r="AN193" i="7"/>
  <c r="AN208" i="7"/>
  <c r="AM203" i="7"/>
  <c r="AM263" i="7" s="1"/>
  <c r="AM264" i="7" s="1"/>
  <c r="AN261" i="7" s="1"/>
  <c r="AN204" i="7"/>
  <c r="AO117" i="7"/>
  <c r="AP149" i="7"/>
  <c r="AP162" i="7" s="1"/>
  <c r="CA156" i="5"/>
  <c r="BZ162" i="5"/>
  <c r="AS126" i="7"/>
  <c r="AT121" i="7" s="1"/>
  <c r="AS152" i="7"/>
  <c r="AS163" i="7" s="1"/>
  <c r="AG188" i="7"/>
  <c r="AG189" i="7" s="1"/>
  <c r="AH185" i="7" s="1"/>
  <c r="AG195" i="7"/>
  <c r="AG214" i="7" s="1"/>
  <c r="AG215" i="7" s="1"/>
  <c r="CA157" i="5"/>
  <c r="CA128" i="5"/>
  <c r="CB124" i="5"/>
  <c r="CB127" i="5" s="1"/>
  <c r="AO193" i="7" l="1"/>
  <c r="AO208" i="7"/>
  <c r="AO206" i="7"/>
  <c r="AO204" i="7"/>
  <c r="AN207" i="7"/>
  <c r="AN277" i="7" s="1"/>
  <c r="AN278" i="7" s="1"/>
  <c r="AO275" i="7" s="1"/>
  <c r="AN205" i="7"/>
  <c r="AN270" i="7" s="1"/>
  <c r="AN271" i="7" s="1"/>
  <c r="AO268" i="7" s="1"/>
  <c r="AN203" i="7"/>
  <c r="AN263" i="7" s="1"/>
  <c r="AN264" i="7" s="1"/>
  <c r="AO261" i="7" s="1"/>
  <c r="AP165" i="7"/>
  <c r="AP204" i="7" s="1"/>
  <c r="AQ149" i="7"/>
  <c r="AQ162" i="7" s="1"/>
  <c r="AP113" i="7"/>
  <c r="AP117" i="7" s="1"/>
  <c r="AG209" i="7"/>
  <c r="CB157" i="5"/>
  <c r="CB128" i="5"/>
  <c r="CC124" i="5"/>
  <c r="CC127" i="5" s="1"/>
  <c r="CB156" i="5"/>
  <c r="CA162" i="5"/>
  <c r="AH194" i="7"/>
  <c r="AT126" i="7"/>
  <c r="AU121" i="7" s="1"/>
  <c r="AT152" i="7"/>
  <c r="AT163" i="7" s="1"/>
  <c r="AO203" i="7" l="1"/>
  <c r="AO263" i="7" s="1"/>
  <c r="AO264" i="7" s="1"/>
  <c r="AP261" i="7" s="1"/>
  <c r="AO205" i="7"/>
  <c r="AO270" i="7" s="1"/>
  <c r="AO271" i="7" s="1"/>
  <c r="AP268" i="7" s="1"/>
  <c r="AO207" i="7"/>
  <c r="AO277" i="7" s="1"/>
  <c r="AO278" i="7" s="1"/>
  <c r="AP275" i="7" s="1"/>
  <c r="AQ165" i="7"/>
  <c r="AQ204" i="7" s="1"/>
  <c r="AQ113" i="7"/>
  <c r="AQ117" i="7" s="1"/>
  <c r="AR149" i="7"/>
  <c r="AR162" i="7" s="1"/>
  <c r="AP206" i="7"/>
  <c r="AP208" i="7"/>
  <c r="AP193" i="7"/>
  <c r="AH188" i="7"/>
  <c r="AH189" i="7" s="1"/>
  <c r="AI185" i="7" s="1"/>
  <c r="AH195" i="7"/>
  <c r="AH214" i="7" s="1"/>
  <c r="AH215" i="7" s="1"/>
  <c r="AI212" i="7" s="1"/>
  <c r="CC128" i="5"/>
  <c r="CD124" i="5"/>
  <c r="CD127" i="5" s="1"/>
  <c r="CC157" i="5"/>
  <c r="AU126" i="7"/>
  <c r="AV121" i="7" s="1"/>
  <c r="AU152" i="7"/>
  <c r="AU163" i="7" s="1"/>
  <c r="CB162" i="5"/>
  <c r="CC156" i="5"/>
  <c r="AH209" i="7" l="1"/>
  <c r="AP205" i="7"/>
  <c r="AP270" i="7" s="1"/>
  <c r="AP271" i="7" s="1"/>
  <c r="AQ268" i="7" s="1"/>
  <c r="AP207" i="7"/>
  <c r="AP277" i="7" s="1"/>
  <c r="AP278" i="7" s="1"/>
  <c r="AQ275" i="7" s="1"/>
  <c r="AP203" i="7"/>
  <c r="AP263" i="7" s="1"/>
  <c r="AP264" i="7" s="1"/>
  <c r="AQ261" i="7" s="1"/>
  <c r="AR113" i="7"/>
  <c r="AR117" i="7" s="1"/>
  <c r="AS149" i="7"/>
  <c r="AS162" i="7" s="1"/>
  <c r="AQ206" i="7"/>
  <c r="AQ208" i="7"/>
  <c r="AQ193" i="7"/>
  <c r="AR165" i="7"/>
  <c r="AR204" i="7" s="1"/>
  <c r="AV126" i="7"/>
  <c r="AW121" i="7" s="1"/>
  <c r="AV152" i="7"/>
  <c r="AV163" i="7" s="1"/>
  <c r="CD157" i="5"/>
  <c r="CD128" i="5"/>
  <c r="CE124" i="5"/>
  <c r="CE127" i="5" s="1"/>
  <c r="AI194" i="7"/>
  <c r="CD156" i="5"/>
  <c r="CC162" i="5"/>
  <c r="AQ205" i="7" l="1"/>
  <c r="AQ270" i="7" s="1"/>
  <c r="AQ271" i="7" s="1"/>
  <c r="AR268" i="7" s="1"/>
  <c r="AR206" i="7"/>
  <c r="AR193" i="7"/>
  <c r="AR203" i="7" s="1"/>
  <c r="AR263" i="7" s="1"/>
  <c r="AR208" i="7"/>
  <c r="AQ203" i="7"/>
  <c r="AQ263" i="7" s="1"/>
  <c r="AQ264" i="7" s="1"/>
  <c r="AR261" i="7" s="1"/>
  <c r="AQ207" i="7"/>
  <c r="AQ277" i="7" s="1"/>
  <c r="AQ278" i="7" s="1"/>
  <c r="AR275" i="7" s="1"/>
  <c r="AS165" i="7"/>
  <c r="AS204" i="7" s="1"/>
  <c r="AS113" i="7"/>
  <c r="AS117" i="7" s="1"/>
  <c r="AT149" i="7"/>
  <c r="AT162" i="7" s="1"/>
  <c r="AT165" i="7" s="1"/>
  <c r="AI195" i="7"/>
  <c r="AI214" i="7" s="1"/>
  <c r="AI215" i="7" s="1"/>
  <c r="AJ212" i="7" s="1"/>
  <c r="AI188" i="7"/>
  <c r="AI189" i="7" s="1"/>
  <c r="AJ185" i="7" s="1"/>
  <c r="CE157" i="5"/>
  <c r="CF124" i="5"/>
  <c r="CF127" i="5" s="1"/>
  <c r="CE128" i="5"/>
  <c r="CE156" i="5"/>
  <c r="CD162" i="5"/>
  <c r="AW152" i="7"/>
  <c r="AW163" i="7" s="1"/>
  <c r="AW126" i="7"/>
  <c r="AX121" i="7" s="1"/>
  <c r="AR207" i="7" l="1"/>
  <c r="AR277" i="7" s="1"/>
  <c r="AR278" i="7" s="1"/>
  <c r="AS275" i="7" s="1"/>
  <c r="AI209" i="7"/>
  <c r="AR205" i="7"/>
  <c r="AR270" i="7" s="1"/>
  <c r="AR271" i="7" s="1"/>
  <c r="AS268" i="7" s="1"/>
  <c r="AU149" i="7"/>
  <c r="AU162" i="7" s="1"/>
  <c r="AT113" i="7"/>
  <c r="AT117" i="7" s="1"/>
  <c r="AT204" i="7"/>
  <c r="AT193" i="7"/>
  <c r="AT208" i="7"/>
  <c r="AT206" i="7"/>
  <c r="AR264" i="7"/>
  <c r="AS261" i="7" s="1"/>
  <c r="AS206" i="7"/>
  <c r="AS193" i="7"/>
  <c r="AS203" i="7" s="1"/>
  <c r="AS263" i="7" s="1"/>
  <c r="AS208" i="7"/>
  <c r="CF156" i="5"/>
  <c r="CE162" i="5"/>
  <c r="AX152" i="7"/>
  <c r="AX163" i="7" s="1"/>
  <c r="AX126" i="7"/>
  <c r="AY121" i="7" s="1"/>
  <c r="CF157" i="5"/>
  <c r="CF128" i="5"/>
  <c r="CG124" i="5"/>
  <c r="CG127" i="5" s="1"/>
  <c r="AJ194" i="7"/>
  <c r="AY126" i="7" l="1"/>
  <c r="AZ121" i="7" s="1"/>
  <c r="AY152" i="7"/>
  <c r="AY163" i="7" s="1"/>
  <c r="AT203" i="7"/>
  <c r="AT263" i="7" s="1"/>
  <c r="AT205" i="7"/>
  <c r="AT270" i="7" s="1"/>
  <c r="AT207" i="7"/>
  <c r="AT277" i="7" s="1"/>
  <c r="AS207" i="7"/>
  <c r="AS277" i="7" s="1"/>
  <c r="AS278" i="7" s="1"/>
  <c r="AT275" i="7" s="1"/>
  <c r="AS264" i="7"/>
  <c r="AT261" i="7" s="1"/>
  <c r="AU113" i="7"/>
  <c r="AU117" i="7" s="1"/>
  <c r="AV149" i="7"/>
  <c r="AV162" i="7" s="1"/>
  <c r="AV165" i="7" s="1"/>
  <c r="AV193" i="7" s="1"/>
  <c r="AS205" i="7"/>
  <c r="AS270" i="7" s="1"/>
  <c r="AS271" i="7" s="1"/>
  <c r="AT268" i="7" s="1"/>
  <c r="AU165" i="7"/>
  <c r="AU204" i="7" s="1"/>
  <c r="AJ188" i="7"/>
  <c r="AJ189" i="7" s="1"/>
  <c r="AK185" i="7" s="1"/>
  <c r="AJ195" i="7"/>
  <c r="AJ214" i="7" s="1"/>
  <c r="AJ215" i="7" s="1"/>
  <c r="AK212" i="7" s="1"/>
  <c r="CG157" i="5"/>
  <c r="CH124" i="5"/>
  <c r="CH127" i="5" s="1"/>
  <c r="CG128" i="5"/>
  <c r="CG156" i="5"/>
  <c r="CF162" i="5"/>
  <c r="AZ126" i="7" l="1"/>
  <c r="BA121" i="7" s="1"/>
  <c r="AZ152" i="7"/>
  <c r="AZ163" i="7" s="1"/>
  <c r="AT278" i="7"/>
  <c r="AU275" i="7" s="1"/>
  <c r="AT271" i="7"/>
  <c r="AU268" i="7" s="1"/>
  <c r="AT264" i="7"/>
  <c r="AU261" i="7" s="1"/>
  <c r="AV204" i="7"/>
  <c r="AV208" i="7"/>
  <c r="AV206" i="7"/>
  <c r="AU206" i="7"/>
  <c r="AU208" i="7"/>
  <c r="AU193" i="7"/>
  <c r="AW149" i="7"/>
  <c r="AW162" i="7" s="1"/>
  <c r="AW165" i="7" s="1"/>
  <c r="AW193" i="7" s="1"/>
  <c r="AV113" i="7"/>
  <c r="AV117" i="7" s="1"/>
  <c r="CI124" i="5"/>
  <c r="CI127" i="5" s="1"/>
  <c r="CH157" i="5"/>
  <c r="CH128" i="5"/>
  <c r="AK194" i="7"/>
  <c r="CH156" i="5"/>
  <c r="CG162" i="5"/>
  <c r="AJ209" i="7"/>
  <c r="BA126" i="7" l="1"/>
  <c r="BB121" i="7" s="1"/>
  <c r="BA152" i="7"/>
  <c r="BA163" i="7" s="1"/>
  <c r="AV205" i="7"/>
  <c r="AV270" i="7" s="1"/>
  <c r="AU205" i="7"/>
  <c r="AU270" i="7" s="1"/>
  <c r="AU271" i="7" s="1"/>
  <c r="AV268" i="7" s="1"/>
  <c r="AV207" i="7"/>
  <c r="AV277" i="7" s="1"/>
  <c r="AW204" i="7"/>
  <c r="AW206" i="7"/>
  <c r="AW208" i="7"/>
  <c r="AV203" i="7"/>
  <c r="AV263" i="7" s="1"/>
  <c r="AW113" i="7"/>
  <c r="AW117" i="7" s="1"/>
  <c r="AY149" i="7" s="1"/>
  <c r="AY162" i="7" s="1"/>
  <c r="AX149" i="7"/>
  <c r="AX162" i="7" s="1"/>
  <c r="AU207" i="7"/>
  <c r="AU277" i="7" s="1"/>
  <c r="AU278" i="7" s="1"/>
  <c r="AV275" i="7" s="1"/>
  <c r="AU203" i="7"/>
  <c r="AU263" i="7" s="1"/>
  <c r="AU264" i="7" s="1"/>
  <c r="AV261" i="7" s="1"/>
  <c r="AK195" i="7"/>
  <c r="AK214" i="7" s="1"/>
  <c r="AK215" i="7" s="1"/>
  <c r="AL212" i="7" s="1"/>
  <c r="AK188" i="7"/>
  <c r="AK189" i="7" s="1"/>
  <c r="AL185" i="7" s="1"/>
  <c r="CH162" i="5"/>
  <c r="CI156" i="5"/>
  <c r="CI157" i="5"/>
  <c r="CI128" i="5"/>
  <c r="CJ124" i="5"/>
  <c r="CJ127" i="5" s="1"/>
  <c r="CN124" i="5" s="1"/>
  <c r="AY165" i="7" l="1"/>
  <c r="BB126" i="7"/>
  <c r="BC121" i="7" s="1"/>
  <c r="BB152" i="7"/>
  <c r="BB163" i="7" s="1"/>
  <c r="AX113" i="7"/>
  <c r="AX117" i="7" s="1"/>
  <c r="AZ149" i="7" s="1"/>
  <c r="AZ162" i="7" s="1"/>
  <c r="CZ124" i="5"/>
  <c r="CZ127" i="5" s="1"/>
  <c r="CN127" i="5"/>
  <c r="AV271" i="7"/>
  <c r="AW268" i="7" s="1"/>
  <c r="AK209" i="7"/>
  <c r="AW207" i="7"/>
  <c r="AW277" i="7" s="1"/>
  <c r="AV264" i="7"/>
  <c r="AW261" i="7" s="1"/>
  <c r="AX165" i="7"/>
  <c r="AW203" i="7"/>
  <c r="AW263" i="7" s="1"/>
  <c r="AW205" i="7"/>
  <c r="AW270" i="7" s="1"/>
  <c r="AV278" i="7"/>
  <c r="AW275" i="7" s="1"/>
  <c r="CI162" i="5"/>
  <c r="CJ156" i="5"/>
  <c r="AL194" i="7"/>
  <c r="CJ128" i="5"/>
  <c r="CJ157" i="5"/>
  <c r="AZ165" i="7" l="1"/>
  <c r="AY193" i="7"/>
  <c r="AY208" i="7"/>
  <c r="AY206" i="7"/>
  <c r="AY204" i="7"/>
  <c r="BC126" i="7"/>
  <c r="BD121" i="7" s="1"/>
  <c r="BC152" i="7"/>
  <c r="BC163" i="7" s="1"/>
  <c r="AY113" i="7"/>
  <c r="AY117" i="7" s="1"/>
  <c r="CO124" i="5"/>
  <c r="CO127" i="5" s="1"/>
  <c r="CN157" i="5"/>
  <c r="CN128" i="5"/>
  <c r="AW271" i="7"/>
  <c r="AX268" i="7" s="1"/>
  <c r="AW278" i="7"/>
  <c r="AX206" i="7"/>
  <c r="AX208" i="7"/>
  <c r="AX193" i="7"/>
  <c r="AX204" i="7"/>
  <c r="AW264" i="7"/>
  <c r="AX261" i="7" s="1"/>
  <c r="CK157" i="5"/>
  <c r="CN156" i="5" s="1"/>
  <c r="CJ162" i="5"/>
  <c r="AL195" i="7"/>
  <c r="AL214" i="7" s="1"/>
  <c r="AL215" i="7" s="1"/>
  <c r="AM212" i="7" s="1"/>
  <c r="AL188" i="7"/>
  <c r="AL189" i="7" s="1"/>
  <c r="AM185" i="7" s="1"/>
  <c r="AY203" i="7" l="1"/>
  <c r="AY263" i="7" s="1"/>
  <c r="AY205" i="7"/>
  <c r="AY270" i="7" s="1"/>
  <c r="AY207" i="7"/>
  <c r="AY277" i="7" s="1"/>
  <c r="AZ113" i="7"/>
  <c r="AZ117" i="7" s="1"/>
  <c r="BA149" i="7"/>
  <c r="BA162" i="7" s="1"/>
  <c r="AZ193" i="7"/>
  <c r="AZ208" i="7"/>
  <c r="AZ206" i="7"/>
  <c r="AZ204" i="7"/>
  <c r="CO156" i="5"/>
  <c r="CN162" i="5"/>
  <c r="BD126" i="7"/>
  <c r="BE121" i="7" s="1"/>
  <c r="BD152" i="7"/>
  <c r="BD163" i="7" s="1"/>
  <c r="CO157" i="5"/>
  <c r="CP124" i="5"/>
  <c r="CP127" i="5" s="1"/>
  <c r="CO128" i="5"/>
  <c r="AX203" i="7"/>
  <c r="AX263" i="7" s="1"/>
  <c r="AX264" i="7" s="1"/>
  <c r="AY261" i="7" s="1"/>
  <c r="AX207" i="7"/>
  <c r="AX277" i="7" s="1"/>
  <c r="AX278" i="7" s="1"/>
  <c r="AY275" i="7" s="1"/>
  <c r="AX205" i="7"/>
  <c r="AX270" i="7" s="1"/>
  <c r="AX271" i="7" s="1"/>
  <c r="AY268" i="7" s="1"/>
  <c r="AL209" i="7"/>
  <c r="AM194" i="7"/>
  <c r="AY264" i="7" l="1"/>
  <c r="AZ261" i="7" s="1"/>
  <c r="AZ203" i="7"/>
  <c r="AZ263" i="7" s="1"/>
  <c r="AZ205" i="7"/>
  <c r="AZ270" i="7" s="1"/>
  <c r="AZ207" i="7"/>
  <c r="AZ277" i="7" s="1"/>
  <c r="AY271" i="7"/>
  <c r="AZ268" i="7" s="1"/>
  <c r="AY278" i="7"/>
  <c r="AZ275" i="7" s="1"/>
  <c r="BA165" i="7"/>
  <c r="BA204" i="7" s="1"/>
  <c r="BA113" i="7"/>
  <c r="BA117" i="7" s="1"/>
  <c r="BB149" i="7"/>
  <c r="BB162" i="7" s="1"/>
  <c r="CP156" i="5"/>
  <c r="CO162" i="5"/>
  <c r="BE126" i="7"/>
  <c r="BF121" i="7" s="1"/>
  <c r="BE152" i="7"/>
  <c r="BE163" i="7" s="1"/>
  <c r="CQ124" i="5"/>
  <c r="CQ127" i="5" s="1"/>
  <c r="CP157" i="5"/>
  <c r="CP128" i="5"/>
  <c r="AM188" i="7"/>
  <c r="AM189" i="7" s="1"/>
  <c r="AN185" i="7" s="1"/>
  <c r="AM195" i="7"/>
  <c r="AM214" i="7" s="1"/>
  <c r="AM215" i="7" s="1"/>
  <c r="AN212" i="7" s="1"/>
  <c r="AZ264" i="7" l="1"/>
  <c r="BA261" i="7" s="1"/>
  <c r="AZ271" i="7"/>
  <c r="BA268" i="7" s="1"/>
  <c r="AZ278" i="7"/>
  <c r="BA275" i="7" s="1"/>
  <c r="BB165" i="7"/>
  <c r="BB113" i="7"/>
  <c r="BB117" i="7" s="1"/>
  <c r="BC149" i="7"/>
  <c r="BC162" i="7" s="1"/>
  <c r="BA193" i="7"/>
  <c r="BA203" i="7" s="1"/>
  <c r="BA263" i="7" s="1"/>
  <c r="BA208" i="7"/>
  <c r="BA206" i="7"/>
  <c r="CQ156" i="5"/>
  <c r="CP162" i="5"/>
  <c r="BF126" i="7"/>
  <c r="BG121" i="7" s="1"/>
  <c r="BF152" i="7"/>
  <c r="BF163" i="7" s="1"/>
  <c r="CR124" i="5"/>
  <c r="CR127" i="5" s="1"/>
  <c r="CQ157" i="5"/>
  <c r="CQ128" i="5"/>
  <c r="AN194" i="7"/>
  <c r="AM209" i="7"/>
  <c r="BA264" i="7" l="1"/>
  <c r="BB261" i="7" s="1"/>
  <c r="BA205" i="7"/>
  <c r="BA270" i="7" s="1"/>
  <c r="BA271" i="7" s="1"/>
  <c r="BB268" i="7" s="1"/>
  <c r="BA207" i="7"/>
  <c r="BA277" i="7" s="1"/>
  <c r="BA278" i="7" s="1"/>
  <c r="BB275" i="7" s="1"/>
  <c r="BC165" i="7"/>
  <c r="BC113" i="7"/>
  <c r="BC117" i="7" s="1"/>
  <c r="BD149" i="7"/>
  <c r="BD162" i="7" s="1"/>
  <c r="BB193" i="7"/>
  <c r="BB208" i="7"/>
  <c r="BB206" i="7"/>
  <c r="BB204" i="7"/>
  <c r="CR156" i="5"/>
  <c r="CQ162" i="5"/>
  <c r="BG126" i="7"/>
  <c r="BH121" i="7" s="1"/>
  <c r="BG152" i="7"/>
  <c r="BG163" i="7" s="1"/>
  <c r="CR157" i="5"/>
  <c r="CR128" i="5"/>
  <c r="CS124" i="5"/>
  <c r="CS127" i="5" s="1"/>
  <c r="AN195" i="7"/>
  <c r="AN214" i="7" s="1"/>
  <c r="AN215" i="7" s="1"/>
  <c r="AO212" i="7" s="1"/>
  <c r="AN188" i="7"/>
  <c r="AN189" i="7" s="1"/>
  <c r="AO185" i="7" s="1"/>
  <c r="BB203" i="7" l="1"/>
  <c r="BB263" i="7" s="1"/>
  <c r="BB264" i="7" s="1"/>
  <c r="BC261" i="7" s="1"/>
  <c r="BB205" i="7"/>
  <c r="BB270" i="7" s="1"/>
  <c r="BB271" i="7" s="1"/>
  <c r="BC268" i="7" s="1"/>
  <c r="BB207" i="7"/>
  <c r="BB277" i="7" s="1"/>
  <c r="BB278" i="7" s="1"/>
  <c r="BC275" i="7" s="1"/>
  <c r="BD165" i="7"/>
  <c r="BD204" i="7" s="1"/>
  <c r="BD113" i="7"/>
  <c r="BD117" i="7" s="1"/>
  <c r="BE149" i="7"/>
  <c r="BE162" i="7" s="1"/>
  <c r="BC193" i="7"/>
  <c r="BC208" i="7"/>
  <c r="BC206" i="7"/>
  <c r="BC204" i="7"/>
  <c r="CS156" i="5"/>
  <c r="CR162" i="5"/>
  <c r="BH126" i="7"/>
  <c r="BI121" i="7" s="1"/>
  <c r="BH152" i="7"/>
  <c r="BH163" i="7" s="1"/>
  <c r="CT124" i="5"/>
  <c r="CT127" i="5" s="1"/>
  <c r="CS157" i="5"/>
  <c r="CS128" i="5"/>
  <c r="AN209" i="7"/>
  <c r="AO194" i="7"/>
  <c r="BC203" i="7" l="1"/>
  <c r="BC263" i="7" s="1"/>
  <c r="BC264" i="7" s="1"/>
  <c r="BD261" i="7" s="1"/>
  <c r="BC205" i="7"/>
  <c r="BC270" i="7" s="1"/>
  <c r="BC271" i="7" s="1"/>
  <c r="BD268" i="7" s="1"/>
  <c r="BC207" i="7"/>
  <c r="BC277" i="7" s="1"/>
  <c r="BC278" i="7" s="1"/>
  <c r="BD275" i="7" s="1"/>
  <c r="BD193" i="7"/>
  <c r="BD203" i="7" s="1"/>
  <c r="BD263" i="7" s="1"/>
  <c r="BD208" i="7"/>
  <c r="BD206" i="7"/>
  <c r="BE165" i="7"/>
  <c r="BE113" i="7"/>
  <c r="BE117" i="7" s="1"/>
  <c r="BF149" i="7"/>
  <c r="BF162" i="7" s="1"/>
  <c r="CT156" i="5"/>
  <c r="CS162" i="5"/>
  <c r="BI126" i="7"/>
  <c r="BJ121" i="7" s="1"/>
  <c r="BI152" i="7"/>
  <c r="BI163" i="7" s="1"/>
  <c r="CU124" i="5"/>
  <c r="CU127" i="5" s="1"/>
  <c r="CT157" i="5"/>
  <c r="CT128" i="5"/>
  <c r="AO188" i="7"/>
  <c r="AO189" i="7" s="1"/>
  <c r="AP185" i="7" s="1"/>
  <c r="AO195" i="7"/>
  <c r="AO214" i="7" s="1"/>
  <c r="AO215" i="7" s="1"/>
  <c r="AP212" i="7" s="1"/>
  <c r="BD264" i="7" l="1"/>
  <c r="BE261" i="7" s="1"/>
  <c r="BD205" i="7"/>
  <c r="BD270" i="7" s="1"/>
  <c r="BD271" i="7" s="1"/>
  <c r="BE268" i="7" s="1"/>
  <c r="BD207" i="7"/>
  <c r="BD277" i="7" s="1"/>
  <c r="BD278" i="7" s="1"/>
  <c r="BE275" i="7" s="1"/>
  <c r="BF165" i="7"/>
  <c r="BF204" i="7" s="1"/>
  <c r="BF113" i="7"/>
  <c r="BF117" i="7" s="1"/>
  <c r="BG149" i="7"/>
  <c r="BG162" i="7" s="1"/>
  <c r="BE193" i="7"/>
  <c r="BE208" i="7"/>
  <c r="BE206" i="7"/>
  <c r="BE204" i="7"/>
  <c r="CU156" i="5"/>
  <c r="CT162" i="5"/>
  <c r="BJ126" i="7"/>
  <c r="BJ152" i="7"/>
  <c r="BJ163" i="7" s="1"/>
  <c r="CV124" i="5"/>
  <c r="CV127" i="5" s="1"/>
  <c r="CU157" i="5"/>
  <c r="CU128" i="5"/>
  <c r="AP194" i="7"/>
  <c r="AO209" i="7"/>
  <c r="BE203" i="7" l="1"/>
  <c r="BE263" i="7" s="1"/>
  <c r="BE264" i="7" s="1"/>
  <c r="BF261" i="7" s="1"/>
  <c r="BE205" i="7"/>
  <c r="BE270" i="7" s="1"/>
  <c r="BE271" i="7" s="1"/>
  <c r="BF268" i="7" s="1"/>
  <c r="BE207" i="7"/>
  <c r="BE277" i="7" s="1"/>
  <c r="BE278" i="7" s="1"/>
  <c r="BF275" i="7" s="1"/>
  <c r="BG113" i="7"/>
  <c r="BG117" i="7" s="1"/>
  <c r="BH149" i="7"/>
  <c r="BH162" i="7" s="1"/>
  <c r="BG165" i="7"/>
  <c r="BF193" i="7"/>
  <c r="BF203" i="7" s="1"/>
  <c r="BF263" i="7" s="1"/>
  <c r="BF208" i="7"/>
  <c r="BF206" i="7"/>
  <c r="CV156" i="5"/>
  <c r="CU162" i="5"/>
  <c r="CV157" i="5"/>
  <c r="CV128" i="5"/>
  <c r="CW124" i="5"/>
  <c r="CW127" i="5" s="1"/>
  <c r="AP195" i="7"/>
  <c r="AP214" i="7" s="1"/>
  <c r="AP215" i="7" s="1"/>
  <c r="AQ212" i="7" s="1"/>
  <c r="AP188" i="7"/>
  <c r="AP189" i="7" s="1"/>
  <c r="AQ185" i="7" s="1"/>
  <c r="BF264" i="7" l="1"/>
  <c r="BG261" i="7" s="1"/>
  <c r="BF205" i="7"/>
  <c r="BF270" i="7" s="1"/>
  <c r="BF271" i="7" s="1"/>
  <c r="BG268" i="7" s="1"/>
  <c r="BF207" i="7"/>
  <c r="BF277" i="7" s="1"/>
  <c r="BF278" i="7" s="1"/>
  <c r="BG275" i="7" s="1"/>
  <c r="BH165" i="7"/>
  <c r="BG193" i="7"/>
  <c r="BG208" i="7"/>
  <c r="BG206" i="7"/>
  <c r="BG204" i="7"/>
  <c r="BH113" i="7"/>
  <c r="BH117" i="7" s="1"/>
  <c r="BI149" i="7"/>
  <c r="BI162" i="7" s="1"/>
  <c r="CW156" i="5"/>
  <c r="CV162" i="5"/>
  <c r="CW157" i="5"/>
  <c r="CW128" i="5"/>
  <c r="CX124" i="5"/>
  <c r="CX127" i="5" s="1"/>
  <c r="AP209" i="7"/>
  <c r="AQ194" i="7"/>
  <c r="BG203" i="7" l="1"/>
  <c r="BG263" i="7" s="1"/>
  <c r="BG264" i="7" s="1"/>
  <c r="BH261" i="7" s="1"/>
  <c r="BG205" i="7"/>
  <c r="BG270" i="7" s="1"/>
  <c r="BG271" i="7" s="1"/>
  <c r="BH268" i="7" s="1"/>
  <c r="BG207" i="7"/>
  <c r="BG277" i="7" s="1"/>
  <c r="BG278" i="7" s="1"/>
  <c r="BH275" i="7" s="1"/>
  <c r="BI113" i="7"/>
  <c r="BI117" i="7" s="1"/>
  <c r="BJ113" i="7" s="1"/>
  <c r="BJ117" i="7" s="1"/>
  <c r="BJ149" i="7"/>
  <c r="BJ162" i="7" s="1"/>
  <c r="BH193" i="7"/>
  <c r="BH208" i="7"/>
  <c r="BH206" i="7"/>
  <c r="BH204" i="7"/>
  <c r="BI165" i="7"/>
  <c r="CX156" i="5"/>
  <c r="CW162" i="5"/>
  <c r="CY124" i="5"/>
  <c r="CY127" i="5" s="1"/>
  <c r="CX157" i="5"/>
  <c r="CX128" i="5"/>
  <c r="AQ188" i="7"/>
  <c r="AQ189" i="7" s="1"/>
  <c r="AR185" i="7" s="1"/>
  <c r="AQ195" i="7"/>
  <c r="AQ214" i="7" s="1"/>
  <c r="AQ215" i="7" s="1"/>
  <c r="AR212" i="7" s="1"/>
  <c r="BH203" i="7" l="1"/>
  <c r="BH263" i="7" s="1"/>
  <c r="BH264" i="7" s="1"/>
  <c r="BI261" i="7" s="1"/>
  <c r="BH205" i="7"/>
  <c r="BH270" i="7" s="1"/>
  <c r="BH271" i="7" s="1"/>
  <c r="BI268" i="7" s="1"/>
  <c r="BH207" i="7"/>
  <c r="BH277" i="7" s="1"/>
  <c r="BH278" i="7" s="1"/>
  <c r="BI275" i="7" s="1"/>
  <c r="BI193" i="7"/>
  <c r="BI208" i="7"/>
  <c r="BI206" i="7"/>
  <c r="BI204" i="7"/>
  <c r="BJ165" i="7"/>
  <c r="BJ204" i="7" s="1"/>
  <c r="CY156" i="5"/>
  <c r="CX162" i="5"/>
  <c r="CY157" i="5"/>
  <c r="CY128" i="5"/>
  <c r="AR194" i="7"/>
  <c r="AQ209" i="7"/>
  <c r="BI203" i="7" l="1"/>
  <c r="BI263" i="7" s="1"/>
  <c r="BI264" i="7" s="1"/>
  <c r="BJ261" i="7" s="1"/>
  <c r="BI205" i="7"/>
  <c r="BI270" i="7" s="1"/>
  <c r="BI271" i="7" s="1"/>
  <c r="BJ268" i="7" s="1"/>
  <c r="BI207" i="7"/>
  <c r="BI277" i="7" s="1"/>
  <c r="BI278" i="7" s="1"/>
  <c r="BJ275" i="7" s="1"/>
  <c r="BJ193" i="7"/>
  <c r="BJ203" i="7" s="1"/>
  <c r="BJ263" i="7" s="1"/>
  <c r="BJ208" i="7"/>
  <c r="BJ206" i="7"/>
  <c r="CZ157" i="5"/>
  <c r="CY162" i="5"/>
  <c r="AR195" i="7"/>
  <c r="AR214" i="7" s="1"/>
  <c r="AR215" i="7" s="1"/>
  <c r="AS212" i="7" s="1"/>
  <c r="AR188" i="7"/>
  <c r="AR189" i="7" s="1"/>
  <c r="AS185" i="7" s="1"/>
  <c r="BJ264" i="7" l="1"/>
  <c r="BJ207" i="7"/>
  <c r="BJ277" i="7" s="1"/>
  <c r="BJ278" i="7" s="1"/>
  <c r="BJ205" i="7"/>
  <c r="BJ270" i="7" s="1"/>
  <c r="BJ271" i="7" s="1"/>
  <c r="AS194" i="7"/>
  <c r="AR209" i="7"/>
  <c r="AS188" i="7" l="1"/>
  <c r="AS189" i="7" s="1"/>
  <c r="AT185" i="7" s="1"/>
  <c r="AS195" i="7"/>
  <c r="AS214" i="7" s="1"/>
  <c r="AS215" i="7" s="1"/>
  <c r="AT212" i="7" s="1"/>
  <c r="AS209" i="7" l="1"/>
  <c r="AT194" i="7"/>
  <c r="AT195" i="7" l="1"/>
  <c r="AT214" i="7" s="1"/>
  <c r="AT215" i="7" s="1"/>
  <c r="AU212" i="7" s="1"/>
  <c r="AT188" i="7"/>
  <c r="AT189" i="7" s="1"/>
  <c r="AU185" i="7" s="1"/>
  <c r="AU194" i="7" l="1"/>
  <c r="AT209" i="7"/>
  <c r="AU188" i="7" l="1"/>
  <c r="AU189" i="7" s="1"/>
  <c r="AV185" i="7" s="1"/>
  <c r="AU195" i="7"/>
  <c r="AU214" i="7" s="1"/>
  <c r="AU215" i="7" s="1"/>
  <c r="AV212" i="7" s="1"/>
  <c r="AU209" i="7" l="1"/>
  <c r="AV194" i="7"/>
  <c r="AV195" i="7" l="1"/>
  <c r="AV214" i="7" s="1"/>
  <c r="AV215" i="7" s="1"/>
  <c r="AW212" i="7" s="1"/>
  <c r="AV188" i="7"/>
  <c r="AV189" i="7" s="1"/>
  <c r="AW185" i="7" s="1"/>
  <c r="AW194" i="7" l="1"/>
  <c r="AV209" i="7"/>
  <c r="AW188" i="7" l="1"/>
  <c r="AW189" i="7" s="1"/>
  <c r="AX185" i="7" s="1"/>
  <c r="AW195" i="7"/>
  <c r="AW214" i="7" s="1"/>
  <c r="AW215" i="7" s="1"/>
  <c r="AX212" i="7" s="1"/>
  <c r="AX194" i="7" l="1"/>
  <c r="AW209" i="7"/>
  <c r="AX188" i="7" l="1"/>
  <c r="AX189" i="7" s="1"/>
  <c r="AX195" i="7"/>
  <c r="AX214" i="7" s="1"/>
  <c r="AX215" i="7" s="1"/>
  <c r="AY212" i="7" s="1"/>
  <c r="AY185" i="7" l="1"/>
  <c r="AX209" i="7"/>
  <c r="AY194" i="7" l="1"/>
  <c r="AY195" i="7" l="1"/>
  <c r="AY188" i="7"/>
  <c r="AY189" i="7" s="1"/>
  <c r="AZ185" i="7" s="1"/>
  <c r="AZ194" i="7" s="1"/>
  <c r="AY209" i="7" l="1"/>
  <c r="AY214" i="7"/>
  <c r="AY215" i="7" s="1"/>
  <c r="AZ212" i="7" s="1"/>
  <c r="AZ195" i="7"/>
  <c r="AZ188" i="7"/>
  <c r="AZ189" i="7" s="1"/>
  <c r="BA185" i="7" s="1"/>
  <c r="BA194" i="7" s="1"/>
  <c r="AZ209" i="7" l="1"/>
  <c r="AZ214" i="7"/>
  <c r="AZ215" i="7" s="1"/>
  <c r="BA212" i="7" s="1"/>
  <c r="BA195" i="7"/>
  <c r="BA188" i="7"/>
  <c r="BA189" i="7" s="1"/>
  <c r="BB185" i="7" s="1"/>
  <c r="BB194" i="7" s="1"/>
  <c r="BA209" i="7" l="1"/>
  <c r="BA214" i="7"/>
  <c r="BA215" i="7" s="1"/>
  <c r="BB212" i="7" s="1"/>
  <c r="BB195" i="7"/>
  <c r="BB188" i="7"/>
  <c r="BB189" i="7" s="1"/>
  <c r="BC185" i="7" s="1"/>
  <c r="BC194" i="7" s="1"/>
  <c r="BB209" i="7" l="1"/>
  <c r="BB214" i="7"/>
  <c r="BB215" i="7" s="1"/>
  <c r="BC212" i="7" s="1"/>
  <c r="BC195" i="7"/>
  <c r="BC188" i="7"/>
  <c r="BC189" i="7" s="1"/>
  <c r="BD185" i="7" s="1"/>
  <c r="BD194" i="7" s="1"/>
  <c r="BC209" i="7" l="1"/>
  <c r="BC214" i="7"/>
  <c r="BC215" i="7" s="1"/>
  <c r="BD212" i="7" s="1"/>
  <c r="BD195" i="7"/>
  <c r="BD188" i="7"/>
  <c r="BD189" i="7" s="1"/>
  <c r="BE185" i="7" s="1"/>
  <c r="BE194" i="7" s="1"/>
  <c r="BD209" i="7" l="1"/>
  <c r="BD214" i="7"/>
  <c r="BD215" i="7" s="1"/>
  <c r="BE212" i="7" s="1"/>
  <c r="BE195" i="7"/>
  <c r="BE188" i="7"/>
  <c r="BE189" i="7" s="1"/>
  <c r="BF185" i="7" s="1"/>
  <c r="BF194" i="7" s="1"/>
  <c r="BE209" i="7" l="1"/>
  <c r="BE214" i="7"/>
  <c r="BE215" i="7" s="1"/>
  <c r="BF212" i="7" s="1"/>
  <c r="BF195" i="7"/>
  <c r="BF188" i="7"/>
  <c r="BF189" i="7" s="1"/>
  <c r="BG185" i="7" s="1"/>
  <c r="BG194" i="7" s="1"/>
  <c r="BF209" i="7" l="1"/>
  <c r="BF214" i="7"/>
  <c r="BF215" i="7" s="1"/>
  <c r="BG212" i="7" s="1"/>
  <c r="BG195" i="7"/>
  <c r="BG188" i="7"/>
  <c r="BG189" i="7" s="1"/>
  <c r="BH185" i="7" s="1"/>
  <c r="BH194" i="7" s="1"/>
  <c r="BG209" i="7" l="1"/>
  <c r="BG214" i="7"/>
  <c r="BG215" i="7" s="1"/>
  <c r="BH212" i="7" s="1"/>
  <c r="BH195" i="7"/>
  <c r="BH188" i="7"/>
  <c r="BH189" i="7" s="1"/>
  <c r="BI185" i="7" s="1"/>
  <c r="BI194" i="7" s="1"/>
  <c r="BH209" i="7" l="1"/>
  <c r="BH214" i="7"/>
  <c r="BH215" i="7" s="1"/>
  <c r="BI212" i="7" s="1"/>
  <c r="BI195" i="7"/>
  <c r="BI188" i="7"/>
  <c r="BI189" i="7" s="1"/>
  <c r="BJ185" i="7" s="1"/>
  <c r="BJ194" i="7" s="1"/>
  <c r="BI209" i="7" l="1"/>
  <c r="BI214" i="7"/>
  <c r="BI215" i="7" s="1"/>
  <c r="BJ212" i="7" s="1"/>
  <c r="BJ195" i="7"/>
  <c r="BJ188" i="7"/>
  <c r="BJ189" i="7" s="1"/>
  <c r="BJ209" i="7" l="1"/>
  <c r="BJ214" i="7"/>
  <c r="BJ21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E4" authorId="0" shapeId="0" xr:uid="{15517889-5BC9-470E-A710-4551BC53780B}">
      <text>
        <r>
          <rPr>
            <b/>
            <sz val="9"/>
            <color indexed="81"/>
            <rFont val="Tahoma"/>
            <family val="2"/>
          </rPr>
          <t>Maria:</t>
        </r>
        <r>
          <rPr>
            <sz val="9"/>
            <color indexed="81"/>
            <rFont val="Tahoma"/>
            <family val="2"/>
          </rPr>
          <t xml:space="preserve">
foto de hoy de lo que estimamos para el año</t>
        </r>
      </text>
    </comment>
    <comment ref="B6" authorId="0" shapeId="0" xr:uid="{FC7DD22A-CCB6-4B6B-B6C9-A6B86065A6DB}">
      <text>
        <r>
          <rPr>
            <b/>
            <sz val="9"/>
            <color indexed="81"/>
            <rFont val="Tahoma"/>
            <family val="2"/>
          </rPr>
          <t>Maria:</t>
        </r>
        <r>
          <rPr>
            <sz val="9"/>
            <color indexed="81"/>
            <rFont val="Tahoma"/>
            <family val="2"/>
          </rPr>
          <t xml:space="preserve">
madres fertiles y partos previstos para este ejercicio 25-26</t>
        </r>
      </text>
    </comment>
    <comment ref="E6" authorId="0" shapeId="0" xr:uid="{259FD524-18CB-4D50-9176-BB323B0B927D}">
      <text>
        <r>
          <rPr>
            <b/>
            <sz val="9"/>
            <color indexed="81"/>
            <rFont val="Tahoma"/>
            <family val="2"/>
          </rPr>
          <t>Maria:</t>
        </r>
        <r>
          <rPr>
            <sz val="9"/>
            <color indexed="81"/>
            <rFont val="Tahoma"/>
            <family val="2"/>
          </rPr>
          <t xml:space="preserve">
Metemos las madres de ejercicios anteriores, del actual y madres nuevas que sean fertiles desde el comienzo del ejercicio corriente. 
</t>
        </r>
      </text>
    </comment>
    <comment ref="B8" authorId="0" shapeId="0" xr:uid="{AF76C4F3-806D-4BA2-89A1-0D57EEF96FCB}">
      <text>
        <r>
          <rPr>
            <b/>
            <sz val="9"/>
            <color indexed="81"/>
            <rFont val="Tahoma"/>
            <family val="2"/>
          </rPr>
          <t>Maria:</t>
        </r>
        <r>
          <rPr>
            <sz val="9"/>
            <color indexed="81"/>
            <rFont val="Tahoma"/>
            <family val="2"/>
          </rPr>
          <t xml:space="preserve">
destete de los terneros en el ejercicio actual
</t>
        </r>
      </text>
    </comment>
    <comment ref="B9" authorId="0" shapeId="0" xr:uid="{90F9D860-7CD5-49D0-AAC5-17D19A034018}">
      <text>
        <r>
          <rPr>
            <b/>
            <sz val="9"/>
            <color indexed="81"/>
            <rFont val="Tahoma"/>
            <family val="2"/>
          </rPr>
          <t>Maria:</t>
        </r>
        <r>
          <rPr>
            <sz val="9"/>
            <color indexed="81"/>
            <rFont val="Tahoma"/>
            <family val="2"/>
          </rPr>
          <t xml:space="preserve">
cuantos podemos vender a 200 kg (al destete) de los partos de ejercicio actual y anterior
</t>
        </r>
      </text>
    </comment>
    <comment ref="B10" authorId="0" shapeId="0" xr:uid="{573DCA75-58BB-4757-993A-EA1D7559D4D4}">
      <text>
        <r>
          <rPr>
            <b/>
            <sz val="9"/>
            <color indexed="81"/>
            <rFont val="Tahoma"/>
            <family val="2"/>
          </rPr>
          <t>Maria:</t>
        </r>
        <r>
          <rPr>
            <sz val="9"/>
            <color indexed="81"/>
            <rFont val="Tahoma"/>
            <family val="2"/>
          </rPr>
          <t xml:space="preserve">
en cebo intermedio y cebo remate del ejercicio actual o anterior</t>
        </r>
      </text>
    </comment>
    <comment ref="E10" authorId="0" shapeId="0" xr:uid="{7C92C1A7-5C6F-48BB-949D-ED0306CDCB9C}">
      <text>
        <r>
          <rPr>
            <b/>
            <sz val="9"/>
            <color indexed="81"/>
            <rFont val="Tahoma"/>
            <family val="2"/>
          </rPr>
          <t>Maria:</t>
        </r>
        <r>
          <rPr>
            <sz val="9"/>
            <color indexed="81"/>
            <rFont val="Tahoma"/>
            <family val="2"/>
          </rPr>
          <t xml:space="preserve">
6 remate </t>
        </r>
      </text>
    </comment>
    <comment ref="B14" authorId="0" shapeId="0" xr:uid="{773A3B11-F2EF-4E57-8FE9-1B90C8E0C393}">
      <text>
        <r>
          <rPr>
            <b/>
            <sz val="9"/>
            <color indexed="81"/>
            <rFont val="Tahoma"/>
            <family val="2"/>
          </rPr>
          <t>Maria:</t>
        </r>
        <r>
          <rPr>
            <sz val="9"/>
            <color indexed="81"/>
            <rFont val="Tahoma"/>
            <family val="2"/>
          </rPr>
          <t xml:space="preserve">
Ventas que se producen en el ejercicio actual de nacimeintos de este ejercicio o del anterior (5-6 meses de vida)
</t>
        </r>
      </text>
    </comment>
    <comment ref="K14" authorId="0" shapeId="0" xr:uid="{88E9091B-406D-4C43-8BF7-1000B0C04A2E}">
      <text>
        <r>
          <rPr>
            <b/>
            <sz val="9"/>
            <color indexed="81"/>
            <rFont val="Tahoma"/>
            <family val="2"/>
          </rPr>
          <t>Maria:</t>
        </r>
        <r>
          <rPr>
            <sz val="9"/>
            <color indexed="81"/>
            <rFont val="Tahoma"/>
            <family val="2"/>
          </rPr>
          <t xml:space="preserve">
quitamos 3 para Don Pablo. (alquiler de fincas)
---------------------------------
quitamos 1 para cerreño. (alquiler de fincas) 
----------------------------------
quitamos 5 que retroceden a primales por falta de peso. Pasan a montanera 26-27. </t>
        </r>
      </text>
    </comment>
    <comment ref="B15" authorId="0" shapeId="0" xr:uid="{F693A681-85E3-4865-917F-DE709F622C11}">
      <text>
        <r>
          <rPr>
            <b/>
            <sz val="9"/>
            <color indexed="81"/>
            <rFont val="Tahoma"/>
            <family val="2"/>
          </rPr>
          <t>Maria:</t>
        </r>
        <r>
          <rPr>
            <sz val="9"/>
            <color indexed="81"/>
            <rFont val="Tahoma"/>
            <family val="2"/>
          </rPr>
          <t xml:space="preserve">
Ventas de terneros que se producen en el ejercicio actual pero que vienen de cebo intermedio y son nacimientos de uno o dos ejercicios anteriores (20 meses de edad), salvo vacas de desecho que pueden ser del ejercicio antual o anterior (4 meses de engorde) </t>
        </r>
      </text>
    </comment>
    <comment ref="K15" authorId="0" shapeId="0" xr:uid="{9F391DBC-CC74-4211-A079-99E11942E1CE}">
      <text>
        <r>
          <rPr>
            <b/>
            <sz val="9"/>
            <color indexed="81"/>
            <rFont val="Tahoma"/>
            <family val="2"/>
          </rPr>
          <t>Maria.
quitamos 6 porque no entraban en peso, pasan a montanera 26-27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alfonso</author>
    <author>Maria</author>
    <author>financiero1</author>
    <author>Alfonso Carmona</author>
  </authors>
  <commentList>
    <comment ref="A9" authorId="0" shapeId="0" xr:uid="{5FFC982D-9C13-4512-8297-3042583DD7F9}">
      <text>
        <r>
          <rPr>
            <u/>
            <sz val="9"/>
            <color indexed="81"/>
            <rFont val="Tahoma"/>
            <family val="2"/>
          </rPr>
          <t>Junta de Andalucía (incorporada en la PAC)
"</t>
        </r>
        <r>
          <rPr>
            <sz val="9"/>
            <color indexed="81"/>
            <rFont val="Tahoma"/>
            <family val="2"/>
          </rPr>
          <t>Antiguamente llamado vacas nodrizas"</t>
        </r>
        <r>
          <rPr>
            <u/>
            <sz val="9"/>
            <color indexed="81"/>
            <rFont val="Tahoma"/>
            <family val="2"/>
          </rPr>
          <t xml:space="preserve">
</t>
        </r>
        <r>
          <rPr>
            <sz val="9"/>
            <color indexed="81"/>
            <rFont val="Tahoma"/>
            <family val="2"/>
          </rPr>
          <t>Entidad gestora: Caja Rural
Cantidad concedida: Dependiendo del reparto que haga cada año al UE. 
Previsión: 11.500 Eur 
Fecha de presentación estimada: 30/4 cada año
Fecha de pagos: octubre y diciembre
Periocidad: anual</t>
        </r>
      </text>
    </comment>
    <comment ref="M9" authorId="0" shapeId="0" xr:uid="{767A8494-8E05-494B-866C-FD4F72728B17}">
      <text>
        <r>
          <rPr>
            <u/>
            <sz val="9"/>
            <color indexed="81"/>
            <rFont val="Tahoma"/>
            <family val="2"/>
          </rPr>
          <t>Junta de Andalucía (incorporada en la PAC)
"</t>
        </r>
        <r>
          <rPr>
            <sz val="9"/>
            <color indexed="81"/>
            <rFont val="Tahoma"/>
            <family val="2"/>
          </rPr>
          <t>Antiguamente llamado vacas nodrizas"</t>
        </r>
        <r>
          <rPr>
            <u/>
            <sz val="9"/>
            <color indexed="81"/>
            <rFont val="Tahoma"/>
            <family val="2"/>
          </rPr>
          <t xml:space="preserve">
</t>
        </r>
        <r>
          <rPr>
            <sz val="9"/>
            <color indexed="81"/>
            <rFont val="Tahoma"/>
            <family val="2"/>
          </rPr>
          <t>Entidad gestora: Caja Rural
Cantidad concedida: Dependiendo del reparto que haga cada año al UE. 
Previsión: 11.500 Eur 
Fecha de presentación estimada: 30/4 cada año
Fecha de pagos: octubre y diciembre
Periocidad: anual</t>
        </r>
      </text>
    </comment>
    <comment ref="A10" authorId="0" shapeId="0" xr:uid="{0969B073-5497-489A-8971-CC0C64B89345}">
      <text>
        <r>
          <rPr>
            <u/>
            <sz val="9"/>
            <color indexed="81"/>
            <rFont val="Tahoma"/>
            <family val="2"/>
          </rPr>
          <t xml:space="preserve">Junta de Andalucía (incorporada en la PAC)
</t>
        </r>
        <r>
          <rPr>
            <sz val="9"/>
            <color indexed="81"/>
            <rFont val="Tahoma"/>
            <family val="2"/>
          </rPr>
          <t xml:space="preserve">
Entidad gestora: Caja Rural
Cantidad concedida: cantidad fija cada año 10.321,7
Previsión 20/21: 10,321,70
Fecha de presentación estimada: 30/4 de cada año
Fecha de pagos: julio
Periocidad: anual</t>
        </r>
      </text>
    </comment>
    <comment ref="M10" authorId="0" shapeId="0" xr:uid="{D55677AD-53A3-4DAA-9BE5-7BAF967CCF6A}">
      <text>
        <r>
          <rPr>
            <u/>
            <sz val="9"/>
            <color indexed="81"/>
            <rFont val="Tahoma"/>
            <family val="2"/>
          </rPr>
          <t xml:space="preserve">Junta de Andalucía (incorporada en la PAC)
</t>
        </r>
        <r>
          <rPr>
            <sz val="9"/>
            <color indexed="81"/>
            <rFont val="Tahoma"/>
            <family val="2"/>
          </rPr>
          <t xml:space="preserve">
Entidad gestora: Caja Rural
Cantidad concedida: cantidad fija cada año 10.321,7
Previsión 20/21: 10,321,70
Fecha de presentación estimada: 30/4 de cada año
Fecha de pagos: julio
Periocidad: anual</t>
        </r>
      </text>
    </comment>
    <comment ref="A11" authorId="0" shapeId="0" xr:uid="{8A44C998-137C-40AC-8202-02BE1693EB97}">
      <text>
        <r>
          <rPr>
            <u/>
            <sz val="9"/>
            <color indexed="81"/>
            <rFont val="Tahoma"/>
            <family val="2"/>
          </rPr>
          <t xml:space="preserve">Junta de Andalucía (incorporada en la PAC)
</t>
        </r>
        <r>
          <rPr>
            <sz val="9"/>
            <color indexed="81"/>
            <rFont val="Tahoma"/>
            <family val="2"/>
          </rPr>
          <t xml:space="preserve">
</t>
        </r>
        <r>
          <rPr>
            <b/>
            <sz val="9"/>
            <color indexed="81"/>
            <rFont val="Tahoma"/>
            <family val="2"/>
          </rPr>
          <t>Ayuda basica a la Renta</t>
        </r>
        <r>
          <rPr>
            <sz val="9"/>
            <color indexed="81"/>
            <rFont val="Tahoma"/>
            <family val="2"/>
          </rPr>
          <t xml:space="preserve"> 
"son derechos comprados a Antonio, mal llamados cupos por JP y anitiguamente dchos de pado básico"</t>
        </r>
        <r>
          <rPr>
            <u/>
            <sz val="9"/>
            <color indexed="81"/>
            <rFont val="Tahoma"/>
            <family val="2"/>
          </rPr>
          <t xml:space="preserve">
</t>
        </r>
        <r>
          <rPr>
            <sz val="9"/>
            <color indexed="81"/>
            <rFont val="Tahoma"/>
            <family val="2"/>
          </rPr>
          <t xml:space="preserve">Entidad gestora: Caja Rural
Cantidad concedida: posibilidad de bajas anuales
Previsión: 4550 Eur
Fecha de presentación estimada: 30/4 de cada año
Fecha de pagos: octubre y diciembre
Periocidad: cada año
</t>
        </r>
        <r>
          <rPr>
            <b/>
            <sz val="9"/>
            <color indexed="81"/>
            <rFont val="Tahoma"/>
            <family val="2"/>
          </rPr>
          <t xml:space="preserve">Pago redistributivo 
</t>
        </r>
        <r>
          <rPr>
            <sz val="9"/>
            <color indexed="81"/>
            <rFont val="Tahoma"/>
            <family val="2"/>
          </rPr>
          <t xml:space="preserve">Con el cambio de normativa, eliminaron el pago verde y crearon el pago redistributivo. No es igual ya que no tienes que cumplir unas condiciones, pero sí es bastante inferior ya que es complementario a la ayuda básica a la renta y se concede a las primeras hectáreas de todas las explotaciones utilizandose un umbral de hectáreas para cada región y un importe de valor medio regional. Para las primeras hectáreas y hasta el primer umbral de hectáreas, el pago redistributivo será del 20% del valor medio regional y a partir del primer umbral y hasta el segundo umbral, el pago redistributivo será del 40% del valor medio regional. A partir del segundo umbral de hectáreas, no se concede pago redistributivo. Es un poco complejo...
Entidad gestora: Caja Rural
Cantidad concedida: posibilidad de bajas anuales
Previsión: 2688,59ur
Fecha de presentación estimada: 30/4 de cada año
Fecha de pagos: octubre y diciembre
Periocidad: cada año
</t>
        </r>
      </text>
    </comment>
    <comment ref="M11" authorId="0" shapeId="0" xr:uid="{4E25619A-47EA-4D1D-A5CC-CEB856F2979A}">
      <text>
        <r>
          <rPr>
            <u/>
            <sz val="9"/>
            <color indexed="81"/>
            <rFont val="Tahoma"/>
            <family val="2"/>
          </rPr>
          <t xml:space="preserve">Junta de Andalucía (incorporada en la PAC)
</t>
        </r>
        <r>
          <rPr>
            <sz val="9"/>
            <color indexed="81"/>
            <rFont val="Tahoma"/>
            <family val="2"/>
          </rPr>
          <t xml:space="preserve">
</t>
        </r>
        <r>
          <rPr>
            <b/>
            <sz val="9"/>
            <color indexed="81"/>
            <rFont val="Tahoma"/>
            <family val="2"/>
          </rPr>
          <t>Ayuda basica a la Renta</t>
        </r>
        <r>
          <rPr>
            <sz val="9"/>
            <color indexed="81"/>
            <rFont val="Tahoma"/>
            <family val="2"/>
          </rPr>
          <t xml:space="preserve"> 
"son derechos comprados a Antonio, mal llamados cupos por JP y anitiguamente dchos de pado básico"</t>
        </r>
        <r>
          <rPr>
            <u/>
            <sz val="9"/>
            <color indexed="81"/>
            <rFont val="Tahoma"/>
            <family val="2"/>
          </rPr>
          <t xml:space="preserve">
</t>
        </r>
        <r>
          <rPr>
            <sz val="9"/>
            <color indexed="81"/>
            <rFont val="Tahoma"/>
            <family val="2"/>
          </rPr>
          <t xml:space="preserve">Entidad gestora: Caja Rural
Cantidad concedida: posibilidad de bajas anuales
Previsión: 4550 Eur
Fecha de presentación estimada: 30/4 de cada año
Fecha de pagos: octubre y diciembre
Periocidad: cada año
</t>
        </r>
        <r>
          <rPr>
            <b/>
            <sz val="9"/>
            <color indexed="81"/>
            <rFont val="Tahoma"/>
            <family val="2"/>
          </rPr>
          <t xml:space="preserve">Pago redistributivo 
</t>
        </r>
        <r>
          <rPr>
            <sz val="9"/>
            <color indexed="81"/>
            <rFont val="Tahoma"/>
            <family val="2"/>
          </rPr>
          <t xml:space="preserve">Con el cambio de normativa, eliminaron el pago verde y crearon el pago redistributivo. No es igual ya que no tienes que cumplir unas condiciones, pero sí es bastante inferior ya que es complementario a la ayuda básica a la renta y se concede a las primeras hectáreas de todas las explotaciones utilizandose un umbral de hectáreas para cada región y un importe de valor medio regional. Para las primeras hectáreas y hasta el primer umbral de hectáreas, el pago redistributivo será del 20% del valor medio regional y a partir del primer umbral y hasta el segundo umbral, el pago redistributivo será del 40% del valor medio regional. A partir del segundo umbral de hectáreas, no se concede pago redistributivo. Es un poco complejo...
Entidad gestora: Caja Rural
Cantidad concedida: posibilidad de bajas anuales
Previsión: 2688,59ur
Fecha de presentación estimada: 30/4 de cada año
Fecha de pagos: octubre y diciembre
Periocidad: cada año
</t>
        </r>
      </text>
    </comment>
    <comment ref="A12" authorId="0" shapeId="0" xr:uid="{5588B8E9-9EC0-46A6-8FB9-B8624D8D57F3}">
      <text>
        <r>
          <rPr>
            <u/>
            <sz val="9"/>
            <color indexed="81"/>
            <rFont val="Tahoma"/>
            <family val="2"/>
          </rPr>
          <t xml:space="preserve">Junta de Andalucía (incorporada en la PAC)
</t>
        </r>
        <r>
          <rPr>
            <sz val="9"/>
            <color indexed="81"/>
            <rFont val="Tahoma"/>
            <family val="2"/>
          </rPr>
          <t>Entidad gestora: Caja Rural
Cantidad: 9900 aprox
Fecha de presentación estimada: 30/4 cada año
Fecha de pagos: 
Periocidad: anual</t>
        </r>
      </text>
    </comment>
    <comment ref="M12" authorId="0" shapeId="0" xr:uid="{E9DD43A0-23F6-43B4-B44B-8DEFE5B6EDCA}">
      <text>
        <r>
          <rPr>
            <u/>
            <sz val="9"/>
            <color indexed="81"/>
            <rFont val="Tahoma"/>
            <family val="2"/>
          </rPr>
          <t xml:space="preserve">Junta de Andalucía (incorporada en la PAC)
</t>
        </r>
        <r>
          <rPr>
            <sz val="9"/>
            <color indexed="81"/>
            <rFont val="Tahoma"/>
            <family val="2"/>
          </rPr>
          <t>Entidad gestora: Caja Rural
Cantidad: 9900 aprox
Fecha de presentación estimada: 30/4 cada año
Fecha de pagos: 
Periocidad: anual</t>
        </r>
      </text>
    </comment>
    <comment ref="A13" authorId="0" shapeId="0" xr:uid="{5D9D6E86-98CC-430F-8C6D-1A6CAFECD206}">
      <text>
        <r>
          <rPr>
            <u/>
            <sz val="9"/>
            <color indexed="81"/>
            <rFont val="Tahoma"/>
            <family val="2"/>
          </rPr>
          <t xml:space="preserve">Junta de Andalucía (incorporada en la PAC)
</t>
        </r>
        <r>
          <rPr>
            <sz val="9"/>
            <color indexed="81"/>
            <rFont val="Tahoma"/>
            <family val="2"/>
          </rPr>
          <t>Entidad gestora: Ovipor
Cantidad concedida: dependiendo del consumo de medicamentos. Es un porcentaje?
Previsión 20/21: 
Fecha de presentación estimada:
Fecha de pagos: ¿?
Periocidad: cada año</t>
        </r>
      </text>
    </comment>
    <comment ref="M13" authorId="0" shapeId="0" xr:uid="{A125C749-5EBF-46BE-A136-69EB981D5D94}">
      <text>
        <r>
          <rPr>
            <u/>
            <sz val="9"/>
            <color indexed="81"/>
            <rFont val="Tahoma"/>
            <family val="2"/>
          </rPr>
          <t xml:space="preserve">Junta de Andalucía (incorporada en la PAC)
</t>
        </r>
        <r>
          <rPr>
            <sz val="9"/>
            <color indexed="81"/>
            <rFont val="Tahoma"/>
            <family val="2"/>
          </rPr>
          <t>Entidad gestora: Ovipor
Cantidad concedida: dependiendo del consumo de medicamentos. Es un porcentaje?
Previsión 20/21: 
Fecha de presentación estimada:
Fecha de pagos: ¿?
Periocidad: cada año</t>
        </r>
      </text>
    </comment>
    <comment ref="A14" authorId="0" shapeId="0" xr:uid="{54D2E1A4-4109-46FB-B667-19B30168057C}">
      <text>
        <r>
          <rPr>
            <sz val="9"/>
            <color indexed="81"/>
            <rFont val="Tahoma"/>
            <family val="2"/>
          </rPr>
          <t xml:space="preserve">Junta de Andalucía (para aminorar el coste del seguro)
Entidad gestora: Agroseguro
Cantidad concedida: varia según la junta
Previsión 20/21: 2500
Fecha de presentación estimada:
Fecha de pagos: julio
Periocidad: cada año
</t>
        </r>
      </text>
    </comment>
    <comment ref="M14" authorId="0" shapeId="0" xr:uid="{C768F93D-7F0A-4163-B8F0-6DD6734D2875}">
      <text>
        <r>
          <rPr>
            <sz val="9"/>
            <color indexed="81"/>
            <rFont val="Tahoma"/>
            <family val="2"/>
          </rPr>
          <t xml:space="preserve">Junta de Andalucía (para aminorar el coste del seguro)
Entidad gestora: Agroseguro
Cantidad concedida: varia según la junta
Previsión 20/21: 2500
Fecha de presentación estimada:
Fecha de pagos: julio
Periocidad: cada año
</t>
        </r>
      </text>
    </comment>
    <comment ref="B40" authorId="1" shapeId="0" xr:uid="{425E5BB9-4A89-4A70-A9C4-790FB264CE23}">
      <text>
        <r>
          <rPr>
            <b/>
            <sz val="9"/>
            <color indexed="81"/>
            <rFont val="Tahoma"/>
            <family val="2"/>
          </rPr>
          <t>Maria:</t>
        </r>
        <r>
          <rPr>
            <sz val="9"/>
            <color indexed="81"/>
            <rFont val="Tahoma"/>
            <family val="2"/>
          </rPr>
          <t xml:space="preserve">
actualizamos a venta de 150 paletas. </t>
        </r>
      </text>
    </comment>
    <comment ref="M50" authorId="2" shapeId="0" xr:uid="{552B12D7-3C1D-42E6-B117-08DAB7985247}">
      <text>
        <r>
          <rPr>
            <b/>
            <sz val="9"/>
            <color indexed="81"/>
            <rFont val="Tahoma"/>
            <family val="2"/>
          </rPr>
          <t>financiero1:</t>
        </r>
        <r>
          <rPr>
            <sz val="9"/>
            <color indexed="81"/>
            <rFont val="Tahoma"/>
            <family val="2"/>
          </rPr>
          <t xml:space="preserve">
Control alimentación
 bellota</t>
        </r>
      </text>
    </comment>
    <comment ref="A51" authorId="2" shapeId="0" xr:uid="{72E32AF1-93CE-4F92-B5AF-E847B1E2CABD}">
      <text>
        <r>
          <rPr>
            <b/>
            <sz val="9"/>
            <color indexed="81"/>
            <rFont val="Tahoma"/>
            <family val="2"/>
          </rPr>
          <t>financiero1:</t>
        </r>
        <r>
          <rPr>
            <sz val="9"/>
            <color indexed="81"/>
            <rFont val="Tahoma"/>
            <family val="2"/>
          </rPr>
          <t xml:space="preserve">
Control alimentación
 bellota</t>
        </r>
      </text>
    </comment>
    <comment ref="M62" authorId="0" shapeId="0" xr:uid="{DF6B98A2-9ECE-4A64-AACD-ED038103D3BE}">
      <text>
        <r>
          <rPr>
            <u/>
            <sz val="9"/>
            <color indexed="81"/>
            <rFont val="Tahoma"/>
            <family val="2"/>
          </rPr>
          <t xml:space="preserve">Junta de Andalucía (subvencion Covid)
</t>
        </r>
        <r>
          <rPr>
            <sz val="9"/>
            <color indexed="81"/>
            <rFont val="Tahoma"/>
            <family val="2"/>
          </rPr>
          <t xml:space="preserve">Entidad gestora: Asaja
Cantidad concedida: 3600
Fecha de pagos: sin designar
</t>
        </r>
      </text>
    </comment>
    <comment ref="A63" authorId="0" shapeId="0" xr:uid="{35A3567F-5224-436A-9636-53D122F7C803}">
      <text>
        <r>
          <rPr>
            <u/>
            <sz val="9"/>
            <color indexed="81"/>
            <rFont val="Tahoma"/>
            <family val="2"/>
          </rPr>
          <t xml:space="preserve">Junta de Andalucía (subvencion Covid)
</t>
        </r>
        <r>
          <rPr>
            <sz val="9"/>
            <color indexed="81"/>
            <rFont val="Tahoma"/>
            <family val="2"/>
          </rPr>
          <t xml:space="preserve">Entidad gestora: Asaja
Cantidad concedida: 3600
Fecha de pagos: sin designar
</t>
        </r>
      </text>
    </comment>
    <comment ref="M94" authorId="0" shapeId="0" xr:uid="{E2FF4239-C87B-47B0-BB43-503BA93F3863}">
      <text>
        <r>
          <rPr>
            <b/>
            <sz val="9"/>
            <color indexed="81"/>
            <rFont val="Tahoma"/>
            <family val="2"/>
          </rPr>
          <t>alfonso:</t>
        </r>
        <r>
          <rPr>
            <sz val="9"/>
            <color indexed="81"/>
            <rFont val="Tahoma"/>
            <family val="2"/>
          </rPr>
          <t xml:space="preserve">
IBI, Registro mercantil, Impuesto vehiculos</t>
        </r>
      </text>
    </comment>
    <comment ref="A95" authorId="0" shapeId="0" xr:uid="{204BC981-D1C0-4F1C-BB57-1E18B228FD14}">
      <text>
        <r>
          <rPr>
            <b/>
            <sz val="9"/>
            <color indexed="81"/>
            <rFont val="Tahoma"/>
            <family val="2"/>
          </rPr>
          <t>alfonso:</t>
        </r>
        <r>
          <rPr>
            <sz val="9"/>
            <color indexed="81"/>
            <rFont val="Tahoma"/>
            <family val="2"/>
          </rPr>
          <t xml:space="preserve">
IBI, Registro mercantil, Impuesto vehiculos</t>
        </r>
      </text>
    </comment>
    <comment ref="M96" authorId="0" shapeId="0" xr:uid="{415CE2AF-A20D-4B7A-9E8D-DE3098314876}">
      <text>
        <r>
          <rPr>
            <b/>
            <sz val="9"/>
            <color indexed="81"/>
            <rFont val="Tahoma"/>
            <family val="2"/>
          </rPr>
          <t>Cada vez que se rellena, el 50% nos facturan a Molino y el otro a Antonio.</t>
        </r>
      </text>
    </comment>
    <comment ref="A97" authorId="0" shapeId="0" xr:uid="{86D37665-56F0-40DC-85D5-917E670F1927}">
      <text>
        <r>
          <rPr>
            <b/>
            <sz val="9"/>
            <color indexed="81"/>
            <rFont val="Tahoma"/>
            <family val="2"/>
          </rPr>
          <t>Cada vez que se rellena, el 50% nos facturan a Molino y el otro a Antonio.</t>
        </r>
      </text>
    </comment>
    <comment ref="M97" authorId="0" shapeId="0" xr:uid="{3CA5C079-6F7E-4CAD-BC0C-2BE2409B89CD}">
      <text>
        <r>
          <rPr>
            <b/>
            <sz val="9"/>
            <color indexed="81"/>
            <rFont val="Tahoma"/>
            <family val="2"/>
          </rPr>
          <t>Cada 3 o 4 meses se suman los litros consumidos (que se anotan al echar), y desde Molino le pedimos a Hnos Horata que rellene esos litros y nos los facture a Molino, como pago a Antonio, quedando al día este concepto</t>
        </r>
      </text>
    </comment>
    <comment ref="A98" authorId="0" shapeId="0" xr:uid="{296541CE-0C05-4654-9A79-3FEB2C04E9E1}">
      <text>
        <r>
          <rPr>
            <b/>
            <sz val="9"/>
            <color indexed="81"/>
            <rFont val="Tahoma"/>
            <family val="2"/>
          </rPr>
          <t>Cada 3 o 4 meses se suman los litros consumidos (que se anotan al echar), y desde Molino le pedimos a Hnos Horata que rellene esos litros y nos los facture a Molino, como pago a Antonio, quedando al día este concepto</t>
        </r>
      </text>
    </comment>
    <comment ref="M98" authorId="0" shapeId="0" xr:uid="{644CA197-A564-4D50-90C5-06C5E38C8C86}">
      <text>
        <r>
          <rPr>
            <b/>
            <sz val="9"/>
            <color indexed="81"/>
            <rFont val="Tahoma"/>
            <family val="2"/>
          </rPr>
          <t xml:space="preserve">Finca Sebastian -Nene- q linda con Cerreño:
</t>
        </r>
        <r>
          <rPr>
            <sz val="9"/>
            <color indexed="81"/>
            <rFont val="Tahoma"/>
            <family val="2"/>
          </rPr>
          <t xml:space="preserve">Firmado abril 2023 a sept 2027 documento informal. Intentar hacer contarto formal.
15 Has x 30 Eur/Ha y año.
Pagos cada Septiembre transfer.
---------------------
</t>
        </r>
        <r>
          <rPr>
            <b/>
            <sz val="9"/>
            <color indexed="81"/>
            <rFont val="Tahoma"/>
            <family val="2"/>
          </rPr>
          <t xml:space="preserve">Julio Pica - cuñado Sebastian Nene- Linda con Corchas. (Alquilaba los pastos de Manolo Ruiz)
</t>
        </r>
        <r>
          <rPr>
            <sz val="9"/>
            <color indexed="81"/>
            <rFont val="Tahoma"/>
            <family val="2"/>
          </rPr>
          <t xml:space="preserve">Apalabrado mayo 2023 a ago 2027 sin documentar. Intentar hacer contarto formal.
32 Eur/ha x 50 has = 1600 Eur/año.
Pagos cada Septiembre efectivo.
--------------------
Fincas estrechas q no lindan:
</t>
        </r>
        <r>
          <rPr>
            <b/>
            <sz val="9"/>
            <color indexed="81"/>
            <rFont val="Tahoma"/>
            <family val="2"/>
          </rPr>
          <t xml:space="preserve">CHOTO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RUBILLO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MARIANO
</t>
        </r>
        <r>
          <rPr>
            <sz val="9"/>
            <color indexed="81"/>
            <rFont val="Tahoma"/>
            <family val="2"/>
          </rPr>
          <t xml:space="preserve">Apalabrado año a año, sin compromiso temporal.
300 Eur/año a pagar en dic de cada año efectivo.
-----------------------
</t>
        </r>
      </text>
    </comment>
    <comment ref="A99" authorId="0" shapeId="0" xr:uid="{1357C372-0497-4C72-BAF3-ECCA1C616208}">
      <text>
        <r>
          <rPr>
            <b/>
            <sz val="9"/>
            <color indexed="81"/>
            <rFont val="Tahoma"/>
            <family val="2"/>
          </rPr>
          <t xml:space="preserve">Finca Sebastian -Nene- q linda con Cerreño:
</t>
        </r>
        <r>
          <rPr>
            <sz val="9"/>
            <color indexed="81"/>
            <rFont val="Tahoma"/>
            <family val="2"/>
          </rPr>
          <t xml:space="preserve">Firmado abril 2023 a sept 2027 documento informal. Intentar hacer contarto formal.
15 Has x 30 Eur/Ha y año.
Pagos cada Septiembre transfer.
---------------------
</t>
        </r>
        <r>
          <rPr>
            <b/>
            <sz val="9"/>
            <color indexed="81"/>
            <rFont val="Tahoma"/>
            <family val="2"/>
          </rPr>
          <t xml:space="preserve">Julio Pica - cuñado Sebastian Nene- Linda con Corchas. (Alquilaba los pastos de Manolo Ruiz)
</t>
        </r>
        <r>
          <rPr>
            <sz val="9"/>
            <color indexed="81"/>
            <rFont val="Tahoma"/>
            <family val="2"/>
          </rPr>
          <t xml:space="preserve">Apalabrado mayo 2023 a ago 2027 sin documentar. Intentar hacer contarto formal.
32 Eur/ha x 50 has = 1600 Eur/año.
Pagos cada Septiembre efectivo.
--------------------
Fincas estrechas q no lindan:
</t>
        </r>
        <r>
          <rPr>
            <b/>
            <sz val="9"/>
            <color indexed="81"/>
            <rFont val="Tahoma"/>
            <family val="2"/>
          </rPr>
          <t xml:space="preserve">CHOTO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RUBILLO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MARIANO
</t>
        </r>
        <r>
          <rPr>
            <sz val="9"/>
            <color indexed="81"/>
            <rFont val="Tahoma"/>
            <family val="2"/>
          </rPr>
          <t xml:space="preserve">Apalabrado año a año, sin compromiso temporal.
300 Eur/año a pagar en dic de cada año efectivo.
-----------------------
</t>
        </r>
      </text>
    </comment>
    <comment ref="M99" authorId="0" shapeId="0" xr:uid="{943AFA42-5BF3-4E4A-82BD-DC3570FBB91D}">
      <text>
        <r>
          <rPr>
            <sz val="9"/>
            <color indexed="81"/>
            <rFont val="Tahoma"/>
            <family val="2"/>
          </rPr>
          <t>Antiguamente: 
Alfonso de administrador (ya no) 
Pepe, Andres L Gaston y Nuria (ya de baja)
Actualmente:
Esteban Fariña, Francisco Lopez Galamba (leña)
Eduardo extras y Bartola limpiadora.</t>
        </r>
      </text>
    </comment>
    <comment ref="A100" authorId="0" shapeId="0" xr:uid="{8AAD91C2-DECA-4C7F-964F-FCCE9A0D09AE}">
      <text>
        <r>
          <rPr>
            <sz val="9"/>
            <color indexed="81"/>
            <rFont val="Tahoma"/>
            <family val="2"/>
          </rPr>
          <t xml:space="preserve">Limpiadora, Manolito refo, registros Ana Mari…
Gurumelos, Jara, Caza…
Gurumelos 2026 (2660 Eur)
Gibraleón en Julio: 400x2pers =800
San Juan I en Corchas: 350x3pers =1050
San Juan II en Corte: 270x3pers =810 
</t>
        </r>
      </text>
    </comment>
    <comment ref="M101" authorId="3" shapeId="0" xr:uid="{879150DD-5822-4029-9969-AD6D4AC95916}">
      <text>
        <r>
          <rPr>
            <b/>
            <sz val="9"/>
            <color indexed="81"/>
            <rFont val="Tahoma"/>
            <family val="2"/>
          </rPr>
          <t xml:space="preserve">Conversación previa compra Finca:
Trabaja 30 dias sin vacaciones y el se organiza sus días libres, montería... siempre dejándolo todo cuidado. Vienen sus 4 amigos de confianza solo a las tórtolas, que son socios del coto. 
Salario 1200 eur/líquidos y un cochino para el.
Mantenimiento casas. 
</t>
        </r>
      </text>
    </comment>
    <comment ref="A102" authorId="3" shapeId="0" xr:uid="{9A8DBB41-4C29-4E24-BD35-E8793C5F94E7}">
      <text>
        <r>
          <rPr>
            <b/>
            <sz val="9"/>
            <color indexed="81"/>
            <rFont val="Tahoma"/>
            <family val="2"/>
          </rPr>
          <t xml:space="preserve">Conversación previa compra Finca:
Trabaja 30 dias sin vacaciones y el se organiza sus días libres, montería... siempre dejándolo todo cuidado. Vienen sus 4 amigos de confianza solo a las tórtolas, que son socios del coto. 
Salario 1200 eur/líquidos y un cochino para el.
Mantenimiento casas. 
</t>
        </r>
      </text>
    </comment>
    <comment ref="M107" authorId="0" shapeId="0" xr:uid="{6C5F90B1-5256-4034-A514-3B32E0C95E6B}">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A108" authorId="0" shapeId="0" xr:uid="{48A32F79-A70E-4566-9E45-358CE0162C81}">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M108" authorId="0" shapeId="0" xr:uid="{79CFA992-C666-4B2E-8F70-ACC27BC5B5E1}">
      <text>
        <r>
          <rPr>
            <b/>
            <sz val="9"/>
            <color indexed="81"/>
            <rFont val="Tahoma"/>
            <family val="2"/>
          </rPr>
          <t xml:space="preserve">2021
</t>
        </r>
        <r>
          <rPr>
            <sz val="9"/>
            <color indexed="81"/>
            <rFont val="Tahoma"/>
            <family val="2"/>
          </rPr>
          <t>Sinver 313,67 + iva mensuales.
Imputamos medio año a molino y medio a nixal</t>
        </r>
      </text>
    </comment>
    <comment ref="A109" authorId="0" shapeId="0" xr:uid="{B0419600-EC11-4EFF-AC7F-4947F73801CB}">
      <text>
        <r>
          <rPr>
            <b/>
            <sz val="9"/>
            <color indexed="81"/>
            <rFont val="Tahoma"/>
            <family val="2"/>
          </rPr>
          <t xml:space="preserve">2021
</t>
        </r>
        <r>
          <rPr>
            <sz val="9"/>
            <color indexed="81"/>
            <rFont val="Tahoma"/>
            <family val="2"/>
          </rPr>
          <t>Sinver 313,67 + iva mensuales.
Imputamos medio año a molino y medio a nixal</t>
        </r>
      </text>
    </comment>
    <comment ref="M148" authorId="0" shapeId="0" xr:uid="{6446B4DD-6805-4B6B-9474-38AA498FE2AB}">
      <text>
        <r>
          <rPr>
            <b/>
            <sz val="9"/>
            <color indexed="81"/>
            <rFont val="Tahoma"/>
            <family val="2"/>
          </rPr>
          <t>alfonso:</t>
        </r>
        <r>
          <rPr>
            <sz val="9"/>
            <color indexed="81"/>
            <rFont val="Tahoma"/>
            <family val="2"/>
          </rPr>
          <t xml:space="preserve">
Prestamos de NIxal</t>
        </r>
      </text>
    </comment>
    <comment ref="A149" authorId="0" shapeId="0" xr:uid="{0E33929C-2429-436A-AC4C-D6097E8E9FEE}">
      <text>
        <r>
          <rPr>
            <b/>
            <sz val="9"/>
            <color indexed="81"/>
            <rFont val="Tahoma"/>
            <family val="2"/>
          </rPr>
          <t>alfonso:</t>
        </r>
        <r>
          <rPr>
            <sz val="9"/>
            <color indexed="81"/>
            <rFont val="Tahoma"/>
            <family val="2"/>
          </rPr>
          <t xml:space="preserve">
Prestamos de NIxal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programas4</author>
    <author>Alfonso Carmona</author>
    <author>Maria</author>
    <author>alfonso</author>
    <author>recepción</author>
    <author>financiero1</author>
  </authors>
  <commentList>
    <comment ref="AF4" authorId="0" shapeId="0" xr:uid="{F667A0CC-D39A-48A8-89D2-9AC74F9A9108}">
      <text>
        <r>
          <rPr>
            <b/>
            <sz val="9"/>
            <color indexed="81"/>
            <rFont val="Tahoma"/>
            <family val="2"/>
          </rPr>
          <t>Fra  Nº. 6 La flor de las cruces del 09/10/23.</t>
        </r>
        <r>
          <rPr>
            <sz val="9"/>
            <color indexed="81"/>
            <rFont val="Tahoma"/>
            <family val="2"/>
          </rPr>
          <t xml:space="preserve">
venta 61 terneros media 190 Kg 
Precio al bajo de lonja segunda (2,89 Eur/Kg machos y 2,12 Eur/Kg hembras. Peso final descontado 3%: 
machos 7688,45 Kg
hembras 3703,23 Kg
33077,51 Eur Abonado: 10/10/23.</t>
        </r>
      </text>
    </comment>
    <comment ref="AG4" authorId="0" shapeId="0" xr:uid="{D20A68B2-8B0D-4485-A08D-607553230AC4}">
      <text>
        <r>
          <rPr>
            <b/>
            <sz val="9"/>
            <color indexed="81"/>
            <rFont val="Tahoma"/>
            <family val="2"/>
          </rPr>
          <t xml:space="preserve">Fra 19 Ganados Goncer TCEA del 28/11/23.
</t>
        </r>
        <r>
          <rPr>
            <sz val="9"/>
            <color indexed="81"/>
            <rFont val="Tahoma"/>
            <family val="2"/>
          </rPr>
          <t>36 machos y 17 hembras: 50.600,00€
Abonado: 28/11/23.</t>
        </r>
      </text>
    </comment>
    <comment ref="AI4" authorId="0" shapeId="0" xr:uid="{E8D58A03-F5E2-4B27-A073-339FF8C83ADB}">
      <text>
        <r>
          <rPr>
            <b/>
            <sz val="9"/>
            <color indexed="81"/>
            <rFont val="Tahoma"/>
            <family val="2"/>
          </rPr>
          <t xml:space="preserve">Fra 36 La Flor de las Cruces del 02/01/24.
</t>
        </r>
        <r>
          <rPr>
            <sz val="9"/>
            <color indexed="81"/>
            <rFont val="Tahoma"/>
            <family val="2"/>
          </rPr>
          <t xml:space="preserve">25 machos y 33 hembras: 28.971,32€. Abonado por transfer a Caixa: 02/01/24.
3000 abonado por caja el 2/1/24
---------------------------------------------------
</t>
        </r>
        <r>
          <rPr>
            <b/>
            <sz val="9"/>
            <color indexed="81"/>
            <rFont val="Tahoma"/>
            <family val="2"/>
          </rPr>
          <t>Fra Agricola y ganadero Prado Rey del 08/1/24.</t>
        </r>
        <r>
          <rPr>
            <sz val="9"/>
            <color indexed="81"/>
            <rFont val="Tahoma"/>
            <family val="2"/>
          </rPr>
          <t xml:space="preserve">
3 machos y 9 hembras: 5.112,56€.
Llega un ingreso por 4.752,84€, descuentan 359,72€ por comisiones del corredor, solicitada fra el 09 y 22/01/24, OK fra recibida
4.752,84€: Abonado: 10/01/24.
---------------------------------------------------</t>
        </r>
      </text>
    </comment>
    <comment ref="AL4" authorId="0" shapeId="0" xr:uid="{BB0CF556-F7DC-45D6-9B3F-5A115C28F74C}">
      <text>
        <r>
          <rPr>
            <b/>
            <sz val="9"/>
            <color rgb="FF000000"/>
            <rFont val="Tahoma"/>
            <family val="2"/>
          </rPr>
          <t xml:space="preserve">Fra 59 juan Antonio garcia del 29/03/24,
</t>
        </r>
        <r>
          <rPr>
            <sz val="9"/>
            <color rgb="FF000000"/>
            <rFont val="Tahoma"/>
            <family val="2"/>
          </rPr>
          <t xml:space="preserve">11 terneros y 14 terneras: 17.578,74€. 
</t>
        </r>
        <r>
          <rPr>
            <sz val="9"/>
            <color rgb="FF000000"/>
            <rFont val="Tahoma"/>
            <family val="2"/>
          </rPr>
          <t>Abonado: 09/04/24</t>
        </r>
      </text>
    </comment>
    <comment ref="AM4" authorId="1" shapeId="0" xr:uid="{0536A2B5-78FD-4926-9C0A-690943DE9D37}">
      <text>
        <r>
          <rPr>
            <b/>
            <sz val="9"/>
            <color indexed="81"/>
            <rFont val="Tahoma"/>
            <family val="2"/>
          </rPr>
          <t>Alfonso Carmona:</t>
        </r>
        <r>
          <rPr>
            <sz val="9"/>
            <color indexed="81"/>
            <rFont val="Tahoma"/>
            <family val="2"/>
          </rPr>
          <t xml:space="preserve">
980 Eur de ternero macho Angus puero vendido a Carlos Roque para vida. Pagado en Mano a caja. </t>
        </r>
      </text>
    </comment>
    <comment ref="AN4" authorId="0" shapeId="0" xr:uid="{9984970A-8B95-4455-A65D-96B39EBE4940}">
      <text>
        <r>
          <rPr>
            <b/>
            <sz val="9"/>
            <color indexed="81"/>
            <rFont val="Tahoma"/>
            <family val="2"/>
          </rPr>
          <t xml:space="preserve">Fra 77 juan Antonio garcia del 06/06/24.
</t>
        </r>
        <r>
          <rPr>
            <sz val="9"/>
            <color indexed="81"/>
            <rFont val="Tahoma"/>
            <family val="2"/>
          </rPr>
          <t>13 terneros y 8 terneras: 17.671,47€ 
Abonado: 10/06/24</t>
        </r>
      </text>
    </comment>
    <comment ref="AP4" authorId="0" shapeId="0" xr:uid="{EB202C85-87F8-4ED4-90D4-75C52540BC85}">
      <text>
        <r>
          <rPr>
            <b/>
            <sz val="9"/>
            <color indexed="81"/>
            <rFont val="Tahoma"/>
            <family val="2"/>
          </rPr>
          <t xml:space="preserve">Fra 86 Juan Antonio Garcia del 05/08/24.
</t>
        </r>
        <r>
          <rPr>
            <sz val="9"/>
            <color indexed="81"/>
            <rFont val="Tahoma"/>
            <family val="2"/>
          </rPr>
          <t>5 terneros y 9 terneras: 10.727,95€ 
Abonado: 07/08/24</t>
        </r>
      </text>
    </comment>
    <comment ref="AU4" authorId="2" shapeId="0" xr:uid="{0E3BB5B5-E6DC-476B-8352-241325DA1E60}">
      <text>
        <r>
          <rPr>
            <b/>
            <sz val="9"/>
            <color indexed="81"/>
            <rFont val="Tahoma"/>
            <family val="2"/>
          </rPr>
          <t>Maria:</t>
        </r>
        <r>
          <rPr>
            <sz val="9"/>
            <color indexed="81"/>
            <rFont val="Tahoma"/>
            <family val="2"/>
          </rPr>
          <t xml:space="preserve">
</t>
        </r>
        <r>
          <rPr>
            <b/>
            <sz val="9"/>
            <color indexed="81"/>
            <rFont val="Tahoma"/>
            <family val="2"/>
          </rPr>
          <t>Fra 90 Juan Antonio Garcia del 12/09/24.</t>
        </r>
        <r>
          <rPr>
            <sz val="9"/>
            <color indexed="81"/>
            <rFont val="Tahoma"/>
            <family val="2"/>
          </rPr>
          <t xml:space="preserve">
5 terneras y 16 terneros: 19.401,76€ 
Abonado:20/09/24</t>
        </r>
      </text>
    </comment>
    <comment ref="AX4" authorId="2" shapeId="0" xr:uid="{4C25B91F-77D3-4F79-9582-22C155E62917}">
      <text>
        <r>
          <rPr>
            <b/>
            <sz val="9"/>
            <color indexed="81"/>
            <rFont val="Tahoma"/>
            <family val="2"/>
          </rPr>
          <t>Rosa:</t>
        </r>
        <r>
          <rPr>
            <sz val="9"/>
            <color indexed="81"/>
            <rFont val="Tahoma"/>
            <family val="2"/>
          </rPr>
          <t xml:space="preserve">
</t>
        </r>
        <r>
          <rPr>
            <b/>
            <sz val="9"/>
            <color indexed="81"/>
            <rFont val="Tahoma"/>
            <family val="2"/>
          </rPr>
          <t>Fra 107 Sabor Sotomonte del 12/12/24.</t>
        </r>
        <r>
          <rPr>
            <sz val="9"/>
            <color indexed="81"/>
            <rFont val="Tahoma"/>
            <family val="2"/>
          </rPr>
          <t xml:space="preserve">
3 terneros macho Angus: 3.000€ IVA incl
3.000€: 
Abonado Caixa: 14/12/24
Info ALF 12/12: Nos hará este pago y la semana que viene cuando los cargue le enviamos otra por el pico restante según los pesemos. Serán unos 300 Eur.
--------------------------------------------
</t>
        </r>
      </text>
    </comment>
    <comment ref="AY4" authorId="2" shapeId="0" xr:uid="{1C6D48B9-A5FC-44C7-9C5F-9D1455EB34AA}">
      <text>
        <r>
          <rPr>
            <b/>
            <sz val="9"/>
            <color indexed="81"/>
            <rFont val="Tahoma"/>
            <family val="2"/>
          </rPr>
          <t>Maria:</t>
        </r>
        <r>
          <rPr>
            <sz val="9"/>
            <color indexed="81"/>
            <rFont val="Tahoma"/>
            <family val="2"/>
          </rPr>
          <t xml:space="preserve">
Fra 111 Sabor Sotomonte del 23/12/24.
Ajuste de precio: 444,77€. 
Abonado Caixa:10/01/25
-------------------------------------------
Fra 114 Juan Antonio Garcia del 31/12/24.
3 terneras y 3 terneros: 7.493,05€ 
Abonado: 14/04/25</t>
        </r>
      </text>
    </comment>
    <comment ref="BA4" authorId="2" shapeId="0" xr:uid="{81FE2146-BB1D-4801-BCCC-6262E73A74DD}">
      <text>
        <r>
          <rPr>
            <b/>
            <sz val="9"/>
            <color indexed="81"/>
            <rFont val="Tahoma"/>
            <family val="2"/>
          </rPr>
          <t>Maria:</t>
        </r>
        <r>
          <rPr>
            <sz val="9"/>
            <color indexed="81"/>
            <rFont val="Tahoma"/>
            <family val="2"/>
          </rPr>
          <t xml:space="preserve">
</t>
        </r>
        <r>
          <rPr>
            <b/>
            <sz val="9"/>
            <color indexed="81"/>
            <rFont val="Tahoma"/>
            <family val="2"/>
          </rPr>
          <t>Fra Nº. 124 Juan Antonio Garcia Gonzalez (AGUSTÍN) del 20/03/2025.</t>
        </r>
        <r>
          <rPr>
            <sz val="9"/>
            <color indexed="81"/>
            <rFont val="Tahoma"/>
            <family val="2"/>
          </rPr>
          <t xml:space="preserve">
4 machos y 4 hembras: 9.666,11€. 
Abonado: 25/03/2025 </t>
        </r>
      </text>
    </comment>
    <comment ref="BB4" authorId="2" shapeId="0" xr:uid="{F465AC8F-E452-4D1F-B22F-3C0B99C31B96}">
      <text>
        <r>
          <rPr>
            <b/>
            <sz val="9"/>
            <color indexed="81"/>
            <rFont val="Tahoma"/>
            <family val="2"/>
          </rPr>
          <t>Maria:</t>
        </r>
        <r>
          <rPr>
            <sz val="9"/>
            <color indexed="81"/>
            <rFont val="Tahoma"/>
            <family val="2"/>
          </rPr>
          <t xml:space="preserve">
Fra N.º 132 Sebastián Vaz Parrilla del 24/04/2025.
10 terneras: 9.762,07€
Abonado: 24/04/2025.
----------------------------------------
</t>
        </r>
      </text>
    </comment>
    <comment ref="BF4" authorId="2" shapeId="0" xr:uid="{542714D7-80D1-49EB-8F64-C062496AFB45}">
      <text>
        <r>
          <rPr>
            <b/>
            <sz val="9"/>
            <color indexed="81"/>
            <rFont val="Tahoma"/>
            <family val="2"/>
          </rPr>
          <t>Maria:</t>
        </r>
        <r>
          <rPr>
            <sz val="9"/>
            <color indexed="81"/>
            <rFont val="Tahoma"/>
            <family val="2"/>
          </rPr>
          <t xml:space="preserve">
Fra Nº. 150 Juan Antonio Garcia Gonzalez (AGUSTÍN) del 11/08/2025.
19 terneros: 24.228,60€. 
Abonado: 19/08/25
</t>
        </r>
      </text>
    </comment>
    <comment ref="BK4" authorId="2" shapeId="0" xr:uid="{3D4E9DBD-4B9D-4CCD-A973-84816789FB5E}">
      <text>
        <r>
          <rPr>
            <b/>
            <sz val="9"/>
            <color indexed="81"/>
            <rFont val="Tahoma"/>
            <family val="2"/>
          </rPr>
          <t>Maria:</t>
        </r>
        <r>
          <rPr>
            <sz val="9"/>
            <color indexed="81"/>
            <rFont val="Tahoma"/>
            <family val="2"/>
          </rPr>
          <t xml:space="preserve">
Fra Nº. 157 Juan Antonio Garcia Gonzalez (AGUSTÍN) del 14/10/2025.
7 terneros y 1 ternera: 9606,13 Eur + 10% IVA = 10.566,74
Incluido en factura con 1 toro (anotado en inversiones) por total de: 13.042,18€. 
Abonado: 17/10/25
</t>
        </r>
      </text>
    </comment>
    <comment ref="BL4" authorId="2" shapeId="0" xr:uid="{F787151A-90F9-4063-9D4A-E0595881EAB7}">
      <text>
        <r>
          <rPr>
            <b/>
            <sz val="9"/>
            <color indexed="81"/>
            <rFont val="Tahoma"/>
            <family val="2"/>
          </rPr>
          <t>Maria:</t>
        </r>
        <r>
          <rPr>
            <sz val="9"/>
            <color indexed="81"/>
            <rFont val="Tahoma"/>
            <family val="2"/>
          </rPr>
          <t xml:space="preserve">
Fra Nº. 160 Juan Antonio Garcia Gonzalez (AGUSTÍN) del 23/10/2025.
17 terneros: 31.111,52€. 
Abonado: 04/11/25</t>
        </r>
      </text>
    </comment>
    <comment ref="BN4" authorId="2" shapeId="0" xr:uid="{4E56EF22-A226-4B9D-9791-9635DA025C02}">
      <text>
        <r>
          <rPr>
            <b/>
            <sz val="9"/>
            <color indexed="81"/>
            <rFont val="Tahoma"/>
            <family val="2"/>
          </rPr>
          <t>Rosa:</t>
        </r>
        <r>
          <rPr>
            <sz val="9"/>
            <color indexed="81"/>
            <rFont val="Tahoma"/>
            <family val="2"/>
          </rPr>
          <t xml:space="preserve">
Fra Nº. 175 Juan Antonio Garcia Gonzalez (AGUSTÍN) del 30/12/2025.
5 terneros y 1 ternera: 7.999 Eur + 10% IVA = 8.798,90€
Abonado: 06/01/25
</t>
        </r>
      </text>
    </comment>
    <comment ref="AE5" authorId="0" shapeId="0" xr:uid="{61C52F3D-9514-40DA-A74C-BD7F8756FD8B}">
      <text>
        <r>
          <rPr>
            <b/>
            <sz val="9"/>
            <color indexed="81"/>
            <rFont val="Tahoma"/>
            <family val="2"/>
          </rPr>
          <t xml:space="preserve">Fra Nº. 1 Jose Camacho Orta del 30/08/23. 
</t>
        </r>
        <r>
          <rPr>
            <sz val="9"/>
            <color indexed="81"/>
            <rFont val="Tahoma"/>
            <family val="2"/>
          </rPr>
          <t xml:space="preserve">Carne: 565,30€. 
Abonado: 556,30€. 
9 eur menos
</t>
        </r>
      </text>
    </comment>
    <comment ref="AG5" authorId="0" shapeId="0" xr:uid="{811A7FA9-97C4-4A53-8429-D8D228E8DB36}">
      <text>
        <r>
          <rPr>
            <b/>
            <sz val="9"/>
            <color indexed="81"/>
            <rFont val="Tahoma"/>
            <family val="2"/>
          </rPr>
          <t>Fra Nº. 8 Gourmet Arfe del 02/11/23.</t>
        </r>
        <r>
          <rPr>
            <sz val="9"/>
            <color indexed="81"/>
            <rFont val="Tahoma"/>
            <family val="2"/>
          </rPr>
          <t xml:space="preserve">
Venta lomo Y PRESA : 705,32€.
Abonado Caixa nixal commodities: 05/11/23. 
-------------------------------
</t>
        </r>
      </text>
    </comment>
    <comment ref="AI5" authorId="0" shapeId="0" xr:uid="{3DF8F1E5-D917-41CB-A6E0-B40278C119E2}">
      <text>
        <r>
          <rPr>
            <b/>
            <sz val="9"/>
            <color indexed="81"/>
            <rFont val="Tahoma"/>
            <family val="2"/>
          </rPr>
          <t xml:space="preserve">Fra Nº. 10 La gestora del Kiosko del 07/11/23.
</t>
        </r>
        <r>
          <rPr>
            <sz val="9"/>
            <color indexed="81"/>
            <rFont val="Tahoma"/>
            <family val="2"/>
          </rPr>
          <t>Chuletas: 169,79€. 
Abonado: 18/01/24.
---------------------------------</t>
        </r>
        <r>
          <rPr>
            <b/>
            <sz val="9"/>
            <color indexed="81"/>
            <rFont val="Tahoma"/>
            <family val="2"/>
          </rPr>
          <t xml:space="preserve">
</t>
        </r>
      </text>
    </comment>
    <comment ref="AL5" authorId="0" shapeId="0" xr:uid="{87185710-91A7-49D2-A11C-6178C19F329B}">
      <text>
        <r>
          <rPr>
            <b/>
            <sz val="9"/>
            <color indexed="81"/>
            <rFont val="Tahoma"/>
            <family val="2"/>
          </rPr>
          <t xml:space="preserve">Fra Nº. 16 La gestora del Kiosko del 20/11/23.
</t>
        </r>
        <r>
          <rPr>
            <sz val="9"/>
            <color indexed="81"/>
            <rFont val="Tahoma"/>
            <family val="2"/>
          </rPr>
          <t>Chuletas: 438,02€. 
Abonado: 04/04/24
---------------------------------</t>
        </r>
        <r>
          <rPr>
            <b/>
            <sz val="9"/>
            <color indexed="81"/>
            <rFont val="Tahoma"/>
            <family val="2"/>
          </rPr>
          <t xml:space="preserve">
Fra Nº. 21 La gestora del Kiosko del 12/12/23.
</t>
        </r>
        <r>
          <rPr>
            <sz val="9"/>
            <color indexed="81"/>
            <rFont val="Tahoma"/>
            <family val="2"/>
          </rPr>
          <t xml:space="preserve">Entrecot: 32,34€. 
Abonado: 04/04/24
---------------------------------
</t>
        </r>
        <r>
          <rPr>
            <b/>
            <sz val="9"/>
            <color indexed="81"/>
            <rFont val="Tahoma"/>
            <family val="2"/>
          </rPr>
          <t>Fra Nº. 58 Gourmet Arfe del 01/04/24.</t>
        </r>
        <r>
          <rPr>
            <sz val="9"/>
            <color indexed="81"/>
            <rFont val="Tahoma"/>
            <family val="2"/>
          </rPr>
          <t xml:space="preserve">
Rib Eye: 189,42€.
Ingresado en NC el 01/04/24. pendiente transferrir a NA.Ingresado: 02/04/24.
--------------------------------------
</t>
        </r>
        <r>
          <rPr>
            <b/>
            <sz val="9"/>
            <color indexed="81"/>
            <rFont val="Tahoma"/>
            <family val="2"/>
          </rPr>
          <t>Fra Nº. 63 Areales Acal Francisc del 10/04/24.</t>
        </r>
        <r>
          <rPr>
            <sz val="9"/>
            <color indexed="81"/>
            <rFont val="Tahoma"/>
            <family val="2"/>
          </rPr>
          <t xml:space="preserve">
Medio canal: 961,62€.
Abonado: 12/04/24
---------------------------------
</t>
        </r>
        <r>
          <rPr>
            <b/>
            <sz val="9"/>
            <color indexed="81"/>
            <rFont val="Tahoma"/>
            <family val="2"/>
          </rPr>
          <t>Fra Nº. 65 Gourmet Arfe del 12/04/24.</t>
        </r>
        <r>
          <rPr>
            <sz val="9"/>
            <color indexed="81"/>
            <rFont val="Tahoma"/>
            <family val="2"/>
          </rPr>
          <t xml:space="preserve">
Rib Eye: 378,51€.
Ingresado en NC 25/04/24. Pendiente transferrir a NA.Ingresado: 30/04/24
--------------------------------------------------------
</t>
        </r>
        <r>
          <rPr>
            <b/>
            <sz val="9"/>
            <color indexed="81"/>
            <rFont val="Tahoma"/>
            <family val="2"/>
          </rPr>
          <t>Fra Nº. 69 Embutidos Jabugo del 23/04/24.</t>
        </r>
        <r>
          <rPr>
            <sz val="9"/>
            <color indexed="81"/>
            <rFont val="Tahoma"/>
            <family val="2"/>
          </rPr>
          <t xml:space="preserve">
matanza: 5.328,65€
Abonado: 25/04/24
---------------------------------</t>
        </r>
      </text>
    </comment>
    <comment ref="AM5" authorId="0" shapeId="0" xr:uid="{9F5D14D4-FFD3-4059-990A-10B87AEE7E96}">
      <text>
        <r>
          <rPr>
            <b/>
            <sz val="9"/>
            <color indexed="81"/>
            <rFont val="Tahoma"/>
            <family val="2"/>
          </rPr>
          <t xml:space="preserve">Fra Nº. 22 Apardia del 12/12/23.
</t>
        </r>
        <r>
          <rPr>
            <sz val="9"/>
            <color indexed="81"/>
            <rFont val="Tahoma"/>
            <family val="2"/>
          </rPr>
          <t>Entrecot: 199,71€. 
Abonado:20/05/24
---------------------------------</t>
        </r>
        <r>
          <rPr>
            <b/>
            <sz val="9"/>
            <color indexed="81"/>
            <rFont val="Tahoma"/>
            <family val="2"/>
          </rPr>
          <t xml:space="preserve">
Fra Nº. 31 La gestora del Kiosko del 21/12/23.
</t>
        </r>
        <r>
          <rPr>
            <sz val="9"/>
            <color indexed="81"/>
            <rFont val="Tahoma"/>
            <family val="2"/>
          </rPr>
          <t>Entrecot: 168,63€. 
Abonado: 03/05/24
---------------------------------</t>
        </r>
        <r>
          <rPr>
            <b/>
            <sz val="9"/>
            <color indexed="81"/>
            <rFont val="Tahoma"/>
            <family val="2"/>
          </rPr>
          <t xml:space="preserve">
Fra Nº. 32 La gestora del Kiosko del 21/12/23.
</t>
        </r>
        <r>
          <rPr>
            <sz val="9"/>
            <color indexed="81"/>
            <rFont val="Tahoma"/>
            <family val="2"/>
          </rPr>
          <t xml:space="preserve">Entrecot: 109,89€. 
Abonado: 03/05/24
---------------------------------
</t>
        </r>
        <r>
          <rPr>
            <b/>
            <sz val="9"/>
            <color indexed="81"/>
            <rFont val="Tahoma"/>
            <family val="2"/>
          </rPr>
          <t>Fra Nº. 33 La gestora del Kiosko del 21/12/23.</t>
        </r>
        <r>
          <rPr>
            <sz val="9"/>
            <color indexed="81"/>
            <rFont val="Tahoma"/>
            <family val="2"/>
          </rPr>
          <t xml:space="preserve">
Entrecot: 369,60€. 
Abonado: 03/05/24
---------------------------------
</t>
        </r>
        <r>
          <rPr>
            <b/>
            <sz val="9"/>
            <color indexed="81"/>
            <rFont val="Tahoma"/>
            <family val="2"/>
          </rPr>
          <t>Fra Nº. 34 Apardia del 21/12/23.</t>
        </r>
        <r>
          <rPr>
            <sz val="9"/>
            <color indexed="81"/>
            <rFont val="Tahoma"/>
            <family val="2"/>
          </rPr>
          <t xml:space="preserve">
Entrecot: 168,58€. 
Abonado:20/05/27
---------------------------------
</t>
        </r>
        <r>
          <rPr>
            <b/>
            <sz val="9"/>
            <color indexed="81"/>
            <rFont val="Tahoma"/>
            <family val="2"/>
          </rPr>
          <t>Fra N.º 62 Almansa y Peinado Asociados del 05/04/24.</t>
        </r>
        <r>
          <rPr>
            <sz val="9"/>
            <color indexed="81"/>
            <rFont val="Tahoma"/>
            <family val="2"/>
          </rPr>
          <t xml:space="preserve">
Canal novillo angus: 2.100,87€.
Abonado:07/05/24
-----------------------------------------
Fra N.º 61 Restaurante la Cañera del 05/04/24.
Canal novillo angus: 84,62€.
Abonado: 31/05/24</t>
        </r>
      </text>
    </comment>
    <comment ref="AN5" authorId="0" shapeId="0" xr:uid="{799AA6C7-834A-4F14-864E-FD790BB44514}">
      <text>
        <r>
          <rPr>
            <b/>
            <sz val="9"/>
            <color indexed="81"/>
            <rFont val="Tahoma"/>
            <family val="2"/>
          </rPr>
          <t>Fra Nº. 37 La gestora del Kiosko del 02/01/24.</t>
        </r>
        <r>
          <rPr>
            <sz val="9"/>
            <color indexed="81"/>
            <rFont val="Tahoma"/>
            <family val="2"/>
          </rPr>
          <t xml:space="preserve">
Entrecot: 199,65€. 
Abonado: 27/06/24.
---------------------------------
</t>
        </r>
        <r>
          <rPr>
            <b/>
            <sz val="9"/>
            <color indexed="81"/>
            <rFont val="Tahoma"/>
            <family val="2"/>
          </rPr>
          <t>Fra Nº. 47 La gestora del Kiosko del 01/02/24.</t>
        </r>
        <r>
          <rPr>
            <sz val="9"/>
            <color indexed="81"/>
            <rFont val="Tahoma"/>
            <family val="2"/>
          </rPr>
          <t xml:space="preserve">
Entrecot: 178,20€. 
Abonado: 27/06/24.
---------------------------------
</t>
        </r>
      </text>
    </comment>
    <comment ref="AO5" authorId="0" shapeId="0" xr:uid="{BEFED732-C01A-406A-BAC8-55413F9D13D6}">
      <text>
        <r>
          <rPr>
            <b/>
            <sz val="9"/>
            <color indexed="81"/>
            <rFont val="Tahoma"/>
            <family val="2"/>
          </rPr>
          <t>Fra Nº. 85 Resumen ventas del 31/07/24</t>
        </r>
        <r>
          <rPr>
            <sz val="9"/>
            <color indexed="81"/>
            <rFont val="Tahoma"/>
            <family val="2"/>
          </rPr>
          <t xml:space="preserve">
Ticket 0000006 del 09/07/24: 58,00€.
Abonado: 12/07/24
Ticket 0000007 del 09/07/24: 72,10€.
Abonado: 13/07/24
Ticket 0000008 del 11/07/24: 144,70€.
Abonado: 11/07/24
</t>
        </r>
      </text>
    </comment>
    <comment ref="AP5" authorId="0" shapeId="0" xr:uid="{DBF67CBF-0A3F-40AA-A201-BC844BC0766C}">
      <text>
        <r>
          <rPr>
            <b/>
            <sz val="9"/>
            <color indexed="81"/>
            <rFont val="Tahoma"/>
            <family val="2"/>
          </rPr>
          <t>Fra Nº. 85 Resumen ventas del 31/07/24</t>
        </r>
        <r>
          <rPr>
            <sz val="9"/>
            <color indexed="81"/>
            <rFont val="Tahoma"/>
            <family val="2"/>
          </rPr>
          <t xml:space="preserve">
Ticket 0000005 del 09/07/24: 400,71€.
Abonado: 06/08/24
Ticket 0000010 del 19/07/24: 66,40€.
Abonado x el total 153,80€ el 27/08/24 
Ticket 0000012 del 19/07/24: 92,20€.
Abonado: 03/08/24
Ticket 0000013 del 19/07/24: 83,20€.
Abonado: 03/08/24 
-----------------------------------------------------
</t>
        </r>
        <r>
          <rPr>
            <b/>
            <sz val="9"/>
            <color indexed="81"/>
            <rFont val="Tahoma"/>
            <family val="2"/>
          </rPr>
          <t xml:space="preserve">Fra Nº. 89  Resumen ventas del 31/08/24 </t>
        </r>
        <r>
          <rPr>
            <sz val="9"/>
            <color indexed="81"/>
            <rFont val="Tahoma"/>
            <family val="2"/>
          </rPr>
          <t xml:space="preserve">
Ticket 0000015 del 09/08/24: 87,40€.
Abonado x el total 153,80€ el 27/08/24 
</t>
        </r>
      </text>
    </comment>
    <comment ref="AU5" authorId="0" shapeId="0" xr:uid="{00DC77F3-55BE-44D9-87E7-D52601308574}">
      <text>
        <r>
          <rPr>
            <b/>
            <sz val="9"/>
            <color indexed="81"/>
            <rFont val="Tahoma"/>
            <family val="2"/>
          </rPr>
          <t xml:space="preserve">Fra Nº. 85 Resumen ventas del 31/07/24
</t>
        </r>
        <r>
          <rPr>
            <sz val="9"/>
            <color indexed="81"/>
            <rFont val="Tahoma"/>
            <family val="2"/>
          </rPr>
          <t>Ticket 0000011 del 19/07/24: 52,00€.
Abonado: 04/09/24.</t>
        </r>
        <r>
          <rPr>
            <b/>
            <sz val="9"/>
            <color indexed="81"/>
            <rFont val="Tahoma"/>
            <family val="2"/>
          </rPr>
          <t xml:space="preserve">
</t>
        </r>
        <r>
          <rPr>
            <sz val="9"/>
            <color indexed="81"/>
            <rFont val="Tahoma"/>
            <family val="2"/>
          </rPr>
          <t xml:space="preserve">
</t>
        </r>
      </text>
    </comment>
    <comment ref="AV5" authorId="0" shapeId="0" xr:uid="{9626FAF5-1A07-4BC3-8815-306B5DE67344}">
      <text>
        <r>
          <rPr>
            <b/>
            <sz val="9"/>
            <color indexed="81"/>
            <rFont val="Tahoma"/>
            <family val="2"/>
          </rPr>
          <t>Fra Nº. 51 La gestora del Kiosko del 26/02/24</t>
        </r>
        <r>
          <rPr>
            <sz val="9"/>
            <color indexed="81"/>
            <rFont val="Tahoma"/>
            <family val="2"/>
          </rPr>
          <t xml:space="preserve">.
Rib Eye y Presa: 395,48€
Abonado: cargado en NC 03/10/24.
Abonado Caixa NA: 17/10/24
---------------------------------
</t>
        </r>
        <r>
          <rPr>
            <b/>
            <sz val="9"/>
            <color indexed="81"/>
            <rFont val="Tahoma"/>
            <family val="2"/>
          </rPr>
          <t>Fra Nº. 55 La gestora del Kiosko del 25/03/24.</t>
        </r>
        <r>
          <rPr>
            <sz val="9"/>
            <color indexed="81"/>
            <rFont val="Tahoma"/>
            <family val="2"/>
          </rPr>
          <t xml:space="preserve">
Rib Eye y Presa: 315,00€
Abonado: cargado en NC 03/10/24.
Abonado Caixa NA: 17/10/24
--------------------------------------
</t>
        </r>
        <r>
          <rPr>
            <b/>
            <sz val="9"/>
            <color indexed="81"/>
            <rFont val="Tahoma"/>
            <family val="2"/>
          </rPr>
          <t>Fra N.º 95 Gourmet Arfe del 14/10/24.</t>
        </r>
        <r>
          <rPr>
            <sz val="9"/>
            <color indexed="81"/>
            <rFont val="Tahoma"/>
            <family val="2"/>
          </rPr>
          <t xml:space="preserve">
Rib Eye: 204,60€.
Abonado: 19/10/24
-------------------------------------------
</t>
        </r>
        <r>
          <rPr>
            <b/>
            <sz val="9"/>
            <color indexed="81"/>
            <rFont val="Tahoma"/>
            <family val="2"/>
          </rPr>
          <t>Fra Nº 93 Embutidos Jabugo del 09/10/24.</t>
        </r>
        <r>
          <rPr>
            <sz val="9"/>
            <color indexed="81"/>
            <rFont val="Tahoma"/>
            <family val="2"/>
          </rPr>
          <t xml:space="preserve">
Embutidos Jabugo. Matanza jul 24 de dos vacas de desecho rematadas. Previsión segín 8 animales de matanza anterior: 5350/8*2=1337,5 de carne deshuesada destinada a hamburguesa para ellos. Resto a stock de venta nuestro. Finalmente:
597kg de carne deshuesada y 1783,33 Eur
Abonado: 16/10/24</t>
        </r>
      </text>
    </comment>
    <comment ref="AW5" authorId="2" shapeId="0" xr:uid="{F4E9F759-93A6-4E7F-A694-C1288F0CDB87}">
      <text>
        <r>
          <rPr>
            <b/>
            <sz val="9"/>
            <color indexed="81"/>
            <rFont val="Tahoma"/>
            <family val="2"/>
          </rPr>
          <t>Maria:</t>
        </r>
        <r>
          <rPr>
            <sz val="9"/>
            <color indexed="81"/>
            <rFont val="Tahoma"/>
            <family val="2"/>
          </rPr>
          <t xml:space="preserve">
Ingreso de la gestora del kiosko que no corresponde a ninguna factura. </t>
        </r>
      </text>
    </comment>
    <comment ref="AX5" authorId="0" shapeId="0" xr:uid="{3157F310-D4EA-4B39-B0E5-9E9789AC7040}">
      <text>
        <r>
          <rPr>
            <sz val="9"/>
            <color indexed="81"/>
            <rFont val="Tahoma"/>
            <family val="2"/>
          </rPr>
          <t xml:space="preserve">Fra Nº. 75 La Cresta Gastronomia - casa orellana del 28/05/24.
Carne: 1.289,28€. 
Abonado x el total 1.860,90€ el 05/12/24, falta 29,70€, solicitado el 05/12/24
---------------------------------
Fra N.º 81 La Cresta Gastronomica - Casa Orellana del 21/06/24. 
Carne: 601,32€. 
Abonado x el total 1.860,90€ el 05/12/24.
------------------------------------
Ticket 0000015 del 23/12/24. 
Chuleta para Jesus Cruz: 114,32€.
Abonado: 27/12/24
----------------------------------
Fra N.º 106 Gourmet Arfe del 2/12/24.
Carne: 187,11€.
Abonado: 03/12/24.
</t>
        </r>
      </text>
    </comment>
    <comment ref="AY5" authorId="0" shapeId="0" xr:uid="{3C0EB6FE-3A30-49CE-9F2E-2013BF1367ED}">
      <text>
        <r>
          <rPr>
            <sz val="9"/>
            <color indexed="81"/>
            <rFont val="Tahoma"/>
            <family val="2"/>
          </rPr>
          <t xml:space="preserve">
Ticket 00000016 del20/01/2025.
Arturo Montes: 51,71€
Abonado: 22/01/2025
-------------------------------------------------------
</t>
        </r>
      </text>
    </comment>
    <comment ref="BA5" authorId="0" shapeId="0" xr:uid="{CEBBA3FE-1D0A-4713-A9A7-118898996F53}">
      <text>
        <r>
          <rPr>
            <sz val="9"/>
            <color indexed="81"/>
            <rFont val="Tahoma"/>
            <family val="2"/>
          </rPr>
          <t>Fra N.º 97 Apardia del 11/11/24.
Carne: 355,95€. 
Abonado: 25/03/2025
------------------------------------
Fra N.º 119 Apardia del 21/01/2025.
Carne: 139,13€. 
Abonado: 25/03/2025
------------------------------------
Fra N.º 122 Restauración Micaela del 05/03/2025.
Carne: 113,08
Abonado: 12/03/25.
------------------------------------
Fra N.º 126 Resumen ventas del 31/03/25.
Carne: 136,40€. 
Abonado: 26/03/2025</t>
        </r>
      </text>
    </comment>
    <comment ref="BB5" authorId="0" shapeId="0" xr:uid="{BDA1410E-9EF0-4EF6-AACE-5624084075D5}">
      <text>
        <r>
          <rPr>
            <sz val="9"/>
            <color indexed="81"/>
            <rFont val="Tahoma"/>
            <family val="2"/>
          </rPr>
          <t xml:space="preserve">Ticket 00000024 del 2/04/2025.
Concha bosch: 366,63€ 
Abonado: 09/04/2025
------------------------------------------------------
Ticket 00000031 del 04/04/2025.
Jose Antonio Montero: 102,27€ 
Abonado: 10/04/2025
----------------------------------------------------------
Fra N.º 128 Restauración Micaela del 08/04/2025.
Carne: 94,60€. 
Abonado: 14/04/2025.
</t>
        </r>
      </text>
    </comment>
    <comment ref="BC5" authorId="0" shapeId="0" xr:uid="{F5549DBF-67A6-4F5C-8F51-87B7EC0B9340}">
      <text>
        <r>
          <rPr>
            <sz val="9"/>
            <color indexed="81"/>
            <rFont val="Tahoma"/>
            <family val="2"/>
          </rPr>
          <t xml:space="preserve">Fra N.º 131 Areales Acal Francisc del 21/04/25.
Carne: 1.045,59€. 
Abonado: 01/05/25
----------------------------------------------------------
Fra N.º 136 Gourmet Arfe del 06/05/2025
Carne: 171,60€. 
Abonado: 15/05/25
---------------------------------------------------------
Fra N.º 137 Nueva Almagrera S.L. del 13/05/2025.
Carne: 242,66€
Abonado: 16/05/25.
-------------------------------------------------------
</t>
        </r>
      </text>
    </comment>
    <comment ref="BD5" authorId="0" shapeId="0" xr:uid="{95B6C703-4CED-4B42-ADD0-3275045057B2}">
      <text>
        <r>
          <rPr>
            <sz val="9"/>
            <color indexed="81"/>
            <rFont val="Tahoma"/>
            <family val="2"/>
          </rPr>
          <t>Ticket 00000041 del 20/05/2025.
Luis Marsa: 247,43€ 
Abonado: 06/06/25
-------------------------------------------------------
Fra N.º 139 Restauración Micaela del 02/06/2025.
Carne: 102,52€. 
Abonado: 13/06/2025.</t>
        </r>
      </text>
    </comment>
    <comment ref="BE5" authorId="0" shapeId="0" xr:uid="{C10AF24D-B03C-42CF-B32F-8BD7C3438DC8}">
      <text>
        <r>
          <rPr>
            <sz val="9"/>
            <color indexed="81"/>
            <rFont val="Tahoma"/>
            <family val="2"/>
          </rPr>
          <t xml:space="preserve">Fra N.º 143 Restauración Micaela del 02/06/2025.
Carne: 89,76€. 
Abonado: 09/07/25
-----------------------------------------------------------
Fra N.º 145 Restauración Micaela del 02/06/2025.
Carne: 92,40€. 
Abonado: 30/07/25.
----------------------------------------------------------
</t>
        </r>
      </text>
    </comment>
    <comment ref="BF5" authorId="1" shapeId="0" xr:uid="{B62D9B1F-17E2-49E1-9746-890110536427}">
      <text>
        <r>
          <rPr>
            <sz val="9"/>
            <color indexed="81"/>
            <rFont val="Tahoma"/>
            <family val="2"/>
          </rPr>
          <t xml:space="preserve">
Fra N.º 146 Restauración Micaela del 28/07/2025.
Carne: 107,36€. 
Abonado: 18/08/25
----------------------------------------------------------</t>
        </r>
      </text>
    </comment>
    <comment ref="BJ5" authorId="1" shapeId="0" xr:uid="{5258AFEE-1A45-4F8E-BA07-A33493F51179}">
      <text>
        <r>
          <rPr>
            <sz val="9"/>
            <color indexed="81"/>
            <rFont val="Tahoma"/>
            <family val="2"/>
          </rPr>
          <t xml:space="preserve">Alfonso Carmona:
parte del buey (puesto como dos animales pq pesa el doble) y las 3 vacas de desecho a hamburdehesa por la carne picada. Resto a venta de chuletones, no tenido en cuenta el ingreso
-----------------------------------------------------------------------
Fra Nº 151 de embutidos jabugo del 29/08/2025.
Vacas y buey: 6.795,66€
Abonado:16/09/2025
-------------------------------------
1.297,17€: 1/2 de las facturas pendientes de la gestora del kiosko. </t>
        </r>
      </text>
    </comment>
    <comment ref="BK5" authorId="2" shapeId="0" xr:uid="{43612EDF-D8A8-43A0-91AA-A4DB8CB5F2FD}">
      <text>
        <r>
          <rPr>
            <b/>
            <sz val="9"/>
            <color indexed="81"/>
            <rFont val="Tahoma"/>
            <family val="2"/>
          </rPr>
          <t>Maria:</t>
        </r>
        <r>
          <rPr>
            <sz val="9"/>
            <color indexed="81"/>
            <rFont val="Tahoma"/>
            <family val="2"/>
          </rPr>
          <t xml:space="preserve">
Fra N.º 156 Gourmet Arfe del 02/10/25. 
Carne: 175,56€.
Abonado: 04/10/25
-------------------------------------------------------
Fra N.º 159 Gourmet Arfe del 21/10/25. 
Carne: 139,92€.
Abonado: 22/10/25
-------------------------------------------------------
Fra N.º 158 Francisco Areales Acal del 20/10/25.
Cardera: 215,82€.
Abonado: 25/10/2025
</t>
        </r>
      </text>
    </comment>
    <comment ref="BL5" authorId="2" shapeId="0" xr:uid="{1010C2EC-E836-4501-8661-0563452CCB56}">
      <text>
        <r>
          <rPr>
            <b/>
            <sz val="9"/>
            <color indexed="81"/>
            <rFont val="Tahoma"/>
            <family val="2"/>
          </rPr>
          <t>Maria:</t>
        </r>
        <r>
          <rPr>
            <sz val="9"/>
            <color indexed="81"/>
            <rFont val="Tahoma"/>
            <family val="2"/>
          </rPr>
          <t xml:space="preserve">
Fra N.º 163 Gourmet Arfe del 12/11/25. 
Carne: 93,39
Abonado: 12/11/25
-------------------------------------------------------
</t>
        </r>
      </text>
    </comment>
    <comment ref="BM5" authorId="1" shapeId="0" xr:uid="{D67E1A16-5679-48A3-934B-B22A544484B4}">
      <text>
        <r>
          <rPr>
            <sz val="9"/>
            <color indexed="81"/>
            <rFont val="Tahoma"/>
            <family val="2"/>
          </rPr>
          <t>Fra N.º 169 Gourmet Arfe del 05/12/25. 
Carne: 194,70
Abonado: 05/12/25
----------------------------------------------------------------
Ticket 00000066 del 16/12/2025.
Pilar carmona: 68,75€ 
Abonado:20/12/25
-------------------------------------------------------
Ticket 00000067 del 18/12/2025.
Javier Dominguez: 101,20€ 
Abonado:20/12/25
-------------------------------------------------------</t>
        </r>
      </text>
    </comment>
    <comment ref="BP5" authorId="1" shapeId="0" xr:uid="{638AE36C-F094-4A0A-8070-5E882FD3B256}">
      <text>
        <r>
          <rPr>
            <sz val="9"/>
            <color indexed="81"/>
            <rFont val="Tahoma"/>
            <family val="2"/>
          </rPr>
          <t>Fra N.º 191 Areales Acal Francisc del 26/03/26. 
Carne vaca: 2.282,98€.
Abonado: 31/03/26
----------------------------------------------------------------</t>
        </r>
      </text>
    </comment>
    <comment ref="BQ5" authorId="1" shapeId="0" xr:uid="{37553E21-7C0D-4C44-9652-BF6AB91EDAE1}">
      <text>
        <r>
          <rPr>
            <sz val="9"/>
            <color indexed="81"/>
            <rFont val="Tahoma"/>
            <family val="2"/>
          </rPr>
          <t xml:space="preserve">
Fra N.º 130 EROC GROUP SERVICIOS RESTAURACIÓN, S.L. del 16/04/2025.
Carne: 276,39€. 
Abonado: 07/04/26
-------------------------------------------------------
</t>
        </r>
      </text>
    </comment>
    <comment ref="BR5" authorId="1" shapeId="0" xr:uid="{81A73981-8E4A-4294-9CCF-37FCA19C3EFE}">
      <text>
        <r>
          <rPr>
            <sz val="9"/>
            <color indexed="81"/>
            <rFont val="Tahoma"/>
            <family val="2"/>
          </rPr>
          <t>Fra N.º 197 Embutidos jabugo del 24/04/26.
Carne: 3.147,68€. 
Abonado: 16/05/26.
----------------------------------------------------------------
Ticket 00000097 del 06/04/26
Jaime Borbon: 75,90€ 
Abonado: 15/05/26
-----------------------------------------------------</t>
        </r>
      </text>
    </comment>
    <comment ref="BS5" authorId="1" shapeId="0" xr:uid="{5FFD98E8-E24E-4550-A2EA-80AE90B5BF6B}">
      <text>
        <r>
          <rPr>
            <sz val="9"/>
            <color indexed="81"/>
            <rFont val="Tahoma"/>
            <family val="2"/>
          </rPr>
          <t xml:space="preserve">Fra Nº. 57 Jose Camacho Orta del 25/03/24.
Entrecot y solomillo: 280,50€. 
Abonado:
---------------------------------------------
Fra Nº. 70 La gestora del Kiosko del 23/04/24.
Rib Eye y Presa: 744,55€
Abonado:
---------------------------------
Fra Nº. 76 La Gestora del Kiosko del 31/05/24.
Carne: 463,79
Abonado: 
--------------------------------
Fra N.º 98 La Gestora del Kiosko del 11/11/24.
Carne: 188,19€. 
Abonado: 
------------------------------------
Fra N.º 102 La Gestora del Kiosko del 26/11/24.
Carne: 442,86€. 
Abonado: 
------------------------------------
Fra N.º 105 La Gestora del Kiosko del 02/12/24.
Carne: 150,68€. 
Abonado: 
------------------------------------
Fra N.º 108 La Gestora del Kiosko del 17/12/24.
Carne: 233,84€. 
Abonado: 
-------------------------------
Fra N.º 112 La Gestora del Kiosko del 26/12/24.
Carne: 55,84€. 
Abonado: 
----------------------------------------------------
Fra N.º 116 La Gestora del Kiosko del 14/01/2025.
Carne: 314,58€. 
Abonado: 
-------------------------------------------------------
Fra N.º 187 Gourmet Arfe del 16/03/26. 
Carne: 99,00€
Abonado: 
----------------------------------------------------------------
Fra N.º 192 Gourmet Arfe del 06/04/26.
Carne: 170,28€. 
Abonado: 
----------------------------------------------------------------
</t>
        </r>
      </text>
    </comment>
    <comment ref="B9" authorId="3" shapeId="0" xr:uid="{80F813EF-375F-40EA-9C57-B8884E38C0DB}">
      <text>
        <r>
          <rPr>
            <u/>
            <sz val="9"/>
            <color indexed="81"/>
            <rFont val="Tahoma"/>
            <family val="2"/>
          </rPr>
          <t>Junta de Andalucía (incorporada en la PAC)
"</t>
        </r>
        <r>
          <rPr>
            <sz val="9"/>
            <color indexed="81"/>
            <rFont val="Tahoma"/>
            <family val="2"/>
          </rPr>
          <t>Antiguamente llamado vacas nodrizas"</t>
        </r>
        <r>
          <rPr>
            <u/>
            <sz val="9"/>
            <color indexed="81"/>
            <rFont val="Tahoma"/>
            <family val="2"/>
          </rPr>
          <t xml:space="preserve">
</t>
        </r>
        <r>
          <rPr>
            <sz val="9"/>
            <color indexed="81"/>
            <rFont val="Tahoma"/>
            <family val="2"/>
          </rPr>
          <t>Entidad gestora: Caja Rural
Cantidad concedida: Dependiendo del reparto que haga cada año al UE. 
Previsión: 11.500 Eur 
Fecha de presentación estimada: 30/4 cada año
Fecha de pagos: octubre y diciembre
Periocidad: anual</t>
        </r>
      </text>
    </comment>
    <comment ref="AM9" authorId="1" shapeId="0" xr:uid="{291242DD-6ADB-41B5-9161-472D458FA341}">
      <text>
        <r>
          <rPr>
            <b/>
            <sz val="9"/>
            <color indexed="81"/>
            <rFont val="Tahoma"/>
            <family val="2"/>
          </rPr>
          <t>Alfonso Carmona:</t>
        </r>
        <r>
          <rPr>
            <sz val="9"/>
            <color indexed="81"/>
            <rFont val="Tahoma"/>
            <family val="2"/>
          </rPr>
          <t xml:space="preserve">
2023
Entra en caja Rural el 18/05/24</t>
        </r>
      </text>
    </comment>
    <comment ref="AN9" authorId="0" shapeId="0" xr:uid="{DDD7EF61-35DC-4A83-9271-ACDB9DF3481F}">
      <text>
        <r>
          <rPr>
            <sz val="9"/>
            <color indexed="81"/>
            <rFont val="Tahoma"/>
            <family val="2"/>
          </rPr>
          <t>2023
10% aprox de este concepto que debe estar pte de cobro</t>
        </r>
      </text>
    </comment>
    <comment ref="AV9" authorId="1" shapeId="0" xr:uid="{F6FD6898-901F-46E0-B360-289DCAFC7B11}">
      <text>
        <r>
          <rPr>
            <b/>
            <sz val="9"/>
            <color indexed="81"/>
            <rFont val="Tahoma"/>
            <family val="2"/>
          </rPr>
          <t>Alfonso Carmona:</t>
        </r>
        <r>
          <rPr>
            <sz val="9"/>
            <color indexed="81"/>
            <rFont val="Tahoma"/>
            <family val="2"/>
          </rPr>
          <t xml:space="preserve">
2024</t>
        </r>
      </text>
    </comment>
    <comment ref="AX9" authorId="1" shapeId="0" xr:uid="{E18FDE3B-17E8-4145-9CC5-A7D00D186F1B}">
      <text>
        <r>
          <rPr>
            <b/>
            <sz val="9"/>
            <color indexed="81"/>
            <rFont val="Tahoma"/>
            <family val="2"/>
          </rPr>
          <t>Alfonso Carmona:</t>
        </r>
        <r>
          <rPr>
            <sz val="9"/>
            <color indexed="81"/>
            <rFont val="Tahoma"/>
            <family val="2"/>
          </rPr>
          <t xml:space="preserve">
2024</t>
        </r>
      </text>
    </comment>
    <comment ref="BK9" authorId="2" shapeId="0" xr:uid="{A76E477C-C99E-4FFB-BEF0-942AD0D26524}">
      <text>
        <r>
          <rPr>
            <sz val="9"/>
            <color indexed="81"/>
            <rFont val="Tahoma"/>
            <family val="2"/>
          </rPr>
          <t xml:space="preserve">Subvencion abonada el 24.10.25 en caja Rural
</t>
        </r>
      </text>
    </comment>
    <comment ref="BM9" authorId="2" shapeId="0" xr:uid="{5E7FACFA-A874-4D75-AD7F-FD06DBDFEF1B}">
      <text>
        <r>
          <rPr>
            <b/>
            <sz val="9"/>
            <color indexed="81"/>
            <rFont val="Tahoma"/>
            <family val="2"/>
          </rPr>
          <t>Maria:</t>
        </r>
        <r>
          <rPr>
            <sz val="9"/>
            <color indexed="81"/>
            <rFont val="Tahoma"/>
            <family val="2"/>
          </rPr>
          <t xml:space="preserve">
Subvencion: 11/12/25</t>
        </r>
      </text>
    </comment>
    <comment ref="B10" authorId="3" shapeId="0" xr:uid="{687946F4-6E90-4A27-B526-4D788AAB4662}">
      <text>
        <r>
          <rPr>
            <u/>
            <sz val="9"/>
            <color indexed="81"/>
            <rFont val="Tahoma"/>
            <family val="2"/>
          </rPr>
          <t xml:space="preserve">Junta de Andalucía (incorporada en la PAC)
</t>
        </r>
        <r>
          <rPr>
            <sz val="9"/>
            <color indexed="81"/>
            <rFont val="Tahoma"/>
            <family val="2"/>
          </rPr>
          <t xml:space="preserve">
Entidad gestora: Caja Rural
Cantidad concedida: cantidad fija cada año 10.321,7
Previsión 20/21: 10,321,70
Fecha de presentación estimada: 30/4 de cada año
Fecha de pagos: julio
Periocidad: anual</t>
        </r>
      </text>
    </comment>
    <comment ref="AP10" authorId="1" shapeId="0" xr:uid="{FE537077-171A-46C8-8DC4-3FED8C83E50D}">
      <text>
        <r>
          <rPr>
            <b/>
            <sz val="9"/>
            <color indexed="81"/>
            <rFont val="Tahoma"/>
            <family val="2"/>
          </rPr>
          <t>Alfonso Carmona:</t>
        </r>
        <r>
          <rPr>
            <sz val="9"/>
            <color indexed="81"/>
            <rFont val="Tahoma"/>
            <family val="2"/>
          </rPr>
          <t xml:space="preserve">
En este de 2023 el cambio a NA nos dejo fuera y solo abren entradas cada 3-5 años… No obstante hemos recurrido por si acaso, aunq la normativa esta clara. 
A más tamaño, menos cantidad, según puntos por zona. </t>
        </r>
      </text>
    </comment>
    <comment ref="BE10" authorId="1" shapeId="0" xr:uid="{21EC29A8-8ABF-4C33-9EE7-0DE3A47B6581}">
      <text>
        <r>
          <rPr>
            <b/>
            <sz val="9"/>
            <color indexed="81"/>
            <rFont val="Tahoma"/>
            <family val="2"/>
          </rPr>
          <t>Alfonso Carmona:</t>
        </r>
        <r>
          <rPr>
            <sz val="9"/>
            <color indexed="81"/>
            <rFont val="Tahoma"/>
            <family val="2"/>
          </rPr>
          <t xml:space="preserve">
En 2023 el cambio a NA nos dejo fuera y solo abren entradas cada 3-5 años…  Eliminado por cambio en normativa, más explotaciones, menos cantidad según puntos por zona, etc.. A la espera de ver que entra. No obstante está reclamado con Cristina de Gabinete PAC</t>
        </r>
      </text>
    </comment>
    <comment ref="BT10" authorId="1" shapeId="0" xr:uid="{6B059623-14A1-4ADD-B438-AC9E3D471CF6}">
      <text>
        <r>
          <rPr>
            <b/>
            <sz val="9"/>
            <color indexed="81"/>
            <rFont val="Tahoma"/>
            <family val="2"/>
          </rPr>
          <t>Alfonso Carmona:</t>
        </r>
        <r>
          <rPr>
            <sz val="9"/>
            <color indexed="81"/>
            <rFont val="Tahoma"/>
            <family val="2"/>
          </rPr>
          <t xml:space="preserve">
En 2023 el cambio a NA nos dejo fuera y solo abren entradas cada 3-5 años…  Eliminado por cambio en normativa, más explotaciones, menos cantidad según puntos por zona, etc.. A la espera de ver que entra. </t>
        </r>
      </text>
    </comment>
    <comment ref="CI10" authorId="1" shapeId="0" xr:uid="{434F3324-2714-4E79-908B-2183E9CADD1A}">
      <text>
        <r>
          <rPr>
            <b/>
            <sz val="9"/>
            <color indexed="81"/>
            <rFont val="Tahoma"/>
            <family val="2"/>
          </rPr>
          <t>Alfonso Carmona:</t>
        </r>
        <r>
          <rPr>
            <sz val="9"/>
            <color indexed="81"/>
            <rFont val="Tahoma"/>
            <family val="2"/>
          </rPr>
          <t xml:space="preserve">
En 2023 el cambio a NA nos dejo fuera y solo abren entradas cada 3-5 años…  Eliminado por cambio en normativa, más explotaciones, menos cantidad según puntos por zona, etc.. A la espera de ver que entra. </t>
        </r>
      </text>
    </comment>
    <comment ref="CX10" authorId="1" shapeId="0" xr:uid="{4F99B63A-6622-4697-890A-BA0DED4BCC10}">
      <text>
        <r>
          <rPr>
            <b/>
            <sz val="9"/>
            <color indexed="81"/>
            <rFont val="Tahoma"/>
            <family val="2"/>
          </rPr>
          <t>Alfonso Carmona:</t>
        </r>
        <r>
          <rPr>
            <sz val="9"/>
            <color indexed="81"/>
            <rFont val="Tahoma"/>
            <family val="2"/>
          </rPr>
          <t xml:space="preserve">
En 2023 el cambio a NA nos dejo fuera y solo abren entradas cada 3-5 años…  Eliminado por cambio en normativa, más explotaciones, menos cantidad según puntos por zona, etc.. A la espera de ver que entra. </t>
        </r>
      </text>
    </comment>
    <comment ref="B11" authorId="3" shapeId="0" xr:uid="{74FF8DFF-5523-4DF3-8115-8EA45876D30C}">
      <text>
        <r>
          <rPr>
            <u/>
            <sz val="9"/>
            <color indexed="81"/>
            <rFont val="Tahoma"/>
            <family val="2"/>
          </rPr>
          <t xml:space="preserve">Junta de Andalucía (incorporada en la PAC)
</t>
        </r>
        <r>
          <rPr>
            <sz val="9"/>
            <color indexed="81"/>
            <rFont val="Tahoma"/>
            <family val="2"/>
          </rPr>
          <t xml:space="preserve">
</t>
        </r>
        <r>
          <rPr>
            <b/>
            <sz val="9"/>
            <color indexed="81"/>
            <rFont val="Tahoma"/>
            <family val="2"/>
          </rPr>
          <t>Ayuda basica a la Renta</t>
        </r>
        <r>
          <rPr>
            <sz val="9"/>
            <color indexed="81"/>
            <rFont val="Tahoma"/>
            <family val="2"/>
          </rPr>
          <t xml:space="preserve"> 
"son derechos comprados a Antonio, mal llamados cupos por JP y anitiguamente dchos de pado básico"</t>
        </r>
        <r>
          <rPr>
            <u/>
            <sz val="9"/>
            <color indexed="81"/>
            <rFont val="Tahoma"/>
            <family val="2"/>
          </rPr>
          <t xml:space="preserve">
</t>
        </r>
        <r>
          <rPr>
            <sz val="9"/>
            <color indexed="81"/>
            <rFont val="Tahoma"/>
            <family val="2"/>
          </rPr>
          <t xml:space="preserve">Entidad gestora: Caja Rural
Cantidad concedida: posibilidad de bajas anuales
Previsión: 4550 Eur
Fecha de presentación estimada: 30/4 de cada año
Fecha de pagos: octubre y diciembre
Periocidad: cada año
</t>
        </r>
        <r>
          <rPr>
            <b/>
            <sz val="9"/>
            <color indexed="81"/>
            <rFont val="Tahoma"/>
            <family val="2"/>
          </rPr>
          <t xml:space="preserve">Pago redistributivo 
</t>
        </r>
        <r>
          <rPr>
            <sz val="9"/>
            <color indexed="81"/>
            <rFont val="Tahoma"/>
            <family val="2"/>
          </rPr>
          <t xml:space="preserve">Con el cambio de normativa, eliminaron el pago verde y crearon el pago redistributivo. No es igual ya que no tienes que cumplir unas condiciones, pero sí es bastante inferior ya que es complementario a la ayuda básica a la renta y se concede a las primeras hectáreas de todas las explotaciones utilizandose un umbral de hectáreas para cada región y un importe de valor medio regional. Para las primeras hectáreas y hasta el primer umbral de hectáreas, el pago redistributivo será del 20% del valor medio regional y a partir del primer umbral y hasta el segundo umbral, el pago redistributivo será del 40% del valor medio regional. A partir del segundo umbral de hectáreas, no se concede pago redistributivo. Es un poco complejo...
Entidad gestora: Caja Rural
Cantidad concedida: posibilidad de bajas anuales
Previsión: 2688,59ur
Fecha de presentación estimada: 30/4 de cada año
Fecha de pagos: octubre y diciembre
Periocidad: cada año
</t>
        </r>
      </text>
    </comment>
    <comment ref="AM11" authorId="1" shapeId="0" xr:uid="{95AA1079-8FA9-4BDA-87A7-46AFD168BB8F}">
      <text>
        <r>
          <rPr>
            <b/>
            <sz val="9"/>
            <color indexed="81"/>
            <rFont val="Tahoma"/>
            <family val="2"/>
          </rPr>
          <t>Alfonso Carmona:</t>
        </r>
        <r>
          <rPr>
            <sz val="9"/>
            <color indexed="81"/>
            <rFont val="Tahoma"/>
            <family val="2"/>
          </rPr>
          <t xml:space="preserve">
2023
Entra en caja Rural el 18/05/24 por 7250,93. 
2688,59 es de pago redistributivo
4562,34 es de Ayuda Básica a la Renta (de este solo han tenido en cuenta los 117,29 derechos de NC a NA existentes. Pero faltan los de Las Corchas)
</t>
        </r>
      </text>
    </comment>
    <comment ref="AO11" authorId="1" shapeId="0" xr:uid="{16B5813B-097E-48C1-BE5E-F1FD300EC563}">
      <text>
        <r>
          <rPr>
            <b/>
            <sz val="9"/>
            <color indexed="81"/>
            <rFont val="Tahoma"/>
            <family val="2"/>
          </rPr>
          <t>Alfonso Carmona:
2023</t>
        </r>
        <r>
          <rPr>
            <sz val="9"/>
            <color indexed="81"/>
            <rFont val="Tahoma"/>
            <family val="2"/>
          </rPr>
          <t xml:space="preserve">
10% aprox de este concepto que debe estar pte de cobro
Ingresado: 03/07/24.
298,49 PERTENECEN A AYUDA COMPLEMENTARIA REDISTRIBUTIVA. El resto es renta básica</t>
        </r>
      </text>
    </comment>
    <comment ref="AP11" authorId="0" shapeId="0" xr:uid="{2E8E47BE-76A6-4927-9C0C-B66457943356}">
      <text>
        <r>
          <rPr>
            <sz val="9"/>
            <color indexed="81"/>
            <rFont val="Tahoma"/>
            <family val="2"/>
          </rPr>
          <t xml:space="preserve">2023 de Ayuda Básica a la Renta 
</t>
        </r>
      </text>
    </comment>
    <comment ref="AU11" authorId="2" shapeId="0" xr:uid="{9764B170-26AC-484F-96E4-9446A2C00CA3}">
      <text>
        <r>
          <rPr>
            <sz val="9"/>
            <color indexed="81"/>
            <rFont val="Tahoma"/>
            <family val="2"/>
          </rPr>
          <t xml:space="preserve">2023
Subvención abonada el 28/09/24 en caja Rural.
Es el 10% pendiente de Ayuda Básica a la Renta de 23/24 (de este solo han tenido en cuenta los 117,29 derechos de NC a NA existentes. Pero faltan los de Las Corchas)
</t>
        </r>
      </text>
    </comment>
    <comment ref="AV11" authorId="2" shapeId="0" xr:uid="{97BC9860-2EAF-4E62-AB91-E6F36C8F037C}">
      <text>
        <r>
          <rPr>
            <b/>
            <sz val="9"/>
            <color indexed="81"/>
            <rFont val="Tahoma"/>
            <family val="2"/>
          </rPr>
          <t>Maria:</t>
        </r>
        <r>
          <rPr>
            <sz val="9"/>
            <color indexed="81"/>
            <rFont val="Tahoma"/>
            <family val="2"/>
          </rPr>
          <t xml:space="preserve">
Ingreso subvencion el 18/10/24. 
Es renta básica de La Corte de PAC 2024</t>
        </r>
      </text>
    </comment>
    <comment ref="AX11" authorId="1" shapeId="0" xr:uid="{0D0FD0CB-1870-4BFB-AC81-CA554C38F544}">
      <text>
        <r>
          <rPr>
            <b/>
            <sz val="9"/>
            <color indexed="81"/>
            <rFont val="Tahoma"/>
            <family val="2"/>
          </rPr>
          <t>Alfonso Carmona:</t>
        </r>
        <r>
          <rPr>
            <sz val="9"/>
            <color indexed="81"/>
            <rFont val="Tahoma"/>
            <family val="2"/>
          </rPr>
          <t xml:space="preserve">
2024</t>
        </r>
      </text>
    </comment>
    <comment ref="BB11" authorId="3" shapeId="0" xr:uid="{A3771E84-9AE5-403D-9184-896E763C92A8}">
      <text>
        <r>
          <rPr>
            <sz val="9"/>
            <color indexed="81"/>
            <rFont val="Tahoma"/>
            <family val="2"/>
          </rPr>
          <t>Resolución de cesion de Derechos de Las Corchas de ayuda Básica a la Renta. 
Esta cantidad es de 23/24. 
EN REUMEN DE PAGOS DESCARGADO DICE QUE ESTA CANTIDAD ES DE TRANSHUMANCIA 2024</t>
        </r>
      </text>
    </comment>
    <comment ref="BD11" authorId="3" shapeId="0" xr:uid="{D3D5BC29-73B6-4093-AD61-2BF071A4C2CF}">
      <text>
        <r>
          <rPr>
            <sz val="9"/>
            <color indexed="81"/>
            <rFont val="Tahoma"/>
            <family val="2"/>
          </rPr>
          <t>Resolución de cesion de Derechos de Las Corchas de ayuda Básica a la Renta. 
Esta cantidad es de 23/24. 
Cobrado: 22/06/25</t>
        </r>
      </text>
    </comment>
    <comment ref="BK11" authorId="2" shapeId="0" xr:uid="{C7F15F7F-CD16-46BD-BCDC-61178F420591}">
      <text>
        <r>
          <rPr>
            <sz val="11"/>
            <color theme="1"/>
            <rFont val="Calibri"/>
            <family val="2"/>
            <scheme val="minor"/>
          </rPr>
          <t>445,15 entran en caja rural el 3.10.25
8993,12 entran en caja rural el 17.10.25</t>
        </r>
      </text>
    </comment>
    <comment ref="B12" authorId="3" shapeId="0" xr:uid="{BB4C91B6-3D4B-4E05-B72B-7118673B2AAB}">
      <text>
        <r>
          <rPr>
            <u/>
            <sz val="9"/>
            <color indexed="81"/>
            <rFont val="Tahoma"/>
            <family val="2"/>
          </rPr>
          <t xml:space="preserve">Junta de Andalucía (incorporada en la PAC)
</t>
        </r>
        <r>
          <rPr>
            <sz val="9"/>
            <color indexed="81"/>
            <rFont val="Tahoma"/>
            <family val="2"/>
          </rPr>
          <t>Entidad gestora: Caja Rural
Cantidad: 9900 aprox
Fecha de presentación estimada: 30/4 cada año
Fecha de pagos: 
Periocidad: anual</t>
        </r>
      </text>
    </comment>
    <comment ref="AM12" authorId="1" shapeId="0" xr:uid="{68999861-2CFD-4DD2-A9B9-BE984C897308}">
      <text>
        <r>
          <rPr>
            <b/>
            <sz val="9"/>
            <color indexed="81"/>
            <rFont val="Tahoma"/>
            <family val="2"/>
          </rPr>
          <t>Alfonso Carmona:</t>
        </r>
        <r>
          <rPr>
            <sz val="9"/>
            <color indexed="81"/>
            <rFont val="Tahoma"/>
            <family val="2"/>
          </rPr>
          <t xml:space="preserve">
2023
Entra en caja Rural el 25/05/24 ECOREGIMEN</t>
        </r>
      </text>
    </comment>
    <comment ref="AO12" authorId="1" shapeId="0" xr:uid="{FEC68C5E-91C5-462F-BF68-282CB4126E06}">
      <text>
        <r>
          <rPr>
            <b/>
            <sz val="9"/>
            <color indexed="81"/>
            <rFont val="Tahoma"/>
            <family val="2"/>
          </rPr>
          <t>Alfonso Carmona:
2023</t>
        </r>
        <r>
          <rPr>
            <sz val="9"/>
            <color indexed="81"/>
            <rFont val="Tahoma"/>
            <family val="2"/>
          </rPr>
          <t xml:space="preserve">
10% aprox de este concepto que debe estar pte de cobro
Ingresado: 03/07/24.</t>
        </r>
      </text>
    </comment>
    <comment ref="AV12" authorId="1" shapeId="0" xr:uid="{A1E5D8E1-17D0-4F7B-ABFE-00692A38EE79}">
      <text>
        <r>
          <rPr>
            <b/>
            <sz val="9"/>
            <color indexed="81"/>
            <rFont val="Tahoma"/>
            <family val="2"/>
          </rPr>
          <t>Alfonso Carmona:</t>
        </r>
        <r>
          <rPr>
            <sz val="9"/>
            <color indexed="81"/>
            <rFont val="Tahoma"/>
            <family val="2"/>
          </rPr>
          <t xml:space="preserve">
2024</t>
        </r>
      </text>
    </comment>
    <comment ref="AX12" authorId="1" shapeId="0" xr:uid="{329AFD53-CB46-4866-9EDE-F23EE623255F}">
      <text>
        <r>
          <rPr>
            <b/>
            <sz val="9"/>
            <color indexed="81"/>
            <rFont val="Tahoma"/>
            <family val="2"/>
          </rPr>
          <t>Alfonso Carmona:</t>
        </r>
        <r>
          <rPr>
            <sz val="9"/>
            <color indexed="81"/>
            <rFont val="Tahoma"/>
            <family val="2"/>
          </rPr>
          <t xml:space="preserve">
2024</t>
        </r>
      </text>
    </comment>
    <comment ref="BL12" authorId="1" shapeId="0" xr:uid="{33A622C0-E9DE-412D-B972-17CF9DAD956E}">
      <text>
        <r>
          <rPr>
            <b/>
            <sz val="9"/>
            <color indexed="81"/>
            <rFont val="Tahoma"/>
            <family val="2"/>
          </rPr>
          <t xml:space="preserve">5290,12 entra en caja Rural el 21.11.25. </t>
        </r>
      </text>
    </comment>
    <comment ref="B13" authorId="3" shapeId="0" xr:uid="{98E9F493-5164-47E1-B5B9-7A8DE8896EF1}">
      <text>
        <r>
          <rPr>
            <u/>
            <sz val="9"/>
            <color indexed="81"/>
            <rFont val="Tahoma"/>
            <family val="2"/>
          </rPr>
          <t xml:space="preserve">Junta de Andalucía (incorporada en la PAC)
</t>
        </r>
        <r>
          <rPr>
            <sz val="9"/>
            <color indexed="81"/>
            <rFont val="Tahoma"/>
            <family val="2"/>
          </rPr>
          <t>Entidad gestora: Ovipor
Cantidad concedida: dependiendo del consumo de medicamentos. Es un porcentaje?
Previsión 20/21: 
Fecha de presentación estimada:
Fecha de pagos: ¿?
Periocidad: cada año</t>
        </r>
      </text>
    </comment>
    <comment ref="B14" authorId="3" shapeId="0" xr:uid="{8B2BDA9F-03B5-4A07-A4EB-979E5060F906}">
      <text>
        <r>
          <rPr>
            <sz val="9"/>
            <color indexed="81"/>
            <rFont val="Tahoma"/>
            <family val="2"/>
          </rPr>
          <t xml:space="preserve">Junta de Andalucía (para aminorar el coste del seguro)
Entidad gestora: Agroseguro
Cantidad concedida: varia según la junta
Previsión 20/21: 2500
Fecha de presentación estimada:
Fecha de pagos: julio
Periocidad: cada año
</t>
        </r>
      </text>
    </comment>
    <comment ref="AP14" authorId="0" shapeId="0" xr:uid="{45EC239C-DA70-4F75-A005-6BE8E5BF194C}">
      <text>
        <r>
          <rPr>
            <sz val="9"/>
            <color indexed="81"/>
            <rFont val="Tahoma"/>
            <family val="2"/>
          </rPr>
          <t>2023
Ayuda de la Junta de Andalucía para aminorar el coste del seguro.
Entidad gestora: Agroseguro
Cantidad concedida: varia según la junta. 5000 Eur aprox según email de Ignacio Molina/Insufese de 14.4.24
Fecha de pagos: julio o agosto
Periocidad: cada año
Abonado: caja rural el 19/08/22.
NO ENTRA ESTA AYUDA
entra en NC 2.972,85€: Abonado Caja Rural: 13/01/25</t>
        </r>
      </text>
    </comment>
    <comment ref="BL14" authorId="1" shapeId="0" xr:uid="{FB5F67FA-3821-4F94-9273-F60904D90151}">
      <text>
        <r>
          <rPr>
            <b/>
            <sz val="9"/>
            <color indexed="81"/>
            <rFont val="Tahoma"/>
            <family val="2"/>
          </rPr>
          <t>Alfonso Carmona:</t>
        </r>
        <r>
          <rPr>
            <sz val="9"/>
            <color indexed="81"/>
            <rFont val="Tahoma"/>
            <family val="2"/>
          </rPr>
          <t xml:space="preserve">
1711,80 entran en caja rural el 3.11.25</t>
        </r>
      </text>
    </comment>
    <comment ref="AG20" authorId="3" shapeId="0" xr:uid="{7D1D7EF2-88A1-4E4A-822D-B6C597F7DD8B}">
      <text>
        <r>
          <rPr>
            <b/>
            <sz val="9"/>
            <color indexed="81"/>
            <rFont val="Tahoma"/>
            <family val="2"/>
          </rPr>
          <t xml:space="preserve">Fras Ovipor de octubre. 
</t>
        </r>
        <r>
          <rPr>
            <sz val="9"/>
            <color indexed="81"/>
            <rFont val="Tahoma"/>
            <family val="2"/>
          </rPr>
          <t>20,37€.
32,37€.
108,93€.
2.148,89€. 
Caragdo el 03/11/23.</t>
        </r>
      </text>
    </comment>
    <comment ref="AH20" authorId="3" shapeId="0" xr:uid="{19A11AA6-587E-4467-93F9-86CBE819BBAB}">
      <text>
        <r>
          <rPr>
            <b/>
            <sz val="9"/>
            <color indexed="81"/>
            <rFont val="Tahoma"/>
            <family val="2"/>
          </rPr>
          <t xml:space="preserve">Fra Servivet del 30/11/23.
</t>
        </r>
        <r>
          <rPr>
            <sz val="9"/>
            <color indexed="81"/>
            <rFont val="Tahoma"/>
            <family val="2"/>
          </rPr>
          <t>Vacunas: 126,50€.
Domiciliado el 04/12/23. cargado.-04/12/23
-------------------------------</t>
        </r>
        <r>
          <rPr>
            <b/>
            <sz val="9"/>
            <color indexed="81"/>
            <rFont val="Tahoma"/>
            <family val="2"/>
          </rPr>
          <t xml:space="preserve">
Fra Servivet del 30/11/23.
</t>
        </r>
        <r>
          <rPr>
            <sz val="9"/>
            <color indexed="81"/>
            <rFont val="Tahoma"/>
            <family val="2"/>
          </rPr>
          <t xml:space="preserve">Vacunas: 292,60€.
Domiciliado el 04/12/23. cargado.-04/12/23
-----------------------------------
</t>
        </r>
        <r>
          <rPr>
            <b/>
            <sz val="9"/>
            <color indexed="81"/>
            <rFont val="Tahoma"/>
            <family val="2"/>
          </rPr>
          <t>Fra Servivet del 21/12/23.</t>
        </r>
        <r>
          <rPr>
            <sz val="9"/>
            <color indexed="81"/>
            <rFont val="Tahoma"/>
            <family val="2"/>
          </rPr>
          <t xml:space="preserve">
Saneamiento:371,80€.
cargado.-22/12/23
-----------------------------------
</t>
        </r>
      </text>
    </comment>
    <comment ref="AI20" authorId="3" shapeId="0" xr:uid="{A9A7FB78-26CC-4723-AE23-804A156FB723}">
      <text>
        <r>
          <rPr>
            <b/>
            <sz val="9"/>
            <color indexed="81"/>
            <rFont val="Tahoma"/>
            <family val="2"/>
          </rPr>
          <t>Fra Prozovet del 28/11/23.</t>
        </r>
        <r>
          <rPr>
            <sz val="9"/>
            <color indexed="81"/>
            <rFont val="Tahoma"/>
            <family val="2"/>
          </rPr>
          <t xml:space="preserve">
Vacunas: 1.490,30€.
Domiciliado el 28/12/23. - Cargado: 01/01/24.
-------------------------------------
</t>
        </r>
        <r>
          <rPr>
            <b/>
            <sz val="9"/>
            <color indexed="81"/>
            <rFont val="Tahoma"/>
            <family val="2"/>
          </rPr>
          <t>Fra Servivet del 29/12/23.</t>
        </r>
        <r>
          <rPr>
            <sz val="9"/>
            <color indexed="81"/>
            <rFont val="Tahoma"/>
            <family val="2"/>
          </rPr>
          <t xml:space="preserve">
51 becerras revacunas: 72,20€.
Domiciliado el 03/01/24. cargado.-03/01/24
-----------------------------------</t>
        </r>
      </text>
    </comment>
    <comment ref="AJ20" authorId="3" shapeId="0" xr:uid="{8A5981B1-946C-4854-B92B-ADD57FAF4A34}">
      <text>
        <r>
          <rPr>
            <b/>
            <sz val="9"/>
            <color indexed="81"/>
            <rFont val="Tahoma"/>
            <family val="2"/>
          </rPr>
          <t xml:space="preserve">Fra Ovipor del 30/11/23. </t>
        </r>
        <r>
          <rPr>
            <sz val="9"/>
            <color indexed="81"/>
            <rFont val="Tahoma"/>
            <family val="2"/>
          </rPr>
          <t xml:space="preserve">
16,50€.
Cargado el 01/02/24.
---------------------------
</t>
        </r>
      </text>
    </comment>
    <comment ref="AL20" authorId="3" shapeId="0" xr:uid="{5229AF1D-6B3D-494B-983B-E8DD0E476F52}">
      <text>
        <r>
          <rPr>
            <b/>
            <sz val="9"/>
            <color indexed="81"/>
            <rFont val="Tahoma"/>
            <family val="2"/>
          </rPr>
          <t>Fra Jose Luis Garcia Cubero del 05/02/24.</t>
        </r>
        <r>
          <rPr>
            <sz val="9"/>
            <color indexed="81"/>
            <rFont val="Tahoma"/>
            <family val="2"/>
          </rPr>
          <t xml:space="preserve">
Veterinario para vacas: 590€ 
Ok ALF 07/02/24
Pndte realizar transferencia.
Transferencia Caixa realizada: 05/04/24
-----------------------------------
</t>
        </r>
        <r>
          <rPr>
            <b/>
            <sz val="9"/>
            <color indexed="81"/>
            <rFont val="Tahoma"/>
            <family val="2"/>
          </rPr>
          <t>Fra Servivet del 04/04/24.</t>
        </r>
        <r>
          <rPr>
            <sz val="9"/>
            <color indexed="81"/>
            <rFont val="Tahoma"/>
            <family val="2"/>
          </rPr>
          <t xml:space="preserve">
25 becerros saneados: 165€.
OK ALF 05/04/24
Pndte realizar transferencia.
Transferencia Caixa realizada el 25/04/24
-----------------------------------
</t>
        </r>
        <r>
          <rPr>
            <b/>
            <sz val="9"/>
            <color indexed="81"/>
            <rFont val="Tahoma"/>
            <family val="2"/>
          </rPr>
          <t>Fra Prozovet del 21/03/24.</t>
        </r>
        <r>
          <rPr>
            <sz val="9"/>
            <color indexed="81"/>
            <rFont val="Tahoma"/>
            <family val="2"/>
          </rPr>
          <t xml:space="preserve">
Medicamentos vacas: 163,32€.
Domiciliado el 20/04/24. - Cargado: 22/04/24
-------------------------------------
</t>
        </r>
        <r>
          <rPr>
            <b/>
            <sz val="9"/>
            <color indexed="81"/>
            <rFont val="Tahoma"/>
            <family val="2"/>
          </rPr>
          <t>Fra Servivet del 18/04/24.</t>
        </r>
        <r>
          <rPr>
            <sz val="9"/>
            <color indexed="81"/>
            <rFont val="Tahoma"/>
            <family val="2"/>
          </rPr>
          <t xml:space="preserve">
1 toro saneado: 60,5€.
OK ALF 18/04/24
Pndte realizar transferencia
Transferencia Caixa realizada el 25/04/24
------------------------------------------
Fra ovipor del 31/03/24: 101,48 €
Fra Ovipor del 29/02/24: 
49,50 €</t>
        </r>
      </text>
    </comment>
    <comment ref="AM20" authorId="3" shapeId="0" xr:uid="{07D46EF1-E4D3-4AA8-9A4E-CCEB66D24334}">
      <text>
        <r>
          <rPr>
            <b/>
            <sz val="9"/>
            <color indexed="81"/>
            <rFont val="Tahoma"/>
            <family val="2"/>
          </rPr>
          <t xml:space="preserve">Fra Prozovet del 12/04/24.
</t>
        </r>
        <r>
          <rPr>
            <sz val="9"/>
            <color indexed="81"/>
            <rFont val="Tahoma"/>
            <family val="2"/>
          </rPr>
          <t xml:space="preserve">Medicinas: 282,72€.
Cargado: 13/05/24.
-------------------------------
</t>
        </r>
        <r>
          <rPr>
            <b/>
            <sz val="9"/>
            <color indexed="81"/>
            <rFont val="Tahoma"/>
            <family val="2"/>
          </rPr>
          <t>Fra Servivet del 20/05/24.</t>
        </r>
        <r>
          <rPr>
            <sz val="9"/>
            <color indexed="81"/>
            <rFont val="Tahoma"/>
            <family val="2"/>
          </rPr>
          <t xml:space="preserve">
34 becerros saneados: 204,60€.
OK ALF 20/05/24
Pndte realizar transferencia.
Transferencia por el total 298,10€ realizada el 29/05/24
------------------------------
Fra Ovipor del 12/04/24. 154,01€. 
</t>
        </r>
      </text>
    </comment>
    <comment ref="AN20" authorId="3" shapeId="0" xr:uid="{71BEA69D-5203-46B9-BBE6-9AF7A3C9598A}">
      <text>
        <r>
          <rPr>
            <b/>
            <sz val="9"/>
            <color indexed="81"/>
            <rFont val="Tahoma"/>
            <family val="2"/>
          </rPr>
          <t xml:space="preserve">Fra Ovipor 16/05/24: 152,86€.
Fra Ovipor del 30/04/24. 413,17€
Fra Ovipor 01/06/24: 27,23€
</t>
        </r>
      </text>
    </comment>
    <comment ref="AO20" authorId="3" shapeId="0" xr:uid="{B86F5AE7-025E-4FB3-855A-B4C9347DDC0C}">
      <text>
        <r>
          <rPr>
            <b/>
            <sz val="9"/>
            <color indexed="81"/>
            <rFont val="Tahoma"/>
            <family val="2"/>
          </rPr>
          <t xml:space="preserve">Fra Ovipor del 29/06/24: 181,50 €
-----------------------
Fra Ovipor del 31/05/24: 165,54 €
-------------------------------
Fra Servivet del 17/07/24.
</t>
        </r>
        <r>
          <rPr>
            <sz val="9"/>
            <color indexed="81"/>
            <rFont val="Tahoma"/>
            <family val="2"/>
          </rPr>
          <t>18 becerros saneados: 134,20€.
OK ALF 19/07/24</t>
        </r>
        <r>
          <rPr>
            <b/>
            <sz val="9"/>
            <color indexed="81"/>
            <rFont val="Tahoma"/>
            <family val="2"/>
          </rPr>
          <t xml:space="preserve">
Fra Servivet del 17/07/24.
</t>
        </r>
        <r>
          <rPr>
            <sz val="9"/>
            <color indexed="81"/>
            <rFont val="Tahoma"/>
            <family val="2"/>
          </rPr>
          <t xml:space="preserve">174 bobinos vacunados: 134,20€.
OK ALF 19/07/24
Pndte realizar transferencia.
Transferencia por el total 268,40€ realizada el 19/07/24
--------------------------------
</t>
        </r>
        <r>
          <rPr>
            <b/>
            <sz val="9"/>
            <color indexed="81"/>
            <rFont val="Tahoma"/>
            <family val="2"/>
          </rPr>
          <t>Fra Prozovet del 28/06/24.</t>
        </r>
        <r>
          <rPr>
            <sz val="9"/>
            <color indexed="81"/>
            <rFont val="Tahoma"/>
            <family val="2"/>
          </rPr>
          <t xml:space="preserve">
Medicinas: 898,30€.
Cargado: 29/07/24</t>
        </r>
      </text>
    </comment>
    <comment ref="AP20" authorId="3" shapeId="0" xr:uid="{3D84291A-D0A1-4B74-9061-6D733823B78A}">
      <text>
        <r>
          <rPr>
            <b/>
            <sz val="9"/>
            <color indexed="81"/>
            <rFont val="Tahoma"/>
            <family val="2"/>
          </rPr>
          <t xml:space="preserve">Fra Jose Luis Garcia Cubero del 24/07/24. 
</t>
        </r>
        <r>
          <rPr>
            <sz val="9"/>
            <color indexed="81"/>
            <rFont val="Tahoma"/>
            <family val="2"/>
          </rPr>
          <t>Vacas: 272,00€
Pendiente realizar transferencia. 
Transf. Caixa realizada el 22/08/24
---------------------
Pndtes fras Ovipor
100,79€
Fra ovipor del 01/07/24: 14,76€ cargadas el 05/08/24</t>
        </r>
      </text>
    </comment>
    <comment ref="AU20" authorId="3" shapeId="0" xr:uid="{6F02AFF4-FBF4-4B5E-B27D-421C49254DD0}">
      <text>
        <r>
          <rPr>
            <b/>
            <sz val="9"/>
            <color indexed="81"/>
            <rFont val="Tahoma"/>
            <family val="2"/>
          </rPr>
          <t xml:space="preserve">Fra Jose Luis Garcia Cubero del 02/05/24. 
</t>
        </r>
        <r>
          <rPr>
            <sz val="9"/>
            <color indexed="81"/>
            <rFont val="Tahoma"/>
            <family val="2"/>
          </rPr>
          <t xml:space="preserve">Vacas: 388€
Pendiente realizar transferencia. 
Transf. Caixa x el total 542,50€ realizada el 03/09/24 
---------------------
Fra Ovipor del 25/07/24: 7,82€.
Fra Ovipor del 20/08/24:90,26€.
Fra Ovipor del 31/07/24:137,78€. 
Fra Ovipor del 30/08/24: 21,78€. 
</t>
        </r>
        <r>
          <rPr>
            <b/>
            <sz val="9"/>
            <color indexed="81"/>
            <rFont val="Tahoma"/>
            <family val="2"/>
          </rPr>
          <t xml:space="preserve">Fra Jose Luis Garcia Cubero del 27/09/24. </t>
        </r>
        <r>
          <rPr>
            <sz val="9"/>
            <color indexed="81"/>
            <rFont val="Tahoma"/>
            <family val="2"/>
          </rPr>
          <t xml:space="preserve">
Vacas: 60€
Pendiente realizar transferencia. 
Transf. Caixa realizada el 27/09/24</t>
        </r>
      </text>
    </comment>
    <comment ref="AV20" authorId="2" shapeId="0" xr:uid="{5CF7EB59-4FF8-41B1-9F47-08A0B80CCD09}">
      <text>
        <r>
          <rPr>
            <b/>
            <sz val="9"/>
            <color indexed="81"/>
            <rFont val="Tahoma"/>
            <family val="2"/>
          </rPr>
          <t>Maria:</t>
        </r>
        <r>
          <rPr>
            <sz val="9"/>
            <color indexed="81"/>
            <rFont val="Tahoma"/>
            <family val="2"/>
          </rPr>
          <t xml:space="preserve">
Fra Prozovet del  02/09/24.
Cargado: 02/10/24
--------------------------
Fra Ovipor del 31/08/24.
Saneamiento: 1275,54€. 
Cargado: 07/10/24
-------------------------------
Fra Ovipor del 26/09/24.
Cargado: 07/10/24.</t>
        </r>
      </text>
    </comment>
    <comment ref="AW20" authorId="3" shapeId="0" xr:uid="{ECC4787B-A781-48E4-A86C-740F613F32D7}">
      <text>
        <r>
          <rPr>
            <sz val="9"/>
            <color indexed="81"/>
            <rFont val="Tahoma"/>
            <family val="2"/>
          </rPr>
          <t xml:space="preserve">
OVIPOR:
- 5,60€.
-101,60€.
-184,84€. 
- 17,67€. 
---------------------------------------
</t>
        </r>
      </text>
    </comment>
    <comment ref="AX20" authorId="3" shapeId="0" xr:uid="{4BE60919-63CB-4DAC-9540-45AEF9C827AA}">
      <text>
        <r>
          <rPr>
            <sz val="9"/>
            <color indexed="81"/>
            <rFont val="Tahoma"/>
            <family val="2"/>
          </rPr>
          <t xml:space="preserve">
Fra Prozovet del 21/11/24.
Medicinas: 280,24€. 
Cargado: 23/12/24
--------------------------------------
Fra Prozovet del 22/11/24.
Medicinas: 848,47€. 
Cargado: 23/12/24
----------------------------------------
Fra Servivet del  25/11/24.
Vacunas: 59,40€. 
Pendiente realizar transferncias. 
Transf. Caixa x el total 480,70€ realizada el 18/12/24 
--------------------------------
Fra Servivet del  26/11/24.
Vacunas: 22,00€. 
Pendiente realizar transferncias. 
Transf. Caixa x el total 480,70€ realizada el 18/12/24 
--------------------------------
Fra Servivet del  26/11/24.
Vacunas: 162,80€. 
Pendiente realizar transferncias. 
Transf. Caixa x el total 480,70€ realizada el 18/12/24 
--------------------------------
Fra ovipor del 29/11/24: 46,46€</t>
        </r>
      </text>
    </comment>
    <comment ref="AY20" authorId="3" shapeId="0" xr:uid="{58E1109F-D512-4BF9-B98A-1F4C23DF422B}">
      <text>
        <r>
          <rPr>
            <sz val="9"/>
            <color indexed="81"/>
            <rFont val="Tahoma"/>
            <family val="2"/>
          </rPr>
          <t>Fra Servivet del 17/12/24.
Vacunas: 68,20€
Pendiente realizar transferencia. 
Transf. Caixa x el total 125,40€ realizada el 29/01/25
---------------------------------
Fra Prozovet 29/11/24.
Vacunas: 32,87€.
Domiciliado: 01/01/25</t>
        </r>
      </text>
    </comment>
    <comment ref="BA20" authorId="2" shapeId="0" xr:uid="{46DDA69B-8520-456D-B64E-9DDA2EE1FEAB}">
      <text>
        <r>
          <rPr>
            <b/>
            <sz val="9"/>
            <color indexed="81"/>
            <rFont val="Tahoma"/>
            <family val="2"/>
          </rPr>
          <t>Maria:</t>
        </r>
        <r>
          <rPr>
            <sz val="9"/>
            <color indexed="81"/>
            <rFont val="Tahoma"/>
            <family val="2"/>
          </rPr>
          <t xml:space="preserve">
Fra Ovipor del 31/01/2025.
Cargado: </t>
        </r>
      </text>
    </comment>
    <comment ref="BB20" authorId="2" shapeId="0" xr:uid="{014993DD-27A7-4651-B499-CF58144B7C61}">
      <text>
        <r>
          <rPr>
            <sz val="9"/>
            <color indexed="81"/>
            <rFont val="Tahoma"/>
            <family val="2"/>
          </rPr>
          <t>CUENTAS CON GARCIA CUBERO:
GARCIA CUBERO nos debe descontar 8 sacos de pienso de CERSUR (que va en alimento).  
8*100€/saco=800,00€
Correo de Alfonso del 25/07/24 y confirmado acordado con veterinario que es correcto. Lo irá descontando en varias facturas 
Febrero 25
Vacas: 78 ecos x 2€ = 156€ 
Desplazamiento: 50€ (compartido con cochinos)
Total 206€
Resumen cuenta:
-800+206
Multiplicamos x0 para que quede neutro pero reflejado.
-----------------------------------------------------------------------
Fra Prozovet del 04/03/2025. 
medicinas: 744,52€ 
Domiciliado el 07/04/2025.
----------------------------------
Fra Servivet del 18/03/25.
Saneamiento: 134,20€. 
Transferencia Caixa realizada el 16/04/25
-----------------------------------
Fra Prozovet del 21/03/2025. 
medicinas: 98,63€ 
Domiciliado: 22/04/25
-----------------------------------
Fra Prozovet del 31/03/2025. 
medicinas: 91,78€ 
Pendiente transferencia. 
----------------------------------
Fra ovipor del 28/02/25.
Guia veterinaria: 66€. 
Domicliado: 08/04/25.
----------------------------------
Fra ovipor del 31/03/25.
Guia veterinaria: 147,13€. 
Domicliado: 08/04/25.
----------------------------------------------
Fra ovipor del 31/03/25.
Guia veterinaria: 46,46€. 
Domicliado: 08/04/25.</t>
        </r>
      </text>
    </comment>
    <comment ref="BC20" authorId="2" shapeId="0" xr:uid="{9586A3B1-EC8D-442A-B23B-A745C0BFD64F}">
      <text>
        <r>
          <rPr>
            <sz val="9"/>
            <color indexed="81"/>
            <rFont val="Tahoma"/>
            <family val="2"/>
          </rPr>
          <t>CUENTAS CON GARCIA CUBERO:
GARCIA CUBERO nos debe descontar 8 sacos de pienso de CERSUR (que va en alimento).  
8*100€/saco=800,00€
Correo de Alfonso del 25/07/24 y confirmado acordado con veterinario que es correcto. Lo irá descontando en varias facturas 
Mayo 25
Vacas: 98 ecos x 2€ = 196€
Desplazamiento: 100€
Total 296€
Resumen cuenta:
-800+206+81+296
Multiplicamos x0 para que quede neutro pero reflejado.
-----------------------------------------
Encargado a Prozovet 2 polibascol 100 Eur aprox y 10 bovipast 500 Eur aprox
-----------------------------------
Fra Prozovet del 31/03/2025. 
medicinas: 91,78€ 
Domiciliado: 02/05/2025.
----------------------------------
Fra Servivet del 29/04/25.
Vacunas: 156,20€. 
Transferencia Caixa x el total 323,40€ realizada el 18/05/25 
------------------------------
Fra Ovipor del 08/04/2025.
Medicinas: 81,08€.
Domiciliado: 06/05/25.
------------------------------------------
Fra Prozovet del 25/04/2025. 
medicinas: 24,71€
Domiciliado:27/05/25
---------------------------------
Fra Ovipor del 22/04/2025.
Medicinas: 101,60€.
Domiciliado: 06/05/25.
---------------------------------
Fra Ovipor del 25/04/2025.
Medicinas: 3,74€.
Domiciliado: 06/05/25.</t>
        </r>
      </text>
    </comment>
    <comment ref="BD20" authorId="2" shapeId="0" xr:uid="{358356DF-E84C-46DC-B1F5-E64D4AB217C9}">
      <text>
        <r>
          <rPr>
            <sz val="9"/>
            <color indexed="81"/>
            <rFont val="Tahoma"/>
            <family val="2"/>
          </rPr>
          <t>Encargado a Prozovet 2 polibascol 100 Eur aprox y 10 bovipast 500 Eur aprox
-----------------------------------
Fra Prozovet del 30/04/2025. 
medicinas: 217,33€
Domiciliado: 01/06/25
------------------------------
Fra Servivet del 20/05/25.
Vacunas: 149,05€.
Transf. Caixa realizada el 20/06/25
-----------------------------------
Fra Servivet del 12/06/25.
Vacunas: 94,60€.
Transf. Caixa realizada el 20/06/25</t>
        </r>
      </text>
    </comment>
    <comment ref="BE20" authorId="2" shapeId="0" xr:uid="{27B1B51D-1D79-42BF-811C-92B531787B1A}">
      <text>
        <r>
          <rPr>
            <sz val="9"/>
            <color indexed="81"/>
            <rFont val="Tahoma"/>
            <family val="2"/>
          </rPr>
          <t>Fra Prozovet del 05/06/2025. 
medicinas: 293,30€
Domiciliado: 07/07/25
------------------------------
Fra Ovipor 17/06/25.
medicinas:225,72€
Domiciliado:23/07/25
----------------------------------
Fra Ovipor 17/06/25.
medicinas: 89,18€
Domiciliado: 23/07/25
----------------------------------
Fra Ovipor 09/06/25.
medicinas: 2,53€
Domiciliado: 23/07/25
----------------------------------
Fra Ovipor 26/06/25.
medicinas: 9,08€
Domiciliado: 23/07/25
----------------------------------
Fra Ovipor 31/05/25.
medicinas: 194,48€
Domiciliado: 23/07/25
----------------------------------
Fra Ovipor 16/05/25.
medicinas: 10,10€
Domiciliado: 23/07/25
----------------------------------
Fra Ovipor del 30/06/25.
Mantenimiento: 181,50€. 
Domiciliado: 08/07/25.</t>
        </r>
      </text>
    </comment>
    <comment ref="BF20" authorId="1" shapeId="0" xr:uid="{CF2E9B2F-A56A-46EE-B0FF-940A6D0F5A86}">
      <text>
        <r>
          <rPr>
            <sz val="9"/>
            <color indexed="81"/>
            <rFont val="Tahoma"/>
            <family val="2"/>
          </rPr>
          <t xml:space="preserve">Fra Prozovet del 09/07/2025. 
medicinas: 1.366,95€
Domiciliado: 08/08/25
------------------------------
Fra Servivet del 14/07/25.
Vacunas: 170,49€.
Transf. Caixa realizada el 01/08/25
----------------------------------
Fra Servivet del 05/08/25.
Vacunas: 138,60€.
Pendiente realizar transferencia. 
Transf. Caixa realizada el 29/08/25
----------------------------------
Fra Servivet del 05/08/25.
Vacunas: 71,50€.
Pendiente realizar transferencia. 
Transf. Caixa realizada el 29/08/25
----------------------------------
Fra Ovipor del 03/07/2025: 124,18€. 
---------------------------------------
Fra Ovipor del 10/07/2025: 30,01€. 
------------------------------------------------
Fra Ovipor del 11/07/2025: 119,94€. 
---------------------------------------
Fra Ovipor del 01/07/2025: 183,21€. 
---------------------------------------
Fra Ovipor del 31/07/2025: 217,29€. </t>
        </r>
      </text>
    </comment>
    <comment ref="BK20" authorId="2" shapeId="0" xr:uid="{74E8B290-8E55-4C67-93B8-6BAB9C6F89B8}">
      <text>
        <r>
          <rPr>
            <sz val="9"/>
            <color indexed="81"/>
            <rFont val="Tahoma"/>
            <family val="2"/>
          </rPr>
          <t xml:space="preserve">Fra Prozovet del 03/09/25.
Medicinas: 791,78€. 
Domiciliado: 03/10/25
--------------------------------------
Fra Prozovet del 05/09/25.
Medicinas: 75,63€. 
Pendiente. 06/10/25
--------------------------------------
Fra Ovipor del 04/09/2025: 10,10€. 
---------------------------------------
Fra Ovipor del 18/09/2025: 18,22€. </t>
        </r>
      </text>
    </comment>
    <comment ref="BL20" authorId="2" shapeId="0" xr:uid="{414AF797-F647-450D-9C66-ADE9CEB3EB41}">
      <text>
        <r>
          <rPr>
            <b/>
            <sz val="9"/>
            <color indexed="81"/>
            <rFont val="Tahoma"/>
            <family val="2"/>
          </rPr>
          <t>Maria:</t>
        </r>
        <r>
          <rPr>
            <sz val="9"/>
            <color indexed="81"/>
            <rFont val="Tahoma"/>
            <family val="2"/>
          </rPr>
          <t xml:space="preserve">
Fra OVIPOR del  14/10/25: 281,65€
----------------------------------
Fra Ovipor del 30/09/25: 1.550,38€
----------------------------------
Fra Ovipor del 30/10/25: 50,58€
----------------------------------
Fra Ovipor del 30/10/25: 56,75€
</t>
        </r>
      </text>
    </comment>
    <comment ref="BM20" authorId="2" shapeId="0" xr:uid="{8305F981-398E-4F07-A0CA-B9B92CE04026}">
      <text>
        <r>
          <rPr>
            <sz val="9"/>
            <color indexed="81"/>
            <rFont val="Tahoma"/>
            <family val="2"/>
          </rPr>
          <t xml:space="preserve">Fra Prozovet del 19/11/25.
Medicinas: 539,66€. 
Domiciliado: 19/12/25
--------------------------------------
</t>
        </r>
      </text>
    </comment>
    <comment ref="BN20" authorId="2" shapeId="0" xr:uid="{5533141D-91A4-4468-96B6-7E693A2373C0}">
      <text>
        <r>
          <rPr>
            <sz val="9"/>
            <color indexed="81"/>
            <rFont val="Tahoma"/>
            <family val="2"/>
          </rPr>
          <t>Fra Prozovet del 17/12/25.
Medicinas: 920,08€.
Domiciliado: 16/01/26
--------------------------------------</t>
        </r>
      </text>
    </comment>
    <comment ref="BP20" authorId="1" shapeId="0" xr:uid="{21B804AB-AC10-43A8-B8AF-3D62EE2804F7}">
      <text>
        <r>
          <rPr>
            <b/>
            <sz val="9"/>
            <color indexed="81"/>
            <rFont val="Tahoma"/>
            <family val="2"/>
          </rPr>
          <t>Alfonso Carmona:</t>
        </r>
        <r>
          <rPr>
            <sz val="9"/>
            <color indexed="81"/>
            <rFont val="Tahoma"/>
            <family val="2"/>
          </rPr>
          <t xml:space="preserve">
Noviembre 25
Vacas: 117 ecos x 2€ = 234€
Desplazamiento: 100€
Total 334€
Febrero 26 
Vacas: 14 ecos x 2€ = 28€
Desplazamiento: 50€
Total 78€
Pte factura con IVA
Fra Jose luis garcia cubero del 27/02/26.
Veterinario: 564,50€. 
Transferencia Caixa realizada el 31/03/26
-----------------------------------------------
Fra Natalia Roman Prieto del 26/02/26.
Vacunas: 215,52€. 
Fra Natalia Roman Prieto del 17/03/26.
Vacunas: 33,00€. 
Fra Natalia Roman Prieto del 19/03/26.
Vacunas: 121,00€. 
369,52€: Transferencia Caixa realizada el 31/03/26</t>
        </r>
      </text>
    </comment>
    <comment ref="BQ20" authorId="2" shapeId="0" xr:uid="{613FD215-7230-4A16-929C-7396F14E68ED}">
      <text>
        <r>
          <rPr>
            <b/>
            <sz val="9"/>
            <color indexed="81"/>
            <rFont val="Tahoma"/>
            <family val="2"/>
          </rPr>
          <t>Maria:</t>
        </r>
        <r>
          <rPr>
            <sz val="9"/>
            <color indexed="81"/>
            <rFont val="Tahoma"/>
            <family val="2"/>
          </rPr>
          <t xml:space="preserve">
Fra Prozovet del  10-03-26.
Medicinas: 385,05€. 
Domiciliado: 09/04/26
--------------------------------
Fra Ovipor del 28/02/26.
Medicinas: 82,50€. 
Cargado: 
-------------------------------
Fra Ovipor del 06/03/26.
Medicinas: 118,55€. 
Cargado: 
-------------------------------
Fra Ovipor del 17/03/26.
Medicinas: 11,06€. 
Cargado: </t>
        </r>
      </text>
    </comment>
    <comment ref="BR20" authorId="2" shapeId="0" xr:uid="{C4653828-9ACB-4295-BFEA-28EA9B136B96}">
      <text>
        <r>
          <rPr>
            <b/>
            <sz val="9"/>
            <color indexed="81"/>
            <rFont val="Tahoma"/>
            <family val="2"/>
          </rPr>
          <t>Maria:</t>
        </r>
        <r>
          <rPr>
            <sz val="9"/>
            <color indexed="81"/>
            <rFont val="Tahoma"/>
            <family val="2"/>
          </rPr>
          <t xml:space="preserve">
Fra Natalia Roman del 12/05/26.
Medicinas: 187,00€.
Transf. Caixa realizada el 22/05/26
----------------------------------
Fra Ovipor del 30/04/26.
Crotales: 50,58€. 
Domiciliado 13/05/26
----------------------------------
Fra Jose Luis Garcia del 19/05/26.
Eco: 178,00€. 
Transf. Caixa realizada el 22/05/26
----------------------------------
Fra Prozovet del 06/04/26.
Varios: 181,50€.
Domiciliado: 06/05/26
-------------------------------------
Fra Ovipor del 13/04/26.
Crotales: 280,34€. 
Domiciliado 13/05/26
------------------------------------
Devolución ovipor del 30/12/25: -707,00€. 
Domiciliado: 
------------------------------------</t>
        </r>
      </text>
    </comment>
    <comment ref="BS20" authorId="2" shapeId="0" xr:uid="{8D0BF615-8441-4827-A36E-418D2F30F8B2}">
      <text>
        <r>
          <rPr>
            <b/>
            <sz val="9"/>
            <color indexed="81"/>
            <rFont val="Tahoma"/>
            <family val="2"/>
          </rPr>
          <t>Maria:</t>
        </r>
        <r>
          <rPr>
            <sz val="9"/>
            <color indexed="81"/>
            <rFont val="Tahoma"/>
            <family val="2"/>
          </rPr>
          <t xml:space="preserve">
Fra Prozovet del 11/05/26.
Varios: 2.546,12€.
Domiciliado: 10/05/26
----------------------------
Fra Prozovet del 12/05/26.
Varios: 416,86€.
Domiciliado: 12/06/26
-------------------------------
Fra Ovipor del 06/05/26: 51,63€
domciliado: 08/06/26.
-------------------------------
Fra Ovipor del 11/05/26: 48,20€
domciliado: 08/06/26.
-------------------------------
Fra Ovipor del 19/05/26: 9,81€
domciliado: 08/06/26.
-------------------------------
Fra Ovipor del 27/05/26: 105,61€
domciliado: 08/06/26.
-------------------------------
Fra Ovipor del 28/05/26: 5,20€
domciliado: 08/06/26.</t>
        </r>
      </text>
    </comment>
    <comment ref="AI21" authorId="0" shapeId="0" xr:uid="{8E4B640B-7F21-4772-A4FC-B6515A8C855D}">
      <text>
        <r>
          <rPr>
            <b/>
            <sz val="9"/>
            <color indexed="81"/>
            <rFont val="Tahoma"/>
            <family val="2"/>
          </rPr>
          <t xml:space="preserve">Fra Isagri del 10/01/24.
</t>
        </r>
        <r>
          <rPr>
            <sz val="9"/>
            <color indexed="81"/>
            <rFont val="Tahoma"/>
            <family val="2"/>
          </rPr>
          <t>Troup´o : 1347,02 - 426,02€. 
Cargado: 22/01/24</t>
        </r>
      </text>
    </comment>
    <comment ref="AY21" authorId="0" shapeId="0" xr:uid="{86A8EA8E-38A9-4214-A3EA-C1B5F0444AB4}">
      <text>
        <r>
          <rPr>
            <b/>
            <sz val="9"/>
            <color indexed="81"/>
            <rFont val="Tahoma"/>
            <family val="2"/>
          </rPr>
          <t xml:space="preserve">Fra Isagri del 31/12/24
</t>
        </r>
        <r>
          <rPr>
            <sz val="9"/>
            <color indexed="81"/>
            <rFont val="Tahoma"/>
            <family val="2"/>
          </rPr>
          <t>Troup´o:976,18€. 
Cargado: 24/01/2025.</t>
        </r>
      </text>
    </comment>
    <comment ref="BM21" authorId="2" shapeId="0" xr:uid="{EBA3A103-2E15-4A65-A447-D74DAFE356C4}">
      <text>
        <r>
          <rPr>
            <b/>
            <sz val="9"/>
            <color indexed="81"/>
            <rFont val="Tahoma"/>
            <family val="2"/>
          </rPr>
          <t>Maria:</t>
        </r>
        <r>
          <rPr>
            <sz val="9"/>
            <color indexed="81"/>
            <rFont val="Tahoma"/>
            <family val="2"/>
          </rPr>
          <t xml:space="preserve">
Fra Isagri del 10/12/25.
Domiciliado: 30/12/25</t>
        </r>
      </text>
    </comment>
    <comment ref="CC21" authorId="0" shapeId="0" xr:uid="{8E2A5C29-00AB-4738-9A43-5E94A0136A79}">
      <text>
        <r>
          <rPr>
            <b/>
            <sz val="9"/>
            <color indexed="81"/>
            <rFont val="Tahoma"/>
            <family val="2"/>
          </rPr>
          <t xml:space="preserve">Fra Isagri del 10/01/24.
</t>
        </r>
        <r>
          <rPr>
            <sz val="9"/>
            <color indexed="81"/>
            <rFont val="Tahoma"/>
            <family val="2"/>
          </rPr>
          <t>Troup´o : 1347,02 - 426,02€. 
Cargado: 22/01/24</t>
        </r>
      </text>
    </comment>
    <comment ref="CR21" authorId="0" shapeId="0" xr:uid="{707104DD-CF16-4F92-A520-4AFF05ECDA98}">
      <text>
        <r>
          <rPr>
            <b/>
            <sz val="9"/>
            <color indexed="81"/>
            <rFont val="Tahoma"/>
            <family val="2"/>
          </rPr>
          <t xml:space="preserve">Fra Isagri del 10/01/24.
</t>
        </r>
        <r>
          <rPr>
            <sz val="9"/>
            <color indexed="81"/>
            <rFont val="Tahoma"/>
            <family val="2"/>
          </rPr>
          <t>Troup´o : 1347,02 - 426,02€. 
Cargado: 22/01/24</t>
        </r>
      </text>
    </comment>
    <comment ref="AY23" authorId="2" shapeId="0" xr:uid="{135D07EE-D116-44A2-B071-CB99C04ED6C3}">
      <text>
        <r>
          <rPr>
            <b/>
            <sz val="9"/>
            <color indexed="81"/>
            <rFont val="Tahoma"/>
            <family val="2"/>
          </rPr>
          <t>Maria:</t>
        </r>
        <r>
          <rPr>
            <sz val="9"/>
            <color indexed="81"/>
            <rFont val="Tahoma"/>
            <family val="2"/>
          </rPr>
          <t xml:space="preserve">
Fra Hnos Jimenz pariente del 15/11/24.
Recogida: 146,08€.
Cargado: 01/01/25
--------------------------------
Fra Hnos Jimenez Pariente 15/12/24. 
Recogida: 152,86€.
Cargado: 01/01/25
--------------------------------</t>
        </r>
      </text>
    </comment>
    <comment ref="AZ23" authorId="2" shapeId="0" xr:uid="{0372CF53-90BB-425F-A788-99881B67E100}">
      <text>
        <r>
          <rPr>
            <b/>
            <sz val="9"/>
            <color indexed="81"/>
            <rFont val="Tahoma"/>
            <family val="2"/>
          </rPr>
          <t>Maria:</t>
        </r>
        <r>
          <rPr>
            <sz val="9"/>
            <color indexed="81"/>
            <rFont val="Tahoma"/>
            <family val="2"/>
          </rPr>
          <t xml:space="preserve">
Fra Hnos Jimenz pariente del 31/01/2025.
Recogida: 160,56
Cargado: 10/02/25
---------------------------------
</t>
        </r>
        <r>
          <rPr>
            <b/>
            <sz val="9"/>
            <color indexed="81"/>
            <rFont val="Tahoma"/>
            <family val="2"/>
          </rPr>
          <t>Rosa:</t>
        </r>
        <r>
          <rPr>
            <sz val="9"/>
            <color indexed="81"/>
            <rFont val="Tahoma"/>
            <family val="2"/>
          </rPr>
          <t xml:space="preserve">
Fra Hnos Jimenz pariente del 15/02/2025.
Recogida: 139,30€
Cargado: 25/02/25
</t>
        </r>
      </text>
    </comment>
    <comment ref="BC23" authorId="4" shapeId="0" xr:uid="{916445F6-B508-4409-93B7-CD077E483F42}">
      <text>
        <r>
          <rPr>
            <b/>
            <sz val="9"/>
            <color indexed="81"/>
            <rFont val="Tahoma"/>
            <family val="2"/>
          </rPr>
          <t xml:space="preserve">Fra Hnos Jimenez Pariente 15/04/25.
</t>
        </r>
        <r>
          <rPr>
            <sz val="9"/>
            <color indexed="81"/>
            <rFont val="Tahoma"/>
            <family val="2"/>
          </rPr>
          <t>Recogida: 56,45€
cargado: 01/05/25
---------------------</t>
        </r>
        <r>
          <rPr>
            <b/>
            <sz val="9"/>
            <color indexed="81"/>
            <rFont val="Tahoma"/>
            <family val="2"/>
          </rPr>
          <t xml:space="preserve">
Fra Hnos Jimenez pariente del 30/04/2025.
</t>
        </r>
        <r>
          <rPr>
            <sz val="9"/>
            <color indexed="81"/>
            <rFont val="Tahoma"/>
            <family val="2"/>
          </rPr>
          <t>Recogida: 157,78€
Cargado: 15/05/25</t>
        </r>
      </text>
    </comment>
    <comment ref="BF23" authorId="2" shapeId="0" xr:uid="{A8E68BD5-06F6-4158-9F24-B0A3834F68D6}">
      <text>
        <r>
          <rPr>
            <b/>
            <sz val="9"/>
            <color indexed="81"/>
            <rFont val="Tahoma"/>
            <family val="2"/>
          </rPr>
          <t>Maria:</t>
        </r>
        <r>
          <rPr>
            <sz val="9"/>
            <color indexed="81"/>
            <rFont val="Tahoma"/>
            <family val="2"/>
          </rPr>
          <t xml:space="preserve">
Fra Jimenez Pariente del 15/07/25.</t>
        </r>
      </text>
    </comment>
    <comment ref="BM23" authorId="2" shapeId="0" xr:uid="{B7C4B426-EE6B-48B0-B3A6-3A16AF339847}">
      <text>
        <r>
          <rPr>
            <b/>
            <sz val="9"/>
            <color indexed="81"/>
            <rFont val="Tahoma"/>
            <family val="2"/>
          </rPr>
          <t>Maria:</t>
        </r>
        <r>
          <rPr>
            <sz val="9"/>
            <color indexed="81"/>
            <rFont val="Tahoma"/>
            <family val="2"/>
          </rPr>
          <t xml:space="preserve">
Fra Jimenez Pariente del 15/12/25.
Cargada: 30/12/25</t>
        </r>
      </text>
    </comment>
    <comment ref="BO23" authorId="2" shapeId="0" xr:uid="{200CBDBE-8D59-4943-8674-30FC5A0B037A}">
      <text>
        <r>
          <rPr>
            <b/>
            <sz val="9"/>
            <color indexed="81"/>
            <rFont val="Tahoma"/>
            <family val="2"/>
          </rPr>
          <t>Maria:</t>
        </r>
        <r>
          <rPr>
            <sz val="9"/>
            <color indexed="81"/>
            <rFont val="Tahoma"/>
            <family val="2"/>
          </rPr>
          <t xml:space="preserve">
Fra jimenez Pariente del 15/01/26: 243,10€. 
Domiciliado: 02/02/26
------------------
</t>
        </r>
      </text>
    </comment>
    <comment ref="BP23" authorId="2" shapeId="0" xr:uid="{2DFC9731-9749-42AF-BAB1-6DAF4674C10D}">
      <text>
        <r>
          <rPr>
            <b/>
            <sz val="9"/>
            <color indexed="81"/>
            <rFont val="Tahoma"/>
            <family val="2"/>
          </rPr>
          <t>Maria:</t>
        </r>
        <r>
          <rPr>
            <sz val="9"/>
            <color indexed="81"/>
            <rFont val="Tahoma"/>
            <family val="2"/>
          </rPr>
          <t xml:space="preserve">
Fra jimenez Pariente del 31/01/26: 144,23€. 
Domiciliado: 02/03/26 
------------------
Fra jimenez Pariente del 15/02/26: 175,34€. 
Domiciliado: 16/03/26
------------------
Fra jimenez Pariente del 15/03/26: 45,67€. 
Domiciliado: 31/03/26</t>
        </r>
      </text>
    </comment>
    <comment ref="AI24" authorId="0" shapeId="0" xr:uid="{5348C80C-D3E2-491F-B718-F0EB6BF35764}">
      <text>
        <r>
          <rPr>
            <b/>
            <sz val="9"/>
            <color indexed="81"/>
            <rFont val="Tahoma"/>
            <family val="2"/>
          </rPr>
          <t xml:space="preserve">Fra Agrocolor del 02/01/24.
</t>
        </r>
        <r>
          <rPr>
            <sz val="9"/>
            <color indexed="81"/>
            <rFont val="Tahoma"/>
            <family val="2"/>
          </rPr>
          <t>1.48,49€. 
Pendiente realizar transferncia. 
Transferencia realizada el 29/01/24</t>
        </r>
      </text>
    </comment>
    <comment ref="BA24" authorId="0" shapeId="0" xr:uid="{8187C0A9-80D0-409E-8759-9DEB89A89770}">
      <text>
        <r>
          <rPr>
            <b/>
            <sz val="9"/>
            <color indexed="81"/>
            <rFont val="Tahoma"/>
            <family val="2"/>
          </rPr>
          <t xml:space="preserve">Fra Agrocolor del 06/01/25.
</t>
        </r>
        <r>
          <rPr>
            <sz val="9"/>
            <color indexed="81"/>
            <rFont val="Tahoma"/>
            <family val="2"/>
          </rPr>
          <t>1.160,75€. 
Vcmto: 05/02/25
Transf. Caixa realizada el 04/03/25</t>
        </r>
      </text>
    </comment>
    <comment ref="BK24" authorId="0" shapeId="0" xr:uid="{33BF731B-A595-410B-81E5-A29B42AF44FB}">
      <text>
        <r>
          <rPr>
            <b/>
            <sz val="9"/>
            <color indexed="81"/>
            <rFont val="Tahoma"/>
            <family val="2"/>
          </rPr>
          <t xml:space="preserve">Fra Agrocolor del 25/08/25.
</t>
        </r>
        <r>
          <rPr>
            <sz val="9"/>
            <color indexed="81"/>
            <rFont val="Tahoma"/>
            <family val="2"/>
          </rPr>
          <t>1.400,58€. 
Vcmto: 25/09/25
Transf. Caixa realizada el 02/10/25</t>
        </r>
      </text>
    </comment>
    <comment ref="AL25" authorId="0" shapeId="0" xr:uid="{D1E91859-FAA8-40BA-AE3B-0F28ED51EA43}">
      <text>
        <r>
          <rPr>
            <b/>
            <sz val="9"/>
            <color indexed="81"/>
            <rFont val="Tahoma"/>
            <family val="2"/>
          </rPr>
          <t xml:space="preserve">1º cuota agroseguro
Cargado: 22/04/24.
</t>
        </r>
        <r>
          <rPr>
            <sz val="9"/>
            <color indexed="81"/>
            <rFont val="Tahoma"/>
            <family val="2"/>
          </rPr>
          <t>Resumen cobros poliza anual:
974,56 el 22/04/24.
2361,41 x 3 el 2/7/24, 2/10/24 y 2/1/25</t>
        </r>
      </text>
    </comment>
    <comment ref="AO25" authorId="0" shapeId="0" xr:uid="{0671A308-7B24-45FE-935D-570BD2B054B7}">
      <text>
        <r>
          <rPr>
            <b/>
            <sz val="9"/>
            <color indexed="81"/>
            <rFont val="Tahoma"/>
            <family val="2"/>
          </rPr>
          <t xml:space="preserve">
</t>
        </r>
        <r>
          <rPr>
            <sz val="9"/>
            <color indexed="81"/>
            <rFont val="Tahoma"/>
            <family val="2"/>
          </rPr>
          <t xml:space="preserve">Resumen cobros poliza anual:
974,56 el 22/04/24.
2361,41 x 3 el 2/7/24, 2/10/24 y 2/1/25
Cargado: 18/07/24
----------------------------
INDEMNIZACION: 672,96€
Abonado: 05/07/24
</t>
        </r>
      </text>
    </comment>
    <comment ref="AP25" authorId="2" shapeId="0" xr:uid="{0E669A21-5B36-4FE8-92E9-B86C7D39D6F3}">
      <text>
        <r>
          <rPr>
            <b/>
            <sz val="9"/>
            <color indexed="81"/>
            <rFont val="Tahoma"/>
            <family val="2"/>
          </rPr>
          <t>Devolucion seguro: 6,97€.
Abonado: 01/08/24.</t>
        </r>
      </text>
    </comment>
    <comment ref="AV25" authorId="0" shapeId="0" xr:uid="{F407E81C-B4B4-4D6B-B4A1-E8BC3E5557DE}">
      <text>
        <r>
          <rPr>
            <b/>
            <sz val="9"/>
            <color indexed="81"/>
            <rFont val="Tahoma"/>
            <family val="2"/>
          </rPr>
          <t xml:space="preserve">
</t>
        </r>
        <r>
          <rPr>
            <sz val="9"/>
            <color indexed="81"/>
            <rFont val="Tahoma"/>
            <family val="2"/>
          </rPr>
          <t>Resumen cobros poliza anual:
974,56 el 22/04/24.
2361,41 x 3 el 2/7/24, 2/10/24 y 2/1/25
Cargado: 16/10/24
--------------------------------------
Maria:
Indemnización agroseguro muerte vaca y ternero en parto (1.452,10+315,67)
Abonado: 11/10/24</t>
        </r>
      </text>
    </comment>
    <comment ref="AW25" authorId="0" shapeId="0" xr:uid="{91DF85CC-F71A-472C-91E6-491FADD1A88E}">
      <text>
        <r>
          <rPr>
            <sz val="9"/>
            <color indexed="81"/>
            <rFont val="Tahoma"/>
            <family val="2"/>
          </rPr>
          <t xml:space="preserve">Maria:
Indemnización agroseguro muerte vaca y ternero en parto (1.121,60€)
Abonado: 15/11/24
------------------------------------------------
Maria:
Indemnización agroseguro muerte vaca y ternero en parto (1.306,89€)
Abonado: </t>
        </r>
      </text>
    </comment>
    <comment ref="AY25" authorId="0" shapeId="0" xr:uid="{5E61DB19-135E-4F03-A43E-3BD32EDE0655}">
      <text>
        <r>
          <rPr>
            <b/>
            <sz val="9"/>
            <color indexed="81"/>
            <rFont val="Tahoma"/>
            <family val="2"/>
          </rPr>
          <t xml:space="preserve">
</t>
        </r>
        <r>
          <rPr>
            <sz val="9"/>
            <color indexed="81"/>
            <rFont val="Tahoma"/>
            <family val="2"/>
          </rPr>
          <t>Resumen cobros poliza anual:
974,56 el 22/04/24.
2361,41 x 3 el 2/7/24, 2/10/24 y 2/1/25
Cargado: 14/01/25
---------------------------------------
Indemnización agroseguro muerte vaca y ternero en parto (1.325,83€)
Abonado: 10/01/25</t>
        </r>
      </text>
    </comment>
    <comment ref="AZ25" authorId="2" shapeId="0" xr:uid="{B1E4D8C2-9504-42E9-9010-EE22E56EC5E1}">
      <text>
        <r>
          <rPr>
            <b/>
            <sz val="9"/>
            <color indexed="81"/>
            <rFont val="Tahoma"/>
            <family val="2"/>
          </rPr>
          <t>Maria:</t>
        </r>
        <r>
          <rPr>
            <sz val="9"/>
            <color indexed="81"/>
            <rFont val="Tahoma"/>
            <family val="2"/>
          </rPr>
          <t xml:space="preserve">
Indemnización agroseguro muerte vaca y ternero en parto (1.452,10€)
Abonado: 07/02/2025
__________________
Indemnización agroseguro: 315,87€.
Abonado:07/02/2025
-------------------------------------
Indemnización agroseguro muerte vaca y ternero en parto (1.452,10€)
Abonado: 
__________________
Indemnización agroseguro: 315,67€.
Abonado:
----------------------------------------
</t>
        </r>
      </text>
    </comment>
    <comment ref="BB25" authorId="0" shapeId="0" xr:uid="{AF92362A-BFB3-43AD-9A09-714F56A9C8B4}">
      <text>
        <r>
          <rPr>
            <sz val="9"/>
            <color indexed="81"/>
            <rFont val="Tahoma"/>
            <family val="2"/>
          </rPr>
          <t>Resumen cobros poliza anual:
974,56 el 22/04/25.
2361,41 x 3 el 2/7/25, 2/10/25 y 2/1/26</t>
        </r>
      </text>
    </comment>
    <comment ref="BC25" authorId="2" shapeId="0" xr:uid="{044548F1-EC72-4216-8C53-2F4B7BF7E133}">
      <text>
        <r>
          <rPr>
            <b/>
            <sz val="9"/>
            <color indexed="81"/>
            <rFont val="Tahoma"/>
            <family val="2"/>
          </rPr>
          <t>Maria:</t>
        </r>
        <r>
          <rPr>
            <sz val="9"/>
            <color indexed="81"/>
            <rFont val="Tahoma"/>
            <family val="2"/>
          </rPr>
          <t xml:space="preserve">
Cargo 1º recibo agroseguro: 1.082m91€ 
Cargado: 12/05/25.
----------------------------------
Ingreso indemnización: 476,68€
</t>
        </r>
      </text>
    </comment>
    <comment ref="BE25" authorId="0" shapeId="0" xr:uid="{9D516D9D-5F74-4F2C-A87E-A3C44FCFB4D3}">
      <text>
        <r>
          <rPr>
            <sz val="9"/>
            <color indexed="81"/>
            <rFont val="Tahoma"/>
            <family val="2"/>
          </rPr>
          <t>Resumen cobros poliza anual:
974,56 el 22/04/25.
2361,41 x 3 el 2/7/25, 2/10/25 y 2/1/26.
-----------------------------------------
Indemnizacion: 536,26€. 
Abonada: 03/07/25</t>
        </r>
      </text>
    </comment>
    <comment ref="BK25" authorId="0" shapeId="0" xr:uid="{F9EB8FB2-70DE-4402-9A6B-F68234EE045E}">
      <text>
        <r>
          <rPr>
            <b/>
            <sz val="9"/>
            <color indexed="81"/>
            <rFont val="Tahoma"/>
            <family val="2"/>
          </rPr>
          <t xml:space="preserve">
</t>
        </r>
        <r>
          <rPr>
            <sz val="9"/>
            <color indexed="81"/>
            <rFont val="Tahoma"/>
            <family val="2"/>
          </rPr>
          <t>Resumen cobros poliza anual:
974,56 el 22/04/24.
2361,41 x 3 el 2/7/24, 2/10/24 y 2/1/25</t>
        </r>
      </text>
    </comment>
    <comment ref="BM25" authorId="2" shapeId="0" xr:uid="{88F2B55E-EC09-4D66-A936-42F5D4988BCF}">
      <text>
        <r>
          <rPr>
            <b/>
            <sz val="9"/>
            <color indexed="81"/>
            <rFont val="Tahoma"/>
            <family val="2"/>
          </rPr>
          <t>Maria:</t>
        </r>
        <r>
          <rPr>
            <sz val="9"/>
            <color indexed="81"/>
            <rFont val="Tahoma"/>
            <family val="2"/>
          </rPr>
          <t xml:space="preserve">
Indemnización muerte vacas. </t>
        </r>
      </text>
    </comment>
    <comment ref="BN25" authorId="0" shapeId="0" xr:uid="{A97E5991-202C-4B9E-8E74-77CE9130B9BE}">
      <text>
        <r>
          <rPr>
            <sz val="9"/>
            <color indexed="81"/>
            <rFont val="Tahoma"/>
            <family val="2"/>
          </rPr>
          <t>Ingreso subvención: 1.618,25€
Abonado: 08/01/25
----------------------------------------</t>
        </r>
        <r>
          <rPr>
            <b/>
            <sz val="9"/>
            <color indexed="81"/>
            <rFont val="Tahoma"/>
            <family val="2"/>
          </rPr>
          <t xml:space="preserve">
</t>
        </r>
        <r>
          <rPr>
            <sz val="9"/>
            <color indexed="81"/>
            <rFont val="Tahoma"/>
            <family val="2"/>
          </rPr>
          <t>Resumen cobros poliza anual:
974,56 el 22/04/24.
2361,41 x 3 el 2/7/24, 2/10/24 y 2/1/25
Domiciliado: 14/01/26</t>
        </r>
      </text>
    </comment>
    <comment ref="BO25" authorId="2" shapeId="0" xr:uid="{753DB9E4-F62E-4AA9-9167-A0F56136CB4A}">
      <text>
        <r>
          <rPr>
            <b/>
            <sz val="9"/>
            <color indexed="81"/>
            <rFont val="Tahoma"/>
            <family val="2"/>
          </rPr>
          <t>Maria:</t>
        </r>
        <r>
          <rPr>
            <sz val="9"/>
            <color indexed="81"/>
            <rFont val="Tahoma"/>
            <family val="2"/>
          </rPr>
          <t xml:space="preserve">
Ingreso subvención NA. 
Abonado: 19/02/26.</t>
        </r>
      </text>
    </comment>
    <comment ref="BS25" authorId="0" shapeId="0" xr:uid="{C1C1D006-74BD-41E5-BAEC-0CF134A84FE6}">
      <text>
        <r>
          <rPr>
            <sz val="9"/>
            <color indexed="81"/>
            <rFont val="Tahoma"/>
            <family val="2"/>
          </rPr>
          <t>Resumen cobros poliza anual:
974,56 el 22/04/25.
2361,41 x 3 el 2/7/25, 2/10/25 y 2/1/26</t>
        </r>
      </text>
    </comment>
    <comment ref="BT25" authorId="0" shapeId="0" xr:uid="{8161717B-CCF1-43E1-BB6A-48D19D930245}">
      <text>
        <r>
          <rPr>
            <sz val="9"/>
            <color indexed="81"/>
            <rFont val="Tahoma"/>
            <family val="2"/>
          </rPr>
          <t>Resumen cobros poliza anual:
974,56 el 22/04/25.
2361,41 x 3 el 2/7/25, 2/10/25 y 2/1/26</t>
        </r>
      </text>
    </comment>
    <comment ref="BZ25" authorId="0" shapeId="0" xr:uid="{5AE15469-5836-4360-A5CD-A22C00F341DE}">
      <text>
        <r>
          <rPr>
            <b/>
            <sz val="9"/>
            <color indexed="81"/>
            <rFont val="Tahoma"/>
            <family val="2"/>
          </rPr>
          <t xml:space="preserve">
</t>
        </r>
        <r>
          <rPr>
            <sz val="9"/>
            <color indexed="81"/>
            <rFont val="Tahoma"/>
            <family val="2"/>
          </rPr>
          <t>Resumen cobros poliza anual:
974,56 el 22/04/24.
2361,41 x 3 el 2/7/24, 2/10/24 y 2/1/25</t>
        </r>
      </text>
    </comment>
    <comment ref="CC25" authorId="0" shapeId="0" xr:uid="{246417EE-982F-49CB-9E9D-CAA3803AD353}">
      <text>
        <r>
          <rPr>
            <b/>
            <sz val="9"/>
            <color indexed="81"/>
            <rFont val="Tahoma"/>
            <family val="2"/>
          </rPr>
          <t xml:space="preserve">
</t>
        </r>
        <r>
          <rPr>
            <sz val="9"/>
            <color indexed="81"/>
            <rFont val="Tahoma"/>
            <family val="2"/>
          </rPr>
          <t>Resumen cobros poliza anual:
974,56 el 22/04/24.
2361,41 x 3 el 2/7/24, 2/10/24 y 2/1/25</t>
        </r>
      </text>
    </comment>
    <comment ref="CF25" authorId="0" shapeId="0" xr:uid="{81F1EC44-AA11-4C3C-A868-3ED7AFCDC6A7}">
      <text>
        <r>
          <rPr>
            <sz val="9"/>
            <color indexed="81"/>
            <rFont val="Tahoma"/>
            <family val="2"/>
          </rPr>
          <t>Resumen cobros poliza anual:
974,56 el 22/04/25.
2361,41 x 3 el 2/7/25, 2/10/25 y 2/1/26</t>
        </r>
      </text>
    </comment>
    <comment ref="CI25" authorId="0" shapeId="0" xr:uid="{81B3E82F-9A10-4C3D-8F4A-BB6711C44AEC}">
      <text>
        <r>
          <rPr>
            <sz val="9"/>
            <color indexed="81"/>
            <rFont val="Tahoma"/>
            <family val="2"/>
          </rPr>
          <t>Resumen cobros poliza anual:
974,56 el 22/04/25.
2361,41 x 3 el 2/7/25, 2/10/25 y 2/1/26</t>
        </r>
      </text>
    </comment>
    <comment ref="CO25" authorId="0" shapeId="0" xr:uid="{66A3301D-4F66-49F7-A1F3-DB2904BF8A96}">
      <text>
        <r>
          <rPr>
            <b/>
            <sz val="9"/>
            <color indexed="81"/>
            <rFont val="Tahoma"/>
            <family val="2"/>
          </rPr>
          <t xml:space="preserve">
</t>
        </r>
        <r>
          <rPr>
            <sz val="9"/>
            <color indexed="81"/>
            <rFont val="Tahoma"/>
            <family val="2"/>
          </rPr>
          <t>Resumen cobros poliza anual:
974,56 el 22/04/24.
2361,41 x 3 el 2/7/24, 2/10/24 y 2/1/25</t>
        </r>
      </text>
    </comment>
    <comment ref="CR25" authorId="0" shapeId="0" xr:uid="{9959FE49-961C-4EB6-B230-ABA6A9BEF5CC}">
      <text>
        <r>
          <rPr>
            <b/>
            <sz val="9"/>
            <color indexed="81"/>
            <rFont val="Tahoma"/>
            <family val="2"/>
          </rPr>
          <t xml:space="preserve">
</t>
        </r>
        <r>
          <rPr>
            <sz val="9"/>
            <color indexed="81"/>
            <rFont val="Tahoma"/>
            <family val="2"/>
          </rPr>
          <t>Resumen cobros poliza anual:
974,56 el 22/04/24.
2361,41 x 3 el 2/7/24, 2/10/24 y 2/1/25</t>
        </r>
      </text>
    </comment>
    <comment ref="CU25" authorId="0" shapeId="0" xr:uid="{E1637907-A137-47E1-9F85-17FF3C176092}">
      <text>
        <r>
          <rPr>
            <sz val="9"/>
            <color indexed="81"/>
            <rFont val="Tahoma"/>
            <family val="2"/>
          </rPr>
          <t>Resumen cobros poliza anual:
974,56 el 22/04/25.
2361,41 x 3 el 2/7/25, 2/10/25 y 2/1/26</t>
        </r>
      </text>
    </comment>
    <comment ref="CX25" authorId="0" shapeId="0" xr:uid="{0655610A-3C06-4DAC-B577-E9F044C27144}">
      <text>
        <r>
          <rPr>
            <sz val="9"/>
            <color indexed="81"/>
            <rFont val="Tahoma"/>
            <family val="2"/>
          </rPr>
          <t>Resumen cobros poliza anual:
974,56 el 22/04/25.
2361,41 x 3 el 2/7/25, 2/10/25 y 2/1/26</t>
        </r>
      </text>
    </comment>
    <comment ref="BA27" authorId="4" shapeId="0" xr:uid="{D06C65A7-A63B-41A7-AD1B-8B447BC0F37A}">
      <text>
        <r>
          <rPr>
            <b/>
            <sz val="9"/>
            <color indexed="81"/>
            <rFont val="Tahoma"/>
            <family val="2"/>
          </rPr>
          <t xml:space="preserve">Logista Parcel: 160,19€
Fra del 12/03/24 
</t>
        </r>
        <r>
          <rPr>
            <sz val="9"/>
            <color indexed="81"/>
            <rFont val="Tahoma"/>
            <family val="2"/>
          </rPr>
          <t>Corresponde con el pago de una fra de NA pagada por NC, pndte devolución
Transferencia realizada el 27/02/23 por NC
160,19€: Transferir a NC
Transferencia realizada a NC el 27/03/25</t>
        </r>
      </text>
    </comment>
    <comment ref="AK30" authorId="0" shapeId="0" xr:uid="{0C0839A5-E0BF-446D-BB95-6C376BB6BECA}">
      <text>
        <r>
          <rPr>
            <b/>
            <sz val="9"/>
            <color indexed="81"/>
            <rFont val="Tahoma"/>
            <family val="2"/>
          </rPr>
          <t xml:space="preserve">Tasa anual Lonja </t>
        </r>
        <r>
          <rPr>
            <sz val="9"/>
            <color indexed="81"/>
            <rFont val="Tahoma"/>
            <family val="2"/>
          </rPr>
          <t xml:space="preserve">
Fra del 26/02/24
350€: Realizar transferencia: 27/03/24</t>
        </r>
      </text>
    </comment>
    <comment ref="AZ30" authorId="0" shapeId="0" xr:uid="{E2E5415E-1F76-458F-82D0-83BD9CD51C20}">
      <text>
        <r>
          <rPr>
            <b/>
            <sz val="9"/>
            <color indexed="81"/>
            <rFont val="Tahoma"/>
            <family val="2"/>
          </rPr>
          <t xml:space="preserve">Tasa anual Lonja </t>
        </r>
        <r>
          <rPr>
            <sz val="9"/>
            <color indexed="81"/>
            <rFont val="Tahoma"/>
            <family val="2"/>
          </rPr>
          <t xml:space="preserve">
Fra del 06/02/25
360€: Realizar transferencia: Antes del 28/02/25
Transf. Caixa realizada el 27/02/25</t>
        </r>
      </text>
    </comment>
    <comment ref="BP30" authorId="0" shapeId="0" xr:uid="{C0A36910-B08C-4E25-8905-7BAE0E5D5658}">
      <text>
        <r>
          <rPr>
            <sz val="9"/>
            <color indexed="81"/>
            <rFont val="Tahoma"/>
            <family val="2"/>
          </rPr>
          <t>Tasa anual Lonja.
Fra del 16/02/26: 360,00€. 
Pendiente trasnferencia. 
Transferencia Caixa realizada el 31/03/26</t>
        </r>
      </text>
    </comment>
    <comment ref="CE30" authorId="0" shapeId="0" xr:uid="{0BA0EC83-58F6-4A30-9061-EBC4F66595A8}">
      <text>
        <r>
          <rPr>
            <sz val="9"/>
            <color indexed="81"/>
            <rFont val="Tahoma"/>
            <family val="2"/>
          </rPr>
          <t xml:space="preserve">Tasa anual Lonja </t>
        </r>
      </text>
    </comment>
    <comment ref="CT30" authorId="0" shapeId="0" xr:uid="{942415AC-FBC0-474B-99BA-363D96876A8C}">
      <text>
        <r>
          <rPr>
            <sz val="9"/>
            <color indexed="81"/>
            <rFont val="Tahoma"/>
            <family val="2"/>
          </rPr>
          <t xml:space="preserve">Tasa anual Lonja </t>
        </r>
      </text>
    </comment>
    <comment ref="AP31" authorId="2" shapeId="0" xr:uid="{369CCFEF-E6B1-4D3D-93C8-80C848FF462C}">
      <text>
        <r>
          <rPr>
            <b/>
            <sz val="9"/>
            <color indexed="81"/>
            <rFont val="Tahoma"/>
            <family val="2"/>
          </rPr>
          <t xml:space="preserve">Fra Tptes Guerrero Siglo XXl del 26/07/24.
</t>
        </r>
        <r>
          <rPr>
            <sz val="9"/>
            <color indexed="81"/>
            <rFont val="Tahoma"/>
            <family val="2"/>
          </rPr>
          <t>Tptes de las vacas vendidas a Hamburdehesa: 411,40€
Ok Alf 26/07/24
Transf. Pendiente a realizar 
Transf. Caixa realizada el 22/08/24
---------------------------</t>
        </r>
      </text>
    </comment>
    <comment ref="BB31" authorId="2" shapeId="0" xr:uid="{A80A17A2-DC5F-4BA8-9EB9-52E2801446BB}">
      <text>
        <r>
          <rPr>
            <b/>
            <sz val="9"/>
            <color indexed="81"/>
            <rFont val="Tahoma"/>
            <family val="2"/>
          </rPr>
          <t>Maria:</t>
        </r>
        <r>
          <rPr>
            <sz val="9"/>
            <color indexed="81"/>
            <rFont val="Tahoma"/>
            <family val="2"/>
          </rPr>
          <t xml:space="preserve">
Fra Logista Parce del 22/04/25.
Cargado: 09/04/2025
-------------------------------
Fra Transportes Guerrero Siglo XXl S.L. del 04/04/25.
Portes: 423,50€.
OK ALF 04/04/25 
Transferencia realizada el 16/04/25
----------------------------------</t>
        </r>
      </text>
    </comment>
    <comment ref="BP31" authorId="2" shapeId="0" xr:uid="{DDBAF214-D5A1-45D2-9AA4-9146CA1315F8}">
      <text>
        <r>
          <rPr>
            <sz val="9"/>
            <color indexed="81"/>
            <rFont val="Tahoma"/>
            <family val="2"/>
          </rPr>
          <t>Fra Transportes Sengo &amp; Serpa del 16/03/26.
Portes: 650€.
OK ALF 16/03/25 
Transferencia realizada el 30/03/26
----------------------------------</t>
        </r>
      </text>
    </comment>
    <comment ref="BQ31" authorId="2" shapeId="0" xr:uid="{DE1BAA1A-F40E-400A-B2E2-93A09999525B}">
      <text>
        <r>
          <rPr>
            <b/>
            <sz val="9"/>
            <color indexed="81"/>
            <rFont val="Tahoma"/>
            <family val="2"/>
          </rPr>
          <t>Maria:</t>
        </r>
        <r>
          <rPr>
            <sz val="9"/>
            <color indexed="81"/>
            <rFont val="Tahoma"/>
            <family val="2"/>
          </rPr>
          <t xml:space="preserve">
Fra Transportes guerrero siglo XXI del 10/03/26.
Transporte: 484,00€. 
Pendiente transfer. 
Transf. realizada el 28/04/26</t>
        </r>
      </text>
    </comment>
    <comment ref="AI32" authorId="0" shapeId="0" xr:uid="{FD130F0C-C883-4A8F-AA56-B18E619DED2B}">
      <text>
        <r>
          <rPr>
            <b/>
            <sz val="9"/>
            <color indexed="81"/>
            <rFont val="Tahoma"/>
            <family val="2"/>
          </rPr>
          <t xml:space="preserve">Fra Agricola Prado rey del 31/12/23:
</t>
        </r>
        <r>
          <rPr>
            <sz val="9"/>
            <color indexed="81"/>
            <rFont val="Tahoma"/>
            <family val="2"/>
          </rPr>
          <t>Comision: 359,72
Cargado: 10/01/24.
690 Eur pagfado de caja comision corredor por venta de vacas a Goncer (Toledo)</t>
        </r>
      </text>
    </comment>
    <comment ref="AL39" authorId="0" shapeId="0" xr:uid="{7AC87D2A-2DF8-4041-ABD1-46330928502D}">
      <text>
        <r>
          <rPr>
            <b/>
            <sz val="9"/>
            <color indexed="81"/>
            <rFont val="Tahoma"/>
            <family val="2"/>
          </rPr>
          <t xml:space="preserve">Fra 60 Grupo Osborne del 08/04/24.
</t>
        </r>
        <r>
          <rPr>
            <sz val="9"/>
            <color indexed="81"/>
            <rFont val="Tahoma"/>
            <family val="2"/>
          </rPr>
          <t>Engorde cochinos: 11.097,90€. 
Ingresado por el total 7.816,32€ el 09/04/24 (descuentan 3.281,58€)
--------------------------------------------</t>
        </r>
        <r>
          <rPr>
            <b/>
            <sz val="9"/>
            <color indexed="81"/>
            <rFont val="Tahoma"/>
            <family val="2"/>
          </rPr>
          <t xml:space="preserve">
Fra 71 ovipor del 30/04/24.
</t>
        </r>
        <r>
          <rPr>
            <sz val="9"/>
            <color indexed="81"/>
            <rFont val="Tahoma"/>
            <family val="2"/>
          </rPr>
          <t>Engorde cochinos: 18.432,79€. 
Ingresado: 23/04/24.
------------------------------------------</t>
        </r>
      </text>
    </comment>
    <comment ref="AM39" authorId="0" shapeId="0" xr:uid="{99E45E83-112F-4900-9D70-D251129EB46E}">
      <text>
        <r>
          <rPr>
            <b/>
            <sz val="9"/>
            <color indexed="81"/>
            <rFont val="Tahoma"/>
            <family val="2"/>
          </rPr>
          <t xml:space="preserve">Fra 64 Grupo Osborne del 11/04/24.
</t>
        </r>
        <r>
          <rPr>
            <sz val="9"/>
            <color indexed="81"/>
            <rFont val="Tahoma"/>
            <family val="2"/>
          </rPr>
          <t xml:space="preserve">Engorde cochinos: 22.119,63€. 
Ingresado: 11/05/24
--------------------------------------
</t>
        </r>
        <r>
          <rPr>
            <b/>
            <sz val="9"/>
            <color indexed="81"/>
            <rFont val="Tahoma"/>
            <family val="2"/>
          </rPr>
          <t>Fra 72 ovipor del 02/05/24.</t>
        </r>
        <r>
          <rPr>
            <sz val="9"/>
            <color indexed="81"/>
            <rFont val="Tahoma"/>
            <family val="2"/>
          </rPr>
          <t xml:space="preserve">
Engorde cochinos: 9.843,78€. 
Ingresado: 01/05/24.
------------------------------------------
</t>
        </r>
        <r>
          <rPr>
            <b/>
            <sz val="9"/>
            <color indexed="81"/>
            <rFont val="Tahoma"/>
            <family val="2"/>
          </rPr>
          <t>Fra 73 ovipor del 08/05/24.</t>
        </r>
        <r>
          <rPr>
            <sz val="9"/>
            <color indexed="81"/>
            <rFont val="Tahoma"/>
            <family val="2"/>
          </rPr>
          <t xml:space="preserve">
Engorde cochinos: 9.810,188€. 
Ingresado: 02/05/24.
------------------------------------------</t>
        </r>
      </text>
    </comment>
    <comment ref="AN39" authorId="0" shapeId="0" xr:uid="{F5BF205E-1639-48D8-8CE8-662338756DE0}">
      <text>
        <r>
          <rPr>
            <b/>
            <sz val="9"/>
            <color indexed="81"/>
            <rFont val="Tahoma"/>
            <family val="2"/>
          </rPr>
          <t xml:space="preserve">Fra 78 ovipor del 06/06/24.
</t>
        </r>
        <r>
          <rPr>
            <sz val="9"/>
            <color indexed="81"/>
            <rFont val="Tahoma"/>
            <family val="2"/>
          </rPr>
          <t>Engorde cochinos: 18.500,00€. 
Ingresado: 05/06/24
------------------------------------------</t>
        </r>
      </text>
    </comment>
    <comment ref="AZ39" authorId="2" shapeId="0" xr:uid="{923509AE-AF5F-4032-9883-5C797C7EFF9F}">
      <text>
        <r>
          <rPr>
            <b/>
            <sz val="9"/>
            <color indexed="81"/>
            <rFont val="Tahoma"/>
            <family val="2"/>
          </rPr>
          <t>Maria:</t>
        </r>
        <r>
          <rPr>
            <sz val="9"/>
            <color indexed="81"/>
            <rFont val="Tahoma"/>
            <family val="2"/>
          </rPr>
          <t xml:space="preserve">
Fra abono de ovipor del 31/01/2025.
Engorde cochinos: 17.380,32€. 
Cargado el 27/02/2025 por 17320,32€</t>
        </r>
      </text>
    </comment>
    <comment ref="BA39" authorId="2" shapeId="0" xr:uid="{6983558C-BF5D-43D7-AC2B-6A1C81DB72F7}">
      <text>
        <r>
          <rPr>
            <b/>
            <sz val="9"/>
            <color indexed="81"/>
            <rFont val="Tahoma"/>
            <family val="2"/>
          </rPr>
          <t xml:space="preserve">Maria: cochinos propios vendidos a ovipor. </t>
        </r>
        <r>
          <rPr>
            <sz val="9"/>
            <color indexed="81"/>
            <rFont val="Tahoma"/>
            <family val="2"/>
          </rPr>
          <t xml:space="preserve">
(13,9x50)x40,55€=29196.
Fra Ovipor del 28/02/2025: 14.715,82€. 
Abonado: 26/03/2025.</t>
        </r>
      </text>
    </comment>
    <comment ref="BB39" authorId="2" shapeId="0" xr:uid="{FF0AE14D-B512-46D7-A383-72B46B50121C}">
      <text>
        <r>
          <rPr>
            <b/>
            <sz val="9"/>
            <color indexed="81"/>
            <rFont val="Tahoma"/>
            <family val="2"/>
          </rPr>
          <t>Maria:</t>
        </r>
        <r>
          <rPr>
            <sz val="9"/>
            <color indexed="81"/>
            <rFont val="Tahoma"/>
            <family val="2"/>
          </rPr>
          <t xml:space="preserve">
Fra abono de ovipor del xx.
Engorde cochinos: 17.380,32€. 
Abono: 03/04/2025.
---------------------------------
Fra Osborne pendiente de realizar. 16.491,59€. 
Cobro: 17/04/25
________________________
Fra Osborne pendiente de 27/02/2025.
16.077,70 €. 
Cobro: 30/04/25</t>
        </r>
      </text>
    </comment>
    <comment ref="BC39" authorId="2" shapeId="0" xr:uid="{3C292DB2-0965-46DE-8DB2-DDFEFFE50135}">
      <text>
        <r>
          <rPr>
            <b/>
            <sz val="9"/>
            <color indexed="81"/>
            <rFont val="Tahoma"/>
            <family val="2"/>
          </rPr>
          <t>Maria:</t>
        </r>
        <r>
          <rPr>
            <sz val="9"/>
            <color indexed="81"/>
            <rFont val="Tahoma"/>
            <family val="2"/>
          </rPr>
          <t xml:space="preserve">
cochinos propios vendidos a ovipor. (14,40x50)x40,55€=29196
--------------------------------
1.697,03€: reclasificacion 49 cerdos del 27/02 y dieron 2B y se han reclasificado a 3B. .- Factura del 25/04/25.</t>
        </r>
      </text>
    </comment>
    <comment ref="BD39" authorId="2" shapeId="0" xr:uid="{26B8A107-2F70-48FA-8602-C08CFF79D71B}">
      <text>
        <r>
          <rPr>
            <b/>
            <sz val="9"/>
            <color indexed="81"/>
            <rFont val="Tahoma"/>
            <family val="2"/>
          </rPr>
          <t>Maria:</t>
        </r>
        <r>
          <rPr>
            <sz val="9"/>
            <color indexed="81"/>
            <rFont val="Tahoma"/>
            <family val="2"/>
          </rPr>
          <t xml:space="preserve">
Pendiente solicitar fatcura a OVIPOR. Es 50% de venta de 2 ultimos cochinos de montanera 25 pasado a cebo campo</t>
        </r>
      </text>
    </comment>
    <comment ref="BE39" authorId="1" shapeId="0" xr:uid="{61668FF8-CDAA-45AF-8895-D28A85670F17}">
      <text>
        <r>
          <rPr>
            <sz val="9"/>
            <color indexed="81"/>
            <rFont val="Tahoma"/>
            <family val="2"/>
          </rPr>
          <t xml:space="preserve">Es 50% de venta de 2 ultimos cochinos de montanera 25 pasado a cebo campo.
Abonado: 30/07/25
Fra Ovipor del  02/08/25. 
</t>
        </r>
      </text>
    </comment>
    <comment ref="BO39" authorId="2" shapeId="0" xr:uid="{AE7A7C15-87A9-4AB5-80C4-4585C41F32BA}">
      <text>
        <r>
          <rPr>
            <sz val="9"/>
            <color indexed="81"/>
            <rFont val="Tahoma"/>
            <family val="2"/>
          </rPr>
          <t xml:space="preserve">Ovipor 
Fra del 31/01/26. 
50 % de venta 40 cochinos el 27.1.26: 15.035,34€.
Abonado: 
</t>
        </r>
        <r>
          <rPr>
            <b/>
            <sz val="9"/>
            <color indexed="81"/>
            <rFont val="Tahoma"/>
            <family val="2"/>
          </rPr>
          <t>Venta 2 cochinos montanera peso bajo a Hno Mariano. 12@ x 35 Eur/@ x 2 animales = 840 a caja el 17.2.26</t>
        </r>
        <r>
          <rPr>
            <sz val="9"/>
            <color indexed="81"/>
            <rFont val="Tahoma"/>
            <family val="2"/>
          </rPr>
          <t xml:space="preserve">
</t>
        </r>
      </text>
    </comment>
    <comment ref="BP39" authorId="1" shapeId="0" xr:uid="{5CDE1DB5-E149-4A65-9105-F45D406EFBEE}">
      <text>
        <r>
          <rPr>
            <sz val="9"/>
            <color indexed="81"/>
            <rFont val="Tahoma"/>
            <family val="2"/>
          </rPr>
          <t xml:space="preserve">Ovipor 
50 % de venta 40 cochinos el 27.1.26
15.035,34€.
</t>
        </r>
        <r>
          <rPr>
            <b/>
            <sz val="9"/>
            <color indexed="81"/>
            <rFont val="Tahoma"/>
            <family val="2"/>
          </rPr>
          <t>Venta 1 cochinos montanera peso bajo a subteniente. 12@ x 35 Eur/@ x 1 animales = 400 a caja el 12.3.26</t>
        </r>
      </text>
    </comment>
    <comment ref="BQ39" authorId="1" shapeId="0" xr:uid="{92F1549F-A67C-4701-BAD5-BB88A05B1D6D}">
      <text>
        <r>
          <rPr>
            <sz val="9"/>
            <color indexed="81"/>
            <rFont val="Tahoma"/>
            <family val="2"/>
          </rPr>
          <t>Anulamos esta salida de 46 cochinos a Ovipor para quedarnoslos para venta de frescos y chacinas.
Fra Ovipor abonada el 08/04/26. 
…..............................
Fra OSBORNE del 17/02/26.
Engorde cochinos: 20.132,13€. 
Abonado: 15/04/26
---------------------------------------------
Fra OSBORNE del 17/02/26.
Engorde cochinos: 6.013,35€. 
Abonado: 15/04/26
---------------------------------------------
Fra osborne del 02/03/26.
Engorde cochinos: 12.813,98€. 
Abonado: 28/04/26
----------------------------------------
Fra osborne del 02/03/26.
Engorde cochinos: 344,01€. 
Abonado: 28/04/26
----------------------------------------</t>
        </r>
      </text>
    </comment>
    <comment ref="BR39" authorId="1" shapeId="0" xr:uid="{B1A23410-2A35-436A-8DCF-1F1C55CF61C0}">
      <text>
        <r>
          <rPr>
            <b/>
            <sz val="9"/>
            <color indexed="81"/>
            <rFont val="Tahoma"/>
            <family val="2"/>
          </rPr>
          <t xml:space="preserve">23768,62 de salida de 100 de reposición de SRC el 16.2.26 facturado
------------------------------------------------
</t>
        </r>
        <r>
          <rPr>
            <sz val="9"/>
            <color indexed="81"/>
            <rFont val="Tahoma"/>
            <family val="2"/>
          </rPr>
          <t xml:space="preserve">
</t>
        </r>
      </text>
    </comment>
    <comment ref="BS39" authorId="1" shapeId="0" xr:uid="{DA0807B8-2D5C-4A6C-95BE-3B81800C3F18}">
      <text>
        <r>
          <rPr>
            <b/>
            <sz val="9"/>
            <color indexed="81"/>
            <rFont val="Tahoma"/>
            <family val="2"/>
          </rPr>
          <t xml:space="preserve">Estimación de liquidación de salida de 94 cochinos de reposición SRC el 1.3.26. 
Descuntados 6 que se quedan a precio de primal y pasan a prropios para matar para vender frescos y chacinas.
</t>
        </r>
      </text>
    </comment>
    <comment ref="AE40" authorId="3" shapeId="0" xr:uid="{BC12D5F0-6F66-404C-9BB9-26253B8AB736}">
      <text>
        <r>
          <rPr>
            <b/>
            <sz val="9"/>
            <color indexed="81"/>
            <rFont val="Tahoma"/>
            <family val="2"/>
          </rPr>
          <t>Previsión Alfonso ventas fresco:</t>
        </r>
        <r>
          <rPr>
            <sz val="9"/>
            <color indexed="81"/>
            <rFont val="Tahoma"/>
            <family val="2"/>
          </rPr>
          <t xml:space="preserve">
compras Sebas piezas nobles a 150 kg/mes para consumir stock propio de 750 Kg en nobles, se gasta en 5 meses
----------------------------------------------
</t>
        </r>
        <r>
          <rPr>
            <sz val="9"/>
            <color indexed="81"/>
            <rFont val="Tahoma"/>
            <family val="2"/>
          </rPr>
          <t xml:space="preserve">Previsión Cañas de lomo listos jun 23:
Matanza 1 feb 23: 210 lomos bellota*35 eur
Matanza 2 feb 23: 50 lomos bellota*35 eur
Matanza 3 feb 23: 82 lomos cebo campo*35 eur
</t>
        </r>
        <r>
          <rPr>
            <b/>
            <sz val="9"/>
            <color indexed="81"/>
            <rFont val="Tahoma"/>
            <family val="2"/>
          </rPr>
          <t>Matanza 1 feb 23: 210 lomos bellota*35 eur</t>
        </r>
        <r>
          <rPr>
            <sz val="9"/>
            <color indexed="81"/>
            <rFont val="Tahoma"/>
            <family val="2"/>
          </rPr>
          <t xml:space="preserve">
Regalados clientes 17
Auto-consumo 7
Vendidos 53 uds - 59,9 Kg - 35Eur/Kg = 1471,3 Eur a caja 4/9/23
Vendidos 15 uds - 14,17 Kg - 30Eur/Kg = 422,10 Eur a caja 4/9/23
Vendidos 46 uds - 48,11 Kg - 35Eur/Kg = 2363,55 Eur a caja 4/9/23
Vendidos 18 uds - 19,19 Kg - 35Eur/Kg = 617,15 Eur ptes cobro JP
Vendidos 11 uds - 15,02 Kg - 40Eur/Kg = 600,72 Eur ptes cobro JP
Stock: 43 cañas ptes venta
</t>
        </r>
        <r>
          <rPr>
            <b/>
            <sz val="9"/>
            <color indexed="81"/>
            <rFont val="Tahoma"/>
            <family val="2"/>
          </rPr>
          <t>Matanza 2 feb 23: 50 lomos bellota*35 eur</t>
        </r>
        <r>
          <rPr>
            <sz val="9"/>
            <color indexed="81"/>
            <rFont val="Tahoma"/>
            <family val="2"/>
          </rPr>
          <t xml:space="preserve">
Stock: 50 cañas ptes venta
</t>
        </r>
        <r>
          <rPr>
            <b/>
            <sz val="9"/>
            <color indexed="81"/>
            <rFont val="Tahoma"/>
            <family val="2"/>
          </rPr>
          <t>Matanza 3 feb 23: 82 lomos cebo campo*35 eur</t>
        </r>
        <r>
          <rPr>
            <sz val="9"/>
            <color indexed="81"/>
            <rFont val="Tahoma"/>
            <family val="2"/>
          </rPr>
          <t xml:space="preserve">
Stock: 82 cañas ptes venta
</t>
        </r>
      </text>
    </comment>
    <comment ref="AF40" authorId="0" shapeId="0" xr:uid="{D2DED59F-EDCE-4BF7-99A4-2702EAEF7D16}">
      <text>
        <r>
          <rPr>
            <sz val="9"/>
            <color indexed="81"/>
            <rFont val="Tahoma"/>
            <family val="2"/>
          </rPr>
          <t xml:space="preserve">alfonso:
compras Sebas piezas nobles a 150 kg/mes para consumir stock propio de 750 Kg en nobles, se gasta en 5 meses = 3000 Eur aprox 
-------------------------------------------------------
</t>
        </r>
        <r>
          <rPr>
            <b/>
            <sz val="9"/>
            <color indexed="81"/>
            <rFont val="Tahoma"/>
            <family val="2"/>
          </rPr>
          <t>Fra Nº 3 Grupo Arfe del 05/10/23.</t>
        </r>
        <r>
          <rPr>
            <sz val="9"/>
            <color indexed="81"/>
            <rFont val="Tahoma"/>
            <family val="2"/>
          </rPr>
          <t xml:space="preserve">
Venta cañas de lomo: 280,97€.
Cobrado el 18/10/23 en Nixal commodities. </t>
        </r>
      </text>
    </comment>
    <comment ref="AG40" authorId="0" shapeId="0" xr:uid="{DE6E2E7B-A178-4CE2-A7D8-5066F0632A6F}">
      <text>
        <r>
          <rPr>
            <b/>
            <sz val="9"/>
            <color indexed="81"/>
            <rFont val="Tahoma"/>
            <family val="2"/>
          </rPr>
          <t>Fra Nº. 9 Mula y Lopez del 07/11/23</t>
        </r>
        <r>
          <rPr>
            <sz val="9"/>
            <color indexed="81"/>
            <rFont val="Tahoma"/>
            <family val="2"/>
          </rPr>
          <t xml:space="preserve">.
Venta cañas de lomo: 385,60€.
Abonado: 22/11/23
-------------------------------------------
</t>
        </r>
        <r>
          <rPr>
            <b/>
            <sz val="9"/>
            <color indexed="81"/>
            <rFont val="Tahoma"/>
            <family val="2"/>
          </rPr>
          <t>Fra Nº. 15 Luís Llatas Oliver del 15/11/23.</t>
        </r>
        <r>
          <rPr>
            <sz val="9"/>
            <color indexed="81"/>
            <rFont val="Tahoma"/>
            <family val="2"/>
          </rPr>
          <t xml:space="preserve">
Venta cañas de lomo: 194,92€.
Abonado:15/11/23
---------------------------------------
</t>
        </r>
        <r>
          <rPr>
            <b/>
            <sz val="9"/>
            <color indexed="81"/>
            <rFont val="Tahoma"/>
            <family val="2"/>
          </rPr>
          <t>Fra Nº. 2 Gapestore del 03/10/23.</t>
        </r>
        <r>
          <rPr>
            <sz val="9"/>
            <color indexed="81"/>
            <rFont val="Tahoma"/>
            <family val="2"/>
          </rPr>
          <t xml:space="preserve">
Venta de carne: 3.614,33€. 
Pagan a 60 días. - Abonado: 16/11/23
---------------------------
</t>
        </r>
        <r>
          <rPr>
            <b/>
            <sz val="9"/>
            <color indexed="81"/>
            <rFont val="Tahoma"/>
            <family val="2"/>
          </rPr>
          <t>Fra Nº. 17 Raquel Pantoja Luque 27/11/23.</t>
        </r>
        <r>
          <rPr>
            <sz val="9"/>
            <color indexed="81"/>
            <rFont val="Tahoma"/>
            <family val="2"/>
          </rPr>
          <t xml:space="preserve">
Venta cañas de lomo: 291,87€.
Abonado: 28/11/23
-------------------------------------------
</t>
        </r>
        <r>
          <rPr>
            <b/>
            <sz val="9"/>
            <color indexed="81"/>
            <rFont val="Tahoma"/>
            <family val="2"/>
          </rPr>
          <t>Fra Nº. 18 Domingo Abascal Navarro 27/11/23.</t>
        </r>
        <r>
          <rPr>
            <sz val="9"/>
            <color indexed="81"/>
            <rFont val="Tahoma"/>
            <family val="2"/>
          </rPr>
          <t xml:space="preserve">
Venta cañas de lomo: 405,44€.
Abonado: 30/11/23
-----------------------------------------------------
</t>
        </r>
        <r>
          <rPr>
            <b/>
            <sz val="9"/>
            <color indexed="81"/>
            <rFont val="Tahoma"/>
            <family val="2"/>
          </rPr>
          <t>Fra Nº. 4 Gapestore del 05/10/23.</t>
        </r>
        <r>
          <rPr>
            <sz val="9"/>
            <color indexed="81"/>
            <rFont val="Tahoma"/>
            <family val="2"/>
          </rPr>
          <t xml:space="preserve">
Venta de carne: 3.026,79€. 
Abonado: 30/11/23
---------------------------</t>
        </r>
      </text>
    </comment>
    <comment ref="AH40" authorId="3" shapeId="0" xr:uid="{9F48BC66-9F12-4B40-8B19-B842D3F9B416}">
      <text>
        <r>
          <rPr>
            <b/>
            <sz val="9"/>
            <color indexed="81"/>
            <rFont val="Tahoma"/>
            <family val="2"/>
          </rPr>
          <t>Fra Nº. 5 Gapestore del 05/10/23.</t>
        </r>
        <r>
          <rPr>
            <sz val="9"/>
            <color indexed="81"/>
            <rFont val="Tahoma"/>
            <family val="2"/>
          </rPr>
          <t xml:space="preserve">
Venta de carne: 3.683,86€. 
Pagan a 60 días. Abonado: 29/12/23
-------------------------------------------
</t>
        </r>
        <r>
          <rPr>
            <b/>
            <sz val="9"/>
            <color indexed="81"/>
            <rFont val="Tahoma"/>
            <family val="2"/>
          </rPr>
          <t>Fra Nº. 24 Interverita del 05/12/23.</t>
        </r>
        <r>
          <rPr>
            <sz val="9"/>
            <color indexed="81"/>
            <rFont val="Tahoma"/>
            <family val="2"/>
          </rPr>
          <t xml:space="preserve">
Venta cañas de lomo: 588,23€.
Llega copia transferencia el 05/12/23
Abonado: 06/12/23
-----------------------------------------------------</t>
        </r>
        <r>
          <rPr>
            <sz val="9"/>
            <color indexed="81"/>
            <rFont val="Tahoma"/>
            <family val="2"/>
          </rPr>
          <t xml:space="preserve">
</t>
        </r>
        <r>
          <rPr>
            <b/>
            <sz val="9"/>
            <color indexed="81"/>
            <rFont val="Tahoma"/>
            <family val="2"/>
          </rPr>
          <t>Fra Nº. 25 Filomeno Aspe Gonzalez 13/12/23.</t>
        </r>
        <r>
          <rPr>
            <sz val="9"/>
            <color indexed="81"/>
            <rFont val="Tahoma"/>
            <family val="2"/>
          </rPr>
          <t xml:space="preserve">
Venta cañas de lomo: 163,17€.
Abonado: 13/12/23.
-------------------------------------------------</t>
        </r>
        <r>
          <rPr>
            <sz val="9"/>
            <color indexed="81"/>
            <rFont val="Tahoma"/>
            <family val="2"/>
          </rPr>
          <t xml:space="preserve">
</t>
        </r>
        <r>
          <rPr>
            <b/>
            <sz val="9"/>
            <color indexed="81"/>
            <rFont val="Tahoma"/>
            <family val="2"/>
          </rPr>
          <t>Fra Nº. 27  Interverita 19/12/23.</t>
        </r>
        <r>
          <rPr>
            <sz val="9"/>
            <color indexed="81"/>
            <rFont val="Tahoma"/>
            <family val="2"/>
          </rPr>
          <t xml:space="preserve">
Venta cañas de lomo: 600,00€.
Abonado: 19/12/23
--------------------------------------------------
</t>
        </r>
        <r>
          <rPr>
            <b/>
            <sz val="9"/>
            <color indexed="81"/>
            <rFont val="Tahoma"/>
            <family val="2"/>
          </rPr>
          <t>Fra Nº. 28 Juan Pedro Molina del 19/12/23.</t>
        </r>
        <r>
          <rPr>
            <sz val="9"/>
            <color indexed="81"/>
            <rFont val="Tahoma"/>
            <family val="2"/>
          </rPr>
          <t xml:space="preserve">
Venta cañas de lomo: 569,16€.
Abonado: 21/12/23
-----------------------------------------------------
</t>
        </r>
        <r>
          <rPr>
            <b/>
            <sz val="9"/>
            <color indexed="81"/>
            <rFont val="Tahoma"/>
            <family val="2"/>
          </rPr>
          <t>Fra Nº. 29 Juan Pedro Molina del 20/12/23.</t>
        </r>
        <r>
          <rPr>
            <sz val="9"/>
            <color indexed="81"/>
            <rFont val="Tahoma"/>
            <family val="2"/>
          </rPr>
          <t xml:space="preserve">
Venta cañas de lomo: 114,72€.
Abonado: 23/12/23
------------------------------------------------
</t>
        </r>
        <r>
          <rPr>
            <b/>
            <sz val="9"/>
            <color indexed="81"/>
            <rFont val="Tahoma"/>
            <family val="2"/>
          </rPr>
          <t>Fra Nº. 30 Domingo Abascal Navarro 20/12/23.</t>
        </r>
        <r>
          <rPr>
            <sz val="9"/>
            <color indexed="81"/>
            <rFont val="Tahoma"/>
            <family val="2"/>
          </rPr>
          <t xml:space="preserve">
Venta cañas de lomo: 132,39€.
Abonado: 22/12/23.
-----------------------------------------------------</t>
        </r>
      </text>
    </comment>
    <comment ref="AI40" authorId="3" shapeId="0" xr:uid="{B7A53845-066F-4BB0-A75A-0811F2B1CA1B}">
      <text>
        <r>
          <rPr>
            <b/>
            <sz val="9"/>
            <color indexed="81"/>
            <rFont val="Tahoma"/>
            <family val="2"/>
          </rPr>
          <t>Fra Nº. 12 Gapestore del 09/11/23.</t>
        </r>
        <r>
          <rPr>
            <sz val="9"/>
            <color indexed="81"/>
            <rFont val="Tahoma"/>
            <family val="2"/>
          </rPr>
          <t xml:space="preserve">
Venta de carne: 5.511,00€. 
Pagan a 60 días. 
INGRESADO: 30/01/24.
---------------------------
</t>
        </r>
        <r>
          <rPr>
            <b/>
            <sz val="9"/>
            <color indexed="81"/>
            <rFont val="Tahoma"/>
            <family val="2"/>
          </rPr>
          <t>Fra Nº. 23 Gourmet Arfe del 04/12/23.</t>
        </r>
        <r>
          <rPr>
            <sz val="9"/>
            <color indexed="81"/>
            <rFont val="Tahoma"/>
            <family val="2"/>
          </rPr>
          <t xml:space="preserve">
Venta cañas de lomo: 474,08€.
Abonado: 06/12/23 en la cuenta Caixa NC.
Ingresado en NA: 16/01/24.
--------------------------------------------------
</t>
        </r>
        <r>
          <rPr>
            <b/>
            <sz val="9"/>
            <color indexed="81"/>
            <rFont val="Tahoma"/>
            <family val="2"/>
          </rPr>
          <t>Fra Nº. 26 Gourmet Arfe del 19/12/23.</t>
        </r>
        <r>
          <rPr>
            <sz val="9"/>
            <color indexed="81"/>
            <rFont val="Tahoma"/>
            <family val="2"/>
          </rPr>
          <t xml:space="preserve">
Venta cañas de lomo: 504,59€.
Abonado: 20/12/23 en la cuenta Caixa NC, transferir este importe
Ingresado en NA: 16/01/24.
------------------------------------------------------
</t>
        </r>
        <r>
          <rPr>
            <b/>
            <sz val="9"/>
            <color indexed="81"/>
            <rFont val="Tahoma"/>
            <family val="2"/>
          </rPr>
          <t>Fra Nº. 38 Jose María Zuñiga del 03/01/24.</t>
        </r>
        <r>
          <rPr>
            <sz val="9"/>
            <color indexed="81"/>
            <rFont val="Tahoma"/>
            <family val="2"/>
          </rPr>
          <t xml:space="preserve">
Caña de lomo: 61,95€. 
Abonado:04/01/24
------------------------------------------------------
</t>
        </r>
        <r>
          <rPr>
            <b/>
            <sz val="9"/>
            <color indexed="81"/>
            <rFont val="Tahoma"/>
            <family val="2"/>
          </rPr>
          <t>Fra Nº. 39 Loreto de Cozar Zuñiga del 03/01/24.</t>
        </r>
        <r>
          <rPr>
            <sz val="9"/>
            <color indexed="81"/>
            <rFont val="Tahoma"/>
            <family val="2"/>
          </rPr>
          <t xml:space="preserve">
Caña de lomo: 33,08€. 
Abonado: 10/01/24.
------------------------------------------------------
</t>
        </r>
        <r>
          <rPr>
            <b/>
            <sz val="9"/>
            <color indexed="81"/>
            <rFont val="Tahoma"/>
            <family val="2"/>
          </rPr>
          <t>Fra Nº. 40 María de Cozar Zuñiga del 03/01/24.</t>
        </r>
        <r>
          <rPr>
            <sz val="9"/>
            <color indexed="81"/>
            <rFont val="Tahoma"/>
            <family val="2"/>
          </rPr>
          <t xml:space="preserve">
Caña de lomo: 28,68€. 
Abonado: 10/01/24.
------------------------------------------------------</t>
        </r>
        <r>
          <rPr>
            <sz val="9"/>
            <color indexed="81"/>
            <rFont val="Tahoma"/>
            <family val="2"/>
          </rPr>
          <t xml:space="preserve">
</t>
        </r>
        <r>
          <rPr>
            <b/>
            <sz val="9"/>
            <color indexed="81"/>
            <rFont val="Tahoma"/>
            <family val="2"/>
          </rPr>
          <t>Fra 46 Francisco Bravo del 18/01/24.</t>
        </r>
        <r>
          <rPr>
            <sz val="9"/>
            <color indexed="81"/>
            <rFont val="Tahoma"/>
            <family val="2"/>
          </rPr>
          <t xml:space="preserve">
Presa: 204,05€. 
Abonado: 20/01/24</t>
        </r>
      </text>
    </comment>
    <comment ref="AJ40" authorId="3" shapeId="0" xr:uid="{DE3B6B51-F368-4476-9BE0-39D8177A0B78}">
      <text>
        <r>
          <rPr>
            <b/>
            <sz val="9"/>
            <color indexed="81"/>
            <rFont val="Tahoma"/>
            <family val="2"/>
          </rPr>
          <t xml:space="preserve">Fra Nº. 35 Gapestore del 22/12/23.
</t>
        </r>
        <r>
          <rPr>
            <sz val="9"/>
            <color indexed="81"/>
            <rFont val="Tahoma"/>
            <family val="2"/>
          </rPr>
          <t>Venta de carne: 1.725,36€. 
Pagan a 60 días. 
INGRESADO: 29/02/24.
---------------------------</t>
        </r>
        <r>
          <rPr>
            <b/>
            <sz val="9"/>
            <color indexed="81"/>
            <rFont val="Tahoma"/>
            <family val="2"/>
          </rPr>
          <t xml:space="preserve">
Previsión Cañas de lomo listos jun 23:
</t>
        </r>
        <r>
          <rPr>
            <sz val="9"/>
            <color indexed="81"/>
            <rFont val="Tahoma"/>
            <family val="2"/>
          </rPr>
          <t xml:space="preserve">Matanza 1 feb 23: 210 lomos bellota*35 eur
Matanza 2 feb 23: 50 lomos bellota*35 eur
Matanza 3 feb 23: 82 lomos cebo campo*35 eur
-----------------------------------------------
</t>
        </r>
        <r>
          <rPr>
            <b/>
            <sz val="9"/>
            <color indexed="81"/>
            <rFont val="Tahoma"/>
            <family val="2"/>
          </rPr>
          <t>Salidas cobradas</t>
        </r>
        <r>
          <rPr>
            <sz val="9"/>
            <color indexed="81"/>
            <rFont val="Tahoma"/>
            <family val="2"/>
          </rPr>
          <t xml:space="preserve">
Matanza 1 feb 23: 210 lomos bellota*35 eur
Regalados clientes 17
Auto-consumo 7
Vendidos 53 uds - 59,9 Kg - 35Eur/Kg = 1471,3 Eur a caja 4/9/23
Vendidos 15 uds - 14,17 Kg - 30Eur/Kg = 422,10 Eur a caja 4/9/23
Vendidos 46 uds - 48,11 Kg - 35Eur/Kg = 2363,55 Eur a caja 4/9/23
</t>
        </r>
        <r>
          <rPr>
            <b/>
            <sz val="9"/>
            <color indexed="81"/>
            <rFont val="Tahoma"/>
            <family val="2"/>
          </rPr>
          <t>Salidas pendientes</t>
        </r>
        <r>
          <rPr>
            <sz val="9"/>
            <color indexed="81"/>
            <rFont val="Tahoma"/>
            <family val="2"/>
          </rPr>
          <t xml:space="preserve">
Vendidos 18 uds - 19,19 Kg - 35Eur/Kg = 617,15 Eur ptes cobro JP
Vendidos 11 uds - 15,02 Kg - 40Eur/Kg = 600,72 Eur ptes cobro JP
</t>
        </r>
        <r>
          <rPr>
            <b/>
            <sz val="9"/>
            <color indexed="81"/>
            <rFont val="Tahoma"/>
            <family val="2"/>
          </rPr>
          <t>Stock</t>
        </r>
        <r>
          <rPr>
            <sz val="9"/>
            <color indexed="81"/>
            <rFont val="Tahoma"/>
            <family val="2"/>
          </rPr>
          <t xml:space="preserve">
Matanza 1 feb 23: 210 lomos bellota*35 eur
Stock: 43 cañas ptes venta. Eliminado de esta previsión que se han ido vendiendo, algunas ya anotadas en meses anteriores sep-nov y otras pts de anotar.
Matanza 2 feb 23: 50 lomos bellota*35 eur
Stock: 50 cañas ptes venta. Sin vender ninguna todavía
Matanza 3 feb 23: 82 lomos cebo campo*35 eur
Stock: 82 cañas ptes venta. Sin vender ninguna todavía
Stock a vender en 2 meses Nov y dic 23 y cobro anotado en enero 24 pero se iran anotando conforme se vendan y restando de aqui
------------------------------------------------
</t>
        </r>
      </text>
    </comment>
    <comment ref="AK40" authorId="0" shapeId="0" xr:uid="{853E49EA-3534-499A-9BAC-F4BD6D991293}">
      <text>
        <r>
          <rPr>
            <b/>
            <sz val="9"/>
            <color indexed="81"/>
            <rFont val="Tahoma"/>
            <family val="2"/>
          </rPr>
          <t>Fra Nº. 52 Gourmet Arfe del 04/03/24.</t>
        </r>
        <r>
          <rPr>
            <sz val="9"/>
            <color indexed="81"/>
            <rFont val="Tahoma"/>
            <family val="2"/>
          </rPr>
          <t xml:space="preserve">
Presa: 190,33€. 
Abonado en la cuenta de NC: 06/03/24 Pndte recibir transferencia de NC
-------------------------------------------------------
</t>
        </r>
        <r>
          <rPr>
            <b/>
            <sz val="9"/>
            <color indexed="81"/>
            <rFont val="Tahoma"/>
            <family val="2"/>
          </rPr>
          <t>Fra Nº. 45 Gapestore del 15/01/24.</t>
        </r>
        <r>
          <rPr>
            <sz val="9"/>
            <color indexed="81"/>
            <rFont val="Tahoma"/>
            <family val="2"/>
          </rPr>
          <t xml:space="preserve">
Venta de carne: 2.144,24€. 
Pagan a 60 días. Abonado: 28/03/24.
---------------------------</t>
        </r>
      </text>
    </comment>
    <comment ref="AL40" authorId="3" shapeId="0" xr:uid="{1B522472-4C65-44A7-8EA9-74BFD92715BC}">
      <text>
        <r>
          <rPr>
            <b/>
            <sz val="9"/>
            <color indexed="81"/>
            <rFont val="Tahoma"/>
            <family val="2"/>
          </rPr>
          <t>Fra Nº. 48 Gapestore del 15/02/24.</t>
        </r>
        <r>
          <rPr>
            <sz val="9"/>
            <color indexed="81"/>
            <rFont val="Tahoma"/>
            <family val="2"/>
          </rPr>
          <t xml:space="preserve">
Venta de carne: 3.553,99€. 
Pagan a 60 días. 
Transf. Caixa realizada por el total 4.524,98€ el 30/04/24
---------------------------
</t>
        </r>
        <r>
          <rPr>
            <b/>
            <sz val="9"/>
            <color indexed="81"/>
            <rFont val="Tahoma"/>
            <family val="2"/>
          </rPr>
          <t>Fra Nº. 49 Gapestore del 19/02/24.</t>
        </r>
        <r>
          <rPr>
            <sz val="9"/>
            <color indexed="81"/>
            <rFont val="Tahoma"/>
            <family val="2"/>
          </rPr>
          <t xml:space="preserve">
Venta de carne: 970,99€. 
Pagan a 60 días. 
Transf. Caixa realizada por el total 4.524,98€ el 30/04/24
---------------------------
</t>
        </r>
      </text>
    </comment>
    <comment ref="AM40" authorId="3" shapeId="0" xr:uid="{BF208CBB-484F-4990-8A87-99AC447CE462}">
      <text>
        <r>
          <rPr>
            <b/>
            <sz val="9"/>
            <color indexed="81"/>
            <rFont val="Tahoma"/>
            <family val="2"/>
          </rPr>
          <t xml:space="preserve">Fra Nº. 53 Gapestore del 05/03/24.
</t>
        </r>
        <r>
          <rPr>
            <sz val="9"/>
            <color indexed="81"/>
            <rFont val="Tahoma"/>
            <family val="2"/>
          </rPr>
          <t xml:space="preserve">Venta de carne: 3.538,39€. 
Pagan a 60 días. 
Anonado Caixa: 16/05/24
--------------------------
</t>
        </r>
        <r>
          <rPr>
            <b/>
            <sz val="9"/>
            <color indexed="81"/>
            <rFont val="Tahoma"/>
            <family val="2"/>
          </rPr>
          <t>Fra Nº. 56 Gapestore del 25/03/24.</t>
        </r>
        <r>
          <rPr>
            <sz val="9"/>
            <color indexed="81"/>
            <rFont val="Tahoma"/>
            <family val="2"/>
          </rPr>
          <t xml:space="preserve">
Venta de carne: 2.491,42€. 
Abonado Caixa: 30/05/24
------------------------------------------------------
</t>
        </r>
        <r>
          <rPr>
            <b/>
            <sz val="9"/>
            <color indexed="81"/>
            <rFont val="Tahoma"/>
            <family val="2"/>
          </rPr>
          <t>Fra Nº. 42 Apardia 08/01/24.</t>
        </r>
        <r>
          <rPr>
            <sz val="9"/>
            <color indexed="81"/>
            <rFont val="Tahoma"/>
            <family val="2"/>
          </rPr>
          <t xml:space="preserve">
Presa: 172,70€. 
Abonado: 20/05/24
------------------------------------------------------
</t>
        </r>
      </text>
    </comment>
    <comment ref="AN40" authorId="3" shapeId="0" xr:uid="{E3553E2C-F3A1-4A56-92DD-FE8D5D39D2B3}">
      <text>
        <r>
          <rPr>
            <b/>
            <sz val="9"/>
            <color indexed="81"/>
            <rFont val="Tahoma"/>
            <family val="2"/>
          </rPr>
          <t xml:space="preserve">Fra Nº. 68 Gapestore del 18/04/24.
</t>
        </r>
        <r>
          <rPr>
            <sz val="9"/>
            <color indexed="81"/>
            <rFont val="Tahoma"/>
            <family val="2"/>
          </rPr>
          <t xml:space="preserve">Venta de carne: 2.805,95€. 
Abonado: 28/07/24. 
------------------------
</t>
        </r>
        <r>
          <rPr>
            <b/>
            <sz val="9"/>
            <color indexed="81"/>
            <rFont val="Tahoma"/>
            <family val="2"/>
          </rPr>
          <t>Fra Nº. 41 Pablo Corredera Carmona del 03/01/24</t>
        </r>
        <r>
          <rPr>
            <sz val="9"/>
            <color indexed="81"/>
            <rFont val="Tahoma"/>
            <family val="2"/>
          </rPr>
          <t xml:space="preserve">.
Caña de lomo: 28,20€. 
Abonado: HECHA FACTURA DE ABONO 21/06/24. 
------------------------------------------------------
</t>
        </r>
        <r>
          <rPr>
            <b/>
            <sz val="9"/>
            <color indexed="81"/>
            <rFont val="Tahoma"/>
            <family val="2"/>
          </rPr>
          <t>Fra Nº. 50 Apardia 21/02/24.</t>
        </r>
        <r>
          <rPr>
            <sz val="9"/>
            <color indexed="81"/>
            <rFont val="Tahoma"/>
            <family val="2"/>
          </rPr>
          <t xml:space="preserve">
Presa: 176,55€. 
Abonado: 27/06/24.
------------------------------------------------------
</t>
        </r>
        <r>
          <rPr>
            <b/>
            <sz val="9"/>
            <color indexed="81"/>
            <rFont val="Tahoma"/>
            <family val="2"/>
          </rPr>
          <t>Fra Nº. 54 Apardia 25/03/24.</t>
        </r>
        <r>
          <rPr>
            <sz val="9"/>
            <color indexed="81"/>
            <rFont val="Tahoma"/>
            <family val="2"/>
          </rPr>
          <t xml:space="preserve">
Presa: 341,58€. 
Abonado:27/06/24.
------------------------------------------------------
</t>
        </r>
        <r>
          <rPr>
            <b/>
            <sz val="9"/>
            <color indexed="81"/>
            <rFont val="Tahoma"/>
            <family val="2"/>
          </rPr>
          <t>Fra Nº. 82 Resumen venta chacinas 28/06/24.</t>
        </r>
        <r>
          <rPr>
            <sz val="9"/>
            <color indexed="81"/>
            <rFont val="Tahoma"/>
            <family val="2"/>
          </rPr>
          <t xml:space="preserve">
</t>
        </r>
        <r>
          <rPr>
            <b/>
            <sz val="9"/>
            <color indexed="81"/>
            <rFont val="Tahoma"/>
            <family val="2"/>
          </rPr>
          <t>Ticket 0000002</t>
        </r>
        <r>
          <rPr>
            <sz val="9"/>
            <color indexed="81"/>
            <rFont val="Tahoma"/>
            <family val="2"/>
          </rPr>
          <t xml:space="preserve"> del 06/06/24: 30,82€.
Abonado: 07/06/24.
</t>
        </r>
        <r>
          <rPr>
            <b/>
            <sz val="9"/>
            <color indexed="81"/>
            <rFont val="Tahoma"/>
            <family val="2"/>
          </rPr>
          <t>Ticket 0000001</t>
        </r>
        <r>
          <rPr>
            <sz val="9"/>
            <color indexed="81"/>
            <rFont val="Tahoma"/>
            <family val="2"/>
          </rPr>
          <t xml:space="preserve"> del 06/06/24: 26,75€.
Abonado: 14/06/24.
</t>
        </r>
        <r>
          <rPr>
            <b/>
            <sz val="9"/>
            <color indexed="81"/>
            <rFont val="Tahoma"/>
            <family val="2"/>
          </rPr>
          <t>Ticket 0000003</t>
        </r>
        <r>
          <rPr>
            <sz val="9"/>
            <color indexed="81"/>
            <rFont val="Tahoma"/>
            <family val="2"/>
          </rPr>
          <t xml:space="preserve"> del 14/06/24: 37,91€.
Abonado: 17/06/24.
</t>
        </r>
        <r>
          <rPr>
            <b/>
            <sz val="9"/>
            <color indexed="81"/>
            <rFont val="Tahoma"/>
            <family val="2"/>
          </rPr>
          <t>Ticket 0000004</t>
        </r>
        <r>
          <rPr>
            <sz val="9"/>
            <color indexed="81"/>
            <rFont val="Tahoma"/>
            <family val="2"/>
          </rPr>
          <t xml:space="preserve"> del 18/06/24: 34,25€.
Abonado: 19/06/24.
-----------------------------------------------------
</t>
        </r>
      </text>
    </comment>
    <comment ref="AO40" authorId="3" shapeId="0" xr:uid="{6B0CEB98-ADDA-49F2-B3B2-48CD8ADC4B09}">
      <text>
        <r>
          <rPr>
            <b/>
            <sz val="9"/>
            <color indexed="81"/>
            <rFont val="Tahoma"/>
            <family val="2"/>
          </rPr>
          <t>Fra Nº. 85 Resumen ventas del 31/07/24</t>
        </r>
        <r>
          <rPr>
            <sz val="9"/>
            <color indexed="81"/>
            <rFont val="Tahoma"/>
            <family val="2"/>
          </rPr>
          <t xml:space="preserve">
Ticket 0000009 del 11/07/24: 11,84€.
Abonado: 13/07/24.</t>
        </r>
      </text>
    </comment>
    <comment ref="AP40" authorId="3" shapeId="0" xr:uid="{845EF3B0-691F-4E5A-8810-34BD6171DD3A}">
      <text>
        <r>
          <rPr>
            <b/>
            <sz val="9"/>
            <color indexed="81"/>
            <rFont val="Tahoma"/>
            <family val="2"/>
          </rPr>
          <t xml:space="preserve">Fra 79 Gapestore del 18/06/24.
</t>
        </r>
        <r>
          <rPr>
            <sz val="9"/>
            <color indexed="81"/>
            <rFont val="Tahoma"/>
            <family val="2"/>
          </rPr>
          <t xml:space="preserve">Carne: 6.962,31€.
Abonado: 30/08/24.
---------------------------------------------------
</t>
        </r>
        <r>
          <rPr>
            <b/>
            <sz val="9"/>
            <color indexed="81"/>
            <rFont val="Tahoma"/>
            <family val="2"/>
          </rPr>
          <t>Fra Nº. 89 Resumen ventas del 31/08/24.</t>
        </r>
        <r>
          <rPr>
            <sz val="9"/>
            <color indexed="81"/>
            <rFont val="Tahoma"/>
            <family val="2"/>
          </rPr>
          <t xml:space="preserve">
Ticket 0000016 del 26/07/24: 77,02€.
Abonado: 27/08/24.</t>
        </r>
      </text>
    </comment>
    <comment ref="AU40" authorId="2" shapeId="0" xr:uid="{FD6E36E8-7905-421B-B344-C63AD00EF604}">
      <text>
        <r>
          <rPr>
            <b/>
            <sz val="9"/>
            <color indexed="81"/>
            <rFont val="Tahoma"/>
            <family val="2"/>
          </rPr>
          <t>Maria:</t>
        </r>
        <r>
          <rPr>
            <sz val="9"/>
            <color indexed="81"/>
            <rFont val="Tahoma"/>
            <family val="2"/>
          </rPr>
          <t xml:space="preserve">
</t>
        </r>
        <r>
          <rPr>
            <b/>
            <sz val="9"/>
            <color indexed="81"/>
            <rFont val="Tahoma"/>
            <family val="2"/>
          </rPr>
          <t>Fra Nº.84 Gapestore del 22/07/24.</t>
        </r>
        <r>
          <rPr>
            <sz val="9"/>
            <color indexed="81"/>
            <rFont val="Tahoma"/>
            <family val="2"/>
          </rPr>
          <t xml:space="preserve">
Carne: 1689,99€.
Abonado: 30/09/24.
-------------------------------</t>
        </r>
      </text>
    </comment>
    <comment ref="AV40" authorId="3" shapeId="0" xr:uid="{1A36F297-02A3-4EEC-9826-735EFBB9B110}">
      <text>
        <r>
          <rPr>
            <b/>
            <sz val="9"/>
            <color indexed="81"/>
            <rFont val="Tahoma"/>
            <family val="2"/>
          </rPr>
          <t>Fra 87 Gapestore del 06/08/24.</t>
        </r>
        <r>
          <rPr>
            <sz val="9"/>
            <color indexed="81"/>
            <rFont val="Tahoma"/>
            <family val="2"/>
          </rPr>
          <t xml:space="preserve">
Carne: 4.087,71€.
Abonado: 30/10/24
-------------------------------
</t>
        </r>
        <r>
          <rPr>
            <b/>
            <sz val="9"/>
            <color indexed="81"/>
            <rFont val="Tahoma"/>
            <family val="2"/>
          </rPr>
          <t>Fra 88 Gapestore del 26/08/24.</t>
        </r>
        <r>
          <rPr>
            <sz val="9"/>
            <color indexed="81"/>
            <rFont val="Tahoma"/>
            <family val="2"/>
          </rPr>
          <t xml:space="preserve">
Carne: 1.754,56€.
Abonado: 30/10/24
------------------------------------------------------
</t>
        </r>
      </text>
    </comment>
    <comment ref="AW40" authorId="3" shapeId="0" xr:uid="{1C82BF70-4627-4B8C-A697-1BBD050D1ABA}">
      <text>
        <r>
          <rPr>
            <b/>
            <sz val="9"/>
            <color indexed="81"/>
            <rFont val="Tahoma"/>
            <family val="2"/>
          </rPr>
          <t xml:space="preserve">Fra Nº.66 Apardia 12/04/24.
</t>
        </r>
        <r>
          <rPr>
            <sz val="9"/>
            <color indexed="81"/>
            <rFont val="Tahoma"/>
            <family val="2"/>
          </rPr>
          <t>Presa: 363,03€. 
Abonado: 01/11/24</t>
        </r>
        <r>
          <rPr>
            <b/>
            <sz val="9"/>
            <color indexed="81"/>
            <rFont val="Tahoma"/>
            <family val="2"/>
          </rPr>
          <t xml:space="preserve">
--------------------------------------------
Fra Nº.74 Apardia 23/05/24.
</t>
        </r>
        <r>
          <rPr>
            <sz val="9"/>
            <color indexed="81"/>
            <rFont val="Tahoma"/>
            <family val="2"/>
          </rPr>
          <t>Presa: 264,86€. 
Abonado:01/11/24</t>
        </r>
        <r>
          <rPr>
            <b/>
            <sz val="9"/>
            <color indexed="81"/>
            <rFont val="Tahoma"/>
            <family val="2"/>
          </rPr>
          <t xml:space="preserve">
--------------------------------------------</t>
        </r>
        <r>
          <rPr>
            <b/>
            <sz val="9"/>
            <color indexed="81"/>
            <rFont val="Tahoma"/>
            <family val="2"/>
          </rPr>
          <t xml:space="preserve">
</t>
        </r>
      </text>
    </comment>
    <comment ref="AX40" authorId="2" shapeId="0" xr:uid="{554B9E1D-7430-42AC-9876-55F27876755B}">
      <text>
        <r>
          <rPr>
            <b/>
            <sz val="9"/>
            <color indexed="81"/>
            <rFont val="Tahoma"/>
            <family val="2"/>
          </rPr>
          <t>Maria:</t>
        </r>
        <r>
          <rPr>
            <sz val="9"/>
            <color indexed="81"/>
            <rFont val="Tahoma"/>
            <family val="2"/>
          </rPr>
          <t xml:space="preserve">
Fra 94 Gapestore del 11/10/24.
Carne: 2.217,47€.
Abonado: 30/12/24
----------------------------------------------
Fra N.º 109 Gourmet Arfe del 16/12/24.
carne: 519,42€.
Abonado: 17/12/24
----------------------------------------------
</t>
        </r>
      </text>
    </comment>
    <comment ref="AY40" authorId="3" shapeId="0" xr:uid="{1088D7CA-D2BE-4304-9C71-519430DB5488}">
      <text>
        <r>
          <rPr>
            <sz val="9"/>
            <color indexed="81"/>
            <rFont val="Tahoma"/>
            <family val="2"/>
          </rPr>
          <t xml:space="preserve">Fra 99 Gapestore del 13/11/24.
Carne: 3.129,68€.
Abonado: 16/01/2025.
----------------------------------
</t>
        </r>
      </text>
    </comment>
    <comment ref="AZ40" authorId="2" shapeId="0" xr:uid="{5E3A6433-7D95-4356-86A9-52C3BC77E538}">
      <text>
        <r>
          <rPr>
            <b/>
            <sz val="9"/>
            <color indexed="81"/>
            <rFont val="Tahoma"/>
            <family val="2"/>
          </rPr>
          <t>Maria:</t>
        </r>
        <r>
          <rPr>
            <sz val="9"/>
            <color indexed="81"/>
            <rFont val="Tahoma"/>
            <family val="2"/>
          </rPr>
          <t xml:space="preserve">
Fra 110 Gapestore del 17/12/2024.
Carne: 2.532,77€.
Abonado: 
---------------------------------
</t>
        </r>
      </text>
    </comment>
    <comment ref="BA40" authorId="2" shapeId="0" xr:uid="{F5E7F9D3-67E8-4AB8-A555-8F20F9BE0D57}">
      <text>
        <r>
          <rPr>
            <b/>
            <sz val="9"/>
            <color indexed="81"/>
            <rFont val="Tahoma"/>
            <family val="2"/>
          </rPr>
          <t>Maria:</t>
        </r>
        <r>
          <rPr>
            <sz val="9"/>
            <color indexed="81"/>
            <rFont val="Tahoma"/>
            <family val="2"/>
          </rPr>
          <t xml:space="preserve">
Fra Nº. 117 del 15/01/25.
Carne: 2.677,63€. 
Abonado: 18/03/2025
-----------------------------------
Fra Nº.83 Apardia 09/07/24.
Presa: 202,38€. 
Abonado: 25/03/2025
--------------------------------------------
Fra N.º 91 Apardia del 19/09/24. 
Carne: 370,13€
Abonado: 25/03/2025
---------------------------------------------
</t>
        </r>
      </text>
    </comment>
    <comment ref="BB40" authorId="2" shapeId="0" xr:uid="{CF91A197-3980-4509-A7F4-EFC4FF544763}">
      <text>
        <r>
          <rPr>
            <b/>
            <sz val="9"/>
            <color indexed="81"/>
            <rFont val="Tahoma"/>
            <family val="2"/>
          </rPr>
          <t>Maria:</t>
        </r>
        <r>
          <rPr>
            <sz val="9"/>
            <color indexed="81"/>
            <rFont val="Tahoma"/>
            <family val="2"/>
          </rPr>
          <t xml:space="preserve">
Fra 120 Gapestore del 07/02/2025.
Carne: 1.532,22€.
Abonado: 16/04/25.
---------------------------------
</t>
        </r>
      </text>
    </comment>
    <comment ref="BC40" authorId="2" shapeId="0" xr:uid="{E4F7CEC7-B42B-450D-877C-EACCD67D3A72}">
      <text>
        <r>
          <rPr>
            <b/>
            <sz val="9"/>
            <color indexed="81"/>
            <rFont val="Tahoma"/>
            <family val="2"/>
          </rPr>
          <t>Maria:</t>
        </r>
        <r>
          <rPr>
            <sz val="9"/>
            <color indexed="81"/>
            <rFont val="Tahoma"/>
            <family val="2"/>
          </rPr>
          <t xml:space="preserve">
Fra 125 Gapestore del 26/032025.
Carne: 3.341,70€.
Abonado: 29/05/25
---------------------------------
</t>
        </r>
      </text>
    </comment>
    <comment ref="BD40" authorId="2" shapeId="0" xr:uid="{15D06A81-D027-4085-8A63-9E86FD65B172}">
      <text>
        <r>
          <rPr>
            <b/>
            <sz val="9"/>
            <color indexed="81"/>
            <rFont val="Tahoma"/>
            <family val="2"/>
          </rPr>
          <t>Maria:</t>
        </r>
        <r>
          <rPr>
            <sz val="9"/>
            <color indexed="81"/>
            <rFont val="Tahoma"/>
            <family val="2"/>
          </rPr>
          <t xml:space="preserve">
Fra 129 Gapestore del 15/04/2025.
Carne: 1.912,40€.
Abonado: 30/06/25
---------------------------------
</t>
        </r>
      </text>
    </comment>
    <comment ref="BE40" authorId="2" shapeId="0" xr:uid="{D479A619-10B5-478E-AD3E-81F831A8ECA7}">
      <text>
        <r>
          <rPr>
            <b/>
            <sz val="9"/>
            <color indexed="81"/>
            <rFont val="Tahoma"/>
            <family val="2"/>
          </rPr>
          <t>Maria:</t>
        </r>
        <r>
          <rPr>
            <sz val="9"/>
            <color indexed="81"/>
            <rFont val="Tahoma"/>
            <family val="2"/>
          </rPr>
          <t xml:space="preserve">
Fra 138 Gapestore del 26/05/2025.
Carne: 1.444,85€.
Abonado: 16/07/25.
---------------------------------------------
Fra 135 Gapestore del 02/05/2025.
Carne: 2.663,93€.
Abonado: 16/07/25.
</t>
        </r>
      </text>
    </comment>
    <comment ref="BF40" authorId="2" shapeId="0" xr:uid="{23DACE75-8D97-4E22-8349-F82168F2C151}">
      <text>
        <r>
          <rPr>
            <b/>
            <sz val="9"/>
            <color indexed="81"/>
            <rFont val="Tahoma"/>
            <family val="2"/>
          </rPr>
          <t>Maria:</t>
        </r>
        <r>
          <rPr>
            <sz val="9"/>
            <color indexed="81"/>
            <rFont val="Tahoma"/>
            <family val="2"/>
          </rPr>
          <t xml:space="preserve">
Fra 140 Gapestore del 11/06/2025.
Carne: 8.083,81€.
Abonado: 20/08/2025
--------------------------------------------------
</t>
        </r>
      </text>
    </comment>
    <comment ref="BJ40" authorId="2" shapeId="0" xr:uid="{B5AFBA87-1215-413A-9890-94F563708C8E}">
      <text>
        <r>
          <rPr>
            <b/>
            <sz val="9"/>
            <color indexed="81"/>
            <rFont val="Tahoma"/>
            <family val="2"/>
          </rPr>
          <t>Maria:</t>
        </r>
        <r>
          <rPr>
            <sz val="9"/>
            <color indexed="81"/>
            <rFont val="Tahoma"/>
            <family val="2"/>
          </rPr>
          <t xml:space="preserve">
Fra 147 Gapestore del 28/07/2025.
Carne: 3.179,61€
Abonado: 16/09/2025.
--------------------------------------
</t>
        </r>
      </text>
    </comment>
    <comment ref="BK40" authorId="2" shapeId="0" xr:uid="{ABA0237B-D1ED-4045-B127-5A263BC18250}">
      <text>
        <r>
          <rPr>
            <b/>
            <sz val="9"/>
            <color indexed="81"/>
            <rFont val="Tahoma"/>
            <family val="2"/>
          </rPr>
          <t>Maria:</t>
        </r>
        <r>
          <rPr>
            <sz val="9"/>
            <color indexed="81"/>
            <rFont val="Tahoma"/>
            <family val="2"/>
          </rPr>
          <t xml:space="preserve">
Fra 153 Gapestore del 31/08/2025.
Carne: 6.320,08€
Abonado: 30/10/25
--------------------------------------
</t>
        </r>
      </text>
    </comment>
    <comment ref="BL40" authorId="2" shapeId="0" xr:uid="{B40BAF72-36EE-433B-B57E-F04FA590794A}">
      <text>
        <r>
          <rPr>
            <b/>
            <sz val="9"/>
            <color indexed="81"/>
            <rFont val="Tahoma"/>
            <family val="2"/>
          </rPr>
          <t>Maria:</t>
        </r>
        <r>
          <rPr>
            <sz val="9"/>
            <color indexed="81"/>
            <rFont val="Tahoma"/>
            <family val="2"/>
          </rPr>
          <t xml:space="preserve">
Fra 154 Gapestore del 17/09/2025.
Carne: 2.134,46€
Abonado: 28/11/25
--------------------------------------
Fra 155 Gapestore del 29/09/2025.
Carne: 657,21€
Abonado: 28/11/25
--------------------------------------
</t>
        </r>
      </text>
    </comment>
    <comment ref="BM40" authorId="2" shapeId="0" xr:uid="{0E6094F2-462D-4C19-983A-FCBA3BEF46AC}">
      <text>
        <r>
          <rPr>
            <b/>
            <sz val="9"/>
            <color indexed="81"/>
            <rFont val="Tahoma"/>
            <family val="2"/>
          </rPr>
          <t>Maria:</t>
        </r>
        <r>
          <rPr>
            <sz val="9"/>
            <color indexed="81"/>
            <rFont val="Tahoma"/>
            <family val="2"/>
          </rPr>
          <t xml:space="preserve">
Fra 161 Gapestore del 24/10/2025.
Carne: 5.550,46€
Abonado: 16/12/25
</t>
        </r>
      </text>
    </comment>
    <comment ref="BO40" authorId="2" shapeId="0" xr:uid="{8E04E93C-4575-4359-853B-694AF24A4D12}">
      <text>
        <r>
          <rPr>
            <b/>
            <sz val="9"/>
            <color indexed="81"/>
            <rFont val="Tahoma"/>
            <family val="2"/>
          </rPr>
          <t>Maria:</t>
        </r>
        <r>
          <rPr>
            <sz val="9"/>
            <color indexed="81"/>
            <rFont val="Tahoma"/>
            <family val="2"/>
          </rPr>
          <t xml:space="preserve">
Fra N.º 168 del 02/12/25 Gapestore: 1.612,44€. 
Abonado: 17/02/26.
----------------------------
Fra N.º 174 del 22/12/25 Gapestore: 5.050,16€. 
Abonado: 26/02/26
----------------------------
Fra 166 Gapestore del 20/11/2025.
Carne: 1.071,21€
Abonado: 02/02/26
----------------------------------------
Ticket 00000033 del 15/04/2025.
Concha Bosh: 347,37€.
Abonado: 11/02/26
------------------------------------
Ticket 00000060 del 13/11/2025.
Maria Agudo: 218,90€.
Abonado: 02/02/26</t>
        </r>
      </text>
    </comment>
    <comment ref="BP40" authorId="2" shapeId="0" xr:uid="{543B2E19-9604-4149-9F4B-A06ED8804D20}">
      <text>
        <r>
          <rPr>
            <b/>
            <sz val="9"/>
            <color indexed="81"/>
            <rFont val="Tahoma"/>
            <family val="2"/>
          </rPr>
          <t>Maria:</t>
        </r>
        <r>
          <rPr>
            <sz val="9"/>
            <color indexed="81"/>
            <rFont val="Tahoma"/>
            <family val="2"/>
          </rPr>
          <t xml:space="preserve">
Fra N.º 182 del 23/01/26 Gapestore: 3.241,29€.
Abonado: 27/03/26
----------------------------------
</t>
        </r>
      </text>
    </comment>
    <comment ref="BQ40" authorId="2" shapeId="0" xr:uid="{1AE53EE3-CC96-4ADF-B56D-D8A06341BDE7}">
      <text>
        <r>
          <rPr>
            <b/>
            <sz val="9"/>
            <color indexed="81"/>
            <rFont val="Tahoma"/>
            <family val="2"/>
          </rPr>
          <t>Maria:</t>
        </r>
        <r>
          <rPr>
            <sz val="9"/>
            <color indexed="81"/>
            <rFont val="Tahoma"/>
            <family val="2"/>
          </rPr>
          <t xml:space="preserve">
Fra N.º 184 del 23/02/26 Gapestore: 2.841,52€.
Abonado: 29/04/26
----------------------------------
</t>
        </r>
      </text>
    </comment>
    <comment ref="BR40" authorId="2" shapeId="0" xr:uid="{974FE1B7-48F9-4956-9D8A-02CFE9A7ECE6}">
      <text>
        <r>
          <rPr>
            <b/>
            <sz val="9"/>
            <color indexed="81"/>
            <rFont val="Tahoma"/>
            <family val="2"/>
          </rPr>
          <t>Maria:</t>
        </r>
        <r>
          <rPr>
            <sz val="9"/>
            <color indexed="81"/>
            <rFont val="Tahoma"/>
            <family val="2"/>
          </rPr>
          <t xml:space="preserve">
Fra N.º 186 del 02/03/26 Gapestore: 1.845,35€.
Abonado: 18/05/26
---------------------------------------------
</t>
        </r>
      </text>
    </comment>
    <comment ref="BS40" authorId="2" shapeId="0" xr:uid="{F135B786-5FD6-4CFF-844D-82699CC4A990}">
      <text>
        <r>
          <rPr>
            <b/>
            <sz val="9"/>
            <color indexed="81"/>
            <rFont val="Tahoma"/>
            <family val="2"/>
          </rPr>
          <t>Maria:</t>
        </r>
        <r>
          <rPr>
            <sz val="9"/>
            <color indexed="81"/>
            <rFont val="Tahoma"/>
            <family val="2"/>
          </rPr>
          <t xml:space="preserve">
Fra N.º 193 del 15/04/26 Gapestore: 4.137,18€.
----------------------------------
Fra N.º 194 del 15/04/2026 Gapestore: -96,89€.
---------------------------------------------
Fra N.º 196 del 15/04/26 Gapestore: 3.799,58€.
----------------------------------
Fra N.º 102 La Gestora del Kiosko del 26/11/24.
Carne: 196,20€. 
Abonado: 
------------------------------------</t>
        </r>
      </text>
    </comment>
    <comment ref="BT40" authorId="2" shapeId="0" xr:uid="{B7E1551A-258F-4FE5-BC5E-0ECD528D5968}">
      <text>
        <r>
          <rPr>
            <b/>
            <sz val="9"/>
            <color indexed="81"/>
            <rFont val="Tahoma"/>
            <family val="2"/>
          </rPr>
          <t>Maria:</t>
        </r>
        <r>
          <rPr>
            <sz val="9"/>
            <color indexed="81"/>
            <rFont val="Tahoma"/>
            <family val="2"/>
          </rPr>
          <t xml:space="preserve">
Fra N.º 201 GAPESTORE del 25/05/26.
Carne: 3.349,97€
Abonado: 
------------------------------------</t>
        </r>
      </text>
    </comment>
    <comment ref="BU40" authorId="2" shapeId="0" xr:uid="{30F370A7-F07E-4F0F-A682-E8843F8FD6FF}">
      <text>
        <r>
          <rPr>
            <b/>
            <sz val="9"/>
            <color indexed="81"/>
            <rFont val="Tahoma"/>
            <charset val="1"/>
          </rPr>
          <t>Maria:</t>
        </r>
        <r>
          <rPr>
            <sz val="9"/>
            <color indexed="81"/>
            <rFont val="Tahoma"/>
            <charset val="1"/>
          </rPr>
          <t xml:space="preserve">
Fra N.º 202 GAPESTORE del 08/06/26.
Carne: 5.221,49€
Abonado: 
------------------------------------</t>
        </r>
      </text>
    </comment>
    <comment ref="CL40" authorId="3" shapeId="0" xr:uid="{425747E7-E533-4BCE-8581-41B9DBF8F2DC}">
      <text>
        <r>
          <rPr>
            <sz val="9"/>
            <color indexed="81"/>
            <rFont val="Tahoma"/>
            <family val="2"/>
          </rPr>
          <t xml:space="preserve">Jamon matanza feb 23:
338 paletas *100 Eur listos oct 24
338 jamones * 250 Eur listos oct 25
</t>
        </r>
      </text>
    </comment>
    <comment ref="AM41" authorId="1" shapeId="0" xr:uid="{92013CA9-787C-4849-AC3A-778A40DED57C}">
      <text>
        <r>
          <rPr>
            <sz val="9"/>
            <color indexed="81"/>
            <rFont val="Tahoma"/>
            <family val="2"/>
          </rPr>
          <t>110 venta chacinas Mariano (morcones. Chizons y salchichones)</t>
        </r>
      </text>
    </comment>
    <comment ref="AV41" authorId="3" shapeId="0" xr:uid="{6D4EEEE6-47F7-4A00-8360-E0534BE60DB7}">
      <text>
        <r>
          <rPr>
            <sz val="9"/>
            <color indexed="81"/>
            <rFont val="Tahoma"/>
            <family val="2"/>
          </rPr>
          <t>Ticket 0000001 del 03/10/24: 11,10€.
Abonado: 04/10/24</t>
        </r>
        <r>
          <rPr>
            <b/>
            <sz val="9"/>
            <color indexed="81"/>
            <rFont val="Tahoma"/>
            <family val="2"/>
          </rPr>
          <t xml:space="preserve">
---------------------------------------------</t>
        </r>
        <r>
          <rPr>
            <sz val="9"/>
            <color indexed="81"/>
            <rFont val="Tahoma"/>
            <family val="2"/>
          </rPr>
          <t xml:space="preserve">
Ticket 0000002 del 28/10/24: 36,31€.
Abonado: 29/10/24
---------------------
33 entran en caja de venta chacinas Mariano (morcones. Chizons y salchichones)</t>
        </r>
      </text>
    </comment>
    <comment ref="AW41" authorId="3" shapeId="0" xr:uid="{C01053FE-A87C-4A4D-9651-E0330EF19FB9}">
      <text>
        <r>
          <rPr>
            <sz val="9"/>
            <color indexed="81"/>
            <rFont val="Tahoma"/>
            <family val="2"/>
          </rPr>
          <t xml:space="preserve">Ticket 0000003 del 14/11/24: 720,00€.
Abonado: 18/11/24
----------------------------------------------------------------
</t>
        </r>
        <r>
          <rPr>
            <b/>
            <sz val="9"/>
            <color indexed="81"/>
            <rFont val="Tahoma"/>
            <family val="2"/>
          </rPr>
          <t>Fra N.º 100 Areales Acal Francisc del 18/11/24.</t>
        </r>
        <r>
          <rPr>
            <sz val="9"/>
            <color indexed="81"/>
            <rFont val="Tahoma"/>
            <family val="2"/>
          </rPr>
          <t xml:space="preserve">
Paletas: 235,84€.
Abonado: 21/11/24
------------------------------------------------
Ticket 0000005 del 20/11/24: 84,00€.
Abonado: 21/11/24
------------------------------------------------
Ticket 0000006 del 22/11/24: 88,00€.
Abonado: 26/11/24
------------------------------------------------
70  entran en caja de venta chacinas Mariano (morcones. Chizons y salchichones)</t>
        </r>
      </text>
    </comment>
    <comment ref="AX41" authorId="2" shapeId="0" xr:uid="{22DA2B48-D046-4140-8852-89FADA6522CE}">
      <text>
        <r>
          <rPr>
            <b/>
            <sz val="9"/>
            <color indexed="81"/>
            <rFont val="Tahoma"/>
            <family val="2"/>
          </rPr>
          <t>Maria:</t>
        </r>
        <r>
          <rPr>
            <sz val="9"/>
            <color indexed="81"/>
            <rFont val="Tahoma"/>
            <family val="2"/>
          </rPr>
          <t xml:space="preserve">
Ticket 0000004 del 18/11/24.
Paleta para Concha Bosch: 89,20€.
Abonado: 20/12/24
------------------------------------------------
Ticket 0000008 del 02/12/24.
Paleta para Javier Domínguez: 114,40€.
Abonado: 05/12/24
------------------------------------------------
Ticket 0000009 del 02/12/24.
Paleta para Jose Antonio Montero: 227,04€.
Abonado: 04/12/24
------------------------------------------------
Ticket 0000010 del 02/12/24.
Paleta para Marcos Romero: 111,76€.
Abonado: 10/12/24
------------------------------------------------
Ticket 0000012 del 04/12/24.
Paletas para Carolina Barrio: 184,40€.
Abonado: 12/12/24
----------------------------------------------
Ticket 0000013 del 04/12/24. 
Paletas para Maite Mulet: 459,70€.
Abonado: 05/12/24
----------------------------------------------
</t>
        </r>
      </text>
    </comment>
    <comment ref="AY41" authorId="3" shapeId="0" xr:uid="{180F97B6-D5F3-473F-93E8-7C0A44BBABCD}">
      <text>
        <r>
          <rPr>
            <sz val="9"/>
            <color indexed="81"/>
            <rFont val="Tahoma"/>
            <family val="2"/>
          </rPr>
          <t>Fra 113 del 31/12/24 Azdeguia.
Paleta para Ignacio Montes: 124,96€.
Abonado: 08/01/24
------------------------------------------------
Ticket 00000018 del 20/01/2025.
Antonio Rossi: 139,15€.
Abonado: 24/01/2025.
-------------------------------------------------------
Ticket 00000019 del 21/01/2025.
Luis Llatas: 95,60€.
Abonado: 23/01/2025
-------------------------------------------------------
78  entran en caja de venta chacinas Mariano (morcones. Chizons y salchichones)</t>
        </r>
      </text>
    </comment>
    <comment ref="AZ41" authorId="3" shapeId="0" xr:uid="{F8CCD511-886E-40E8-A3EA-CAD975F73C5E}">
      <text>
        <r>
          <rPr>
            <sz val="9"/>
            <color indexed="81"/>
            <rFont val="Tahoma"/>
            <family val="2"/>
          </rPr>
          <t xml:space="preserve">Fra N.º 118 Restauración Micaela del 20/01/2025.
Paletas y chuleta: 178,62€.
Abonado: 11/02/2025.
-------------------------------------------------------
Ticket 00000020 del 21/01/2025.
Cristobal BLazquez: 106,92€.
Abonado: 04/02/24
-------------------------------------------------------
Ticket 00000021 del 21/01/2025.
Gonzalo Ybarra: 111,32€.
Abonado: 01/02/2025
-------------------------------------------------------
</t>
        </r>
      </text>
    </comment>
    <comment ref="BA41" authorId="3" shapeId="0" xr:uid="{148F0A78-5FF4-4C78-9E3C-2A71EE431974}">
      <text>
        <r>
          <rPr>
            <sz val="9"/>
            <color indexed="81"/>
            <rFont val="Tahoma"/>
            <family val="2"/>
          </rPr>
          <t>Fra N.º 123 Restauración Sostenible del 05/03/2025.
Paletas: 298,21€. 
Abonado: 13/03/25.
------------------------------------------------
10  entran en caja de venta chacinas Mariano (morcones. Chorizos y salchichones)</t>
        </r>
      </text>
    </comment>
    <comment ref="BB41" authorId="3" shapeId="0" xr:uid="{0A5F7B19-1A05-4701-981F-B0F8F5C1BD6D}">
      <text>
        <r>
          <rPr>
            <sz val="9"/>
            <color indexed="81"/>
            <rFont val="Tahoma"/>
            <family val="2"/>
          </rPr>
          <t>Ticket 00000025 del 04/04/2025.
Filomeno Aspe: 132,11€ 
Abonado: 07/04/2025
------------------------------------------------------
Ticket 00000026 del 04/04/2025.
María Agudo: 150,81€ 
Abonado: 14/04/2025.
------------------------------------------------------
Ticket 00000028 del 04/04/2025.
Ana Pareja: 233,97€ 
Abonado: 30/04/2025.
------------------------------------------------------
Ticket 00000029 del 04/04/2025.
Jose Antonio Montero: 137,61€ 
Abonado: 08/04/2025.
------------------------------------------------------
Ticket 00000030 del 04/04/2025.
Denisse: 168,96€ 
Abonado: 09/04/2025
------------------------------------------------------
Ticket 00000032 del 11/04/2025.
Jose Antonio Montero: 218,40€ 
Abonado: 15/04/2025
-------------------------------------------------------
Ticket 00000039 del 24/04/2025.
Maria Agudo: 136,29€ 
Abonado: 24/04/25
-------------------------------------------------------
Ticket 00000037 del 24/04/2025.
Carmen Bosch: 143,77€ 
Abonado: 26/04/25
-------------------------------------------------------
Ticket 00000036 del 24/04/2025.
Santiago Roca: 141,13€ 
Abonado: 26/04/25
-------------------------------------------------------
Ticket 00000040 del 25/04/2025.
S. gastronómica La Rondalosa: 144,21€ 
Abonado: 26/04/25</t>
        </r>
      </text>
    </comment>
    <comment ref="BC41" authorId="3" shapeId="0" xr:uid="{596B13F9-CF4D-4496-A168-FC551A9DAFDF}">
      <text>
        <r>
          <rPr>
            <sz val="9"/>
            <color indexed="81"/>
            <rFont val="Tahoma"/>
            <family val="2"/>
          </rPr>
          <t>Ticket 0000014 del 19/12/24. 
Paletas para Alfosno Carmona: 225,00€.
Abonado: 12/05/25
---------------------------------------------
Ticket 00000022 del 21/01/2025.
Loreto de Cozar: 205,65€.
Abonado: 29/05/25.
-------------------------------------------------------
Ticket 00000027 del 04/04/2025.
Francisco Carmona: 264,22€ 
Abonado: los 29 ylos 235 por separado. 
------------------------------------------------------</t>
        </r>
      </text>
    </comment>
    <comment ref="BE41" authorId="3" shapeId="0" xr:uid="{4FF87E83-B1E1-4D82-8AC3-A83A5282DF9C}">
      <text>
        <r>
          <rPr>
            <sz val="9"/>
            <color indexed="81"/>
            <rFont val="Tahoma"/>
            <family val="2"/>
          </rPr>
          <t xml:space="preserve">Ticket 00000042 del 04/07/2025.
Dusan Haruski: 131,89€ 
Abonado: 07/07/25
-------------------------------------------------------
Ticket 00000043 del 04/07/2025.
Filomeno Aspe: 126,61€ 
Abonado: 08/07/25
------------------------------------------------------
Ticket 00000044 del 04/07/2025.
Filomeno Aspe: 126,61€ 
Abonado: 08/07/25
------------------------------------------------------
</t>
        </r>
      </text>
    </comment>
    <comment ref="BF41" authorId="3" shapeId="0" xr:uid="{C8EF6E5B-472B-4E25-AACA-71F32DAAFF86}">
      <text>
        <r>
          <rPr>
            <sz val="9"/>
            <color indexed="81"/>
            <rFont val="Tahoma"/>
            <family val="2"/>
          </rPr>
          <t>Ticket 00000038 del 24/04/2025.
Filomeno Aspe: 142,89€ 
Abonado: 07/08/25
-------------------------------------------------------
Ticket 00000046 del 01/08/2025.
Filomeno Aspe: 127,82€ 
Abonado: 05/08/25
---------------------------------------------------------
Ticket 00000047 del 13/08/2025.
Francisco Carmona: 130,57€ 
Abonado: 17/08/25
----------------------------------------------------</t>
        </r>
      </text>
    </comment>
    <comment ref="BJ41" authorId="3" shapeId="0" xr:uid="{4F574594-2E73-4E15-B333-BF4B72BB4E3B}">
      <text>
        <r>
          <rPr>
            <sz val="9"/>
            <color indexed="81"/>
            <rFont val="Tahoma"/>
            <family val="2"/>
          </rPr>
          <t xml:space="preserve">Ticket 00000045 del 04/07/2025.
Manuel Dominguez: 129,25€ 
Abonado: 16/09/2025
------------------------------------------------------
Fra 142 FAMUMA 2020 del 17/06/25.
Paletas: 108,90€. 
Abonado: 05/09/2025
------------------------------------------------------
Fra 149 FAMUMA 2020 del 01/08/25.
Paletas: 500,28€. 
Abonado: 17/09/2025.
---------------------------------------------------------
</t>
        </r>
      </text>
    </comment>
    <comment ref="BK41" authorId="2" shapeId="0" xr:uid="{34101B45-2BFF-4F12-8550-8B46FA72742A}">
      <text>
        <r>
          <rPr>
            <b/>
            <sz val="9"/>
            <color indexed="81"/>
            <rFont val="Tahoma"/>
            <family val="2"/>
          </rPr>
          <t>Maria:</t>
        </r>
        <r>
          <rPr>
            <sz val="9"/>
            <color indexed="81"/>
            <rFont val="Tahoma"/>
            <family val="2"/>
          </rPr>
          <t xml:space="preserve">
Ticket 00000048 del 20/10/2025.
Enzo Vila: 137,17€ 
Abonado: 
----------------------------------</t>
        </r>
      </text>
    </comment>
    <comment ref="BL41" authorId="3" shapeId="0" xr:uid="{3DEC423B-6FBD-4343-A020-52CBB46DE1AD}">
      <text>
        <r>
          <rPr>
            <sz val="9"/>
            <color indexed="81"/>
            <rFont val="Tahoma"/>
            <family val="2"/>
          </rPr>
          <t xml:space="preserve">Ticket 00000049 del 07/11/2025.
Maite mulet: 586,52€ 
Abonado: 11/11/25
------------------------------------------------------
Ticket 00000050 del 07/11/2025.
Luis LLatas: 76,80€ 
Abonado: 10/11/25
------------------------------------------------------
Ticket 00000052 del 07/11/2025.
Francest Font: 100,32€ 
Abonado: 11/11/25
------------------------------------------------------
Ticket 00000053 del 10/11/2025.
Loreto Perez: 97,85€ 
Abonado: 11/11/25
------------------------------------------------------
Ticket 00000054 del 10/11/2025.
Jose Antonio Montero: 120,45€ 
Abonado: 15/11/25
------------------------------------------------------
Ticket 00000055 del 11/11/2025.
Jose Antonio Montero: 105,60€ 
Abonado: 15/11/25
------------------------------------------------------
Ticket 00000056 del 11/11/2025.
Carmen Bosch: 133,65€ 
Abonado: 14/11/25
------------------------------------------------------
Ticket 00000058 del 11/11/2025.
Filomeno Aspe: 243,54€ 
Abonado: 13/11/25
------------------------------------------------------
Ticket 00000061 del 19/11/2025.
Jose Antonio Montero: 227,92€ 
Abonado: 24/11/25
------------------------------------------------------
Ticket 00000062 del 19/11/2025.
Arturo Montes: 107,36€ 
Abonado: 26/11/25
------------------------------------------------------
Ticket 00000063 del 19/11/2025.
Francisco carmona: 120,01€ 
Abonado: 25/11/25
------------------------------------------------------
Ticket 00000064 del 19/11/2025.
Juan Jose Villagrán: 127,05€ 
Abonado: 21/11/25
------------------------------------------------------
Ticket 00000065 del 19/11/2025.
Pilar carmona: 136,62€ 
Abonado: 24/11/25
-------------------------------------------------------
</t>
        </r>
      </text>
    </comment>
    <comment ref="BM41" authorId="3" shapeId="0" xr:uid="{8E30F7D7-F024-4D05-83EF-DDE1C70DD1A5}">
      <text>
        <r>
          <rPr>
            <sz val="9"/>
            <color indexed="81"/>
            <rFont val="Tahoma"/>
            <family val="2"/>
          </rPr>
          <t xml:space="preserve">Fra N.º 144 Manuel Ruiz García del 04/07/2025.
Paletas: 303,60 €. 
Abonado: 02/12/25
------------------------------------------------------
Ticket 00000051 del 07/11/2025. Factura 166 del 01/12/25.
Julio alarcon: 97,68€ 
Abonado: 03/12/25
------------------------------------------------------
</t>
        </r>
      </text>
    </comment>
    <comment ref="BN41" authorId="3" shapeId="0" xr:uid="{FFDA43FA-CEB7-4BF1-91AB-C1EAC883346A}">
      <text>
        <r>
          <rPr>
            <sz val="9"/>
            <color indexed="81"/>
            <rFont val="Tahoma"/>
            <family val="2"/>
          </rPr>
          <t xml:space="preserve">Ticket 00000068 del 13/01/2026.
Jose Antonio Montero: 241,12€ 
Abonado: 14/01/26
------------------------------------------------------
Ticket 00000074 del 13/01/2026.
Ana Pareja Bosch: 140,25 € 
Abonado: 14/01/26
------------------------------------------------------
Ticket 00000079 del 13/01/2026.
Loreto perez de cozar: 296,50 € 
Abonado: 14/01/26
------------------------------------------------------
Ticket 00000082 del 13/01/2026.
Julio Alarcón: 150,70 € 
Abonado: 14/01/26
------------------------------------------------------
Ticket 00000083 del 13/01/2026.
Andres Melero: 141,50 € 
Abonado: 14/01/26
------------------------------------------------------
Fra 176 Liria de las Marismas del 13/01/2026.
Paleta: 337,04 €.
Abonado: 14/01/26
------------------------------------------------------
Ticket 00000086 del 13/01/2026.
Francisco Bosch: 254,54 € 
Abonado: 14/01/26
------------------------------------------------------
Ticket 00000087 del 13/01/2026.
Ignacio Montes Leon: 110,77 € 
Abonado: 14/01/26
------------------------------------------------------
Ticket 00000077 del 12/01/2026.
Ignacio Montes Leon: 121,60 € 
Abonado: 16/01/26
------------------------------------------------------
Ticket 00000078 del 12/01/2026.
Alfonso Marín: 156,70 € 
Abonado: 19/01/26
------------------------------------------------------
Ticket 00000069 del 12/01/2026.
Magdalena Romero: 156,20 € 
Abonado: 20/01/26
-------------------------------------------------------
Fra 181 Maria de los Angeles Jiménez del 21/01/2026.
Paleta: 152,46 €.
Abonado: 14/01/26
-------------------------------------------------------
Fra 180 Prieto Buharda S.L. del 21/01/2026.
Paleta: 135,88€.
Abonado: 26/01/26
------------------------------------------------------
Ticket 00000088 del 13/01/2026.
Francisco Bosch: 141,24 € 
Abonado: 27/01/26
------------------------------------------------------
Ticket 00000076 del 12/01/2026.
Grudrun Rissiek: 154,66 € 
Abonado: 28/01/26
</t>
        </r>
      </text>
    </comment>
    <comment ref="BO41" authorId="3" shapeId="0" xr:uid="{5BE17818-EABA-44A7-BFA6-ADDF46A18057}">
      <text>
        <r>
          <rPr>
            <sz val="9"/>
            <color indexed="81"/>
            <rFont val="Tahoma"/>
            <family val="2"/>
          </rPr>
          <t xml:space="preserve">Ticket 00000035 del 21/04/2025.
Concha Bosch: 106,00€ 
Abonado: 11/02/26
-------------------------------------------------------
Fra 162 FAMUMA 2020 del 10/11/25.
Paletas: 2.006,40€. 
Abonado: 04/02/26.
------------------------------------------------------
Ticket 00000057 del 11/11/2025.
Maria Aguado: 135,41€ 
Abonado: 02/02/26
------------------------------------------------------
Fra N.º 164 Nixal commodities del 19/11/25.
Paletas: 1.996,37€. 
Abonado: 02/02/26
-------------------------------------------------------
Fra N.º 165 Azdeguía del 19/11/25.
Paletas: 130,13€. Ingresado: 165,00€
Abonado: 02/02/26
-------------------------------------------------------
Ticket 00000075 del 12/01/2026.
Ernesto Laraia: 140,69€ 
Abonado: 04/02/26.
------------------------------------------------------
Ticket 00000081 del 12/01/2026.
Carmen Zúñiga: 116,80€ 
Abonado: 04/02/26.
------------------------------------------------------
Ticket 00000073 del 12/01/2026.
Lourdes Gutierrez: 136,95€ 
Abonado: 05/02/26.
------------------------------------------------------
Ticket 00000089 del 12/01/2026.
Ana Pareja Bosch: 141,46 € 
Abonado: 05/02/26.
-------------------------------------------------
Ticket 00000091 del 15/01/2026.
María Lacañina: 111,32 € 
Abonado: 13/02/26.
-------------------------------------------------
Ticket 00000080 del 12/01/2026.
Loreto de cozar Zúñiga: 287,00€ 
Abonado: 13/02/26.
------------------------------------------------------
Ticket 00000090 del 15/01/2026.
Juan Pedro Molina: 479,60€ 
Abonado: 14/02/26.
------------------------------------------------------
Ticket 00000072 del 12/01/2026.
Carlos Jimenez: 835,67€ 
Abonado por caja a Alberto 850: 17/02/26.
</t>
        </r>
      </text>
    </comment>
    <comment ref="BP41" authorId="3" shapeId="0" xr:uid="{4F3EDC5A-1295-4B26-AEC6-E9313EDB1B6C}">
      <text>
        <r>
          <rPr>
            <sz val="9"/>
            <color indexed="81"/>
            <rFont val="Tahoma"/>
            <family val="2"/>
          </rPr>
          <t xml:space="preserve">Ticket 00000093 del 25/02/2026.
Fernando Candela: 113,08€ 
Abonado: 03/03/26.
---------------------------------------
Ticket 00000092 del 25/02/2026.
Francisco Bosch: 123,54€ 
Abonado: 12/03/26.
---------------------------------------
Ticket 00000094 del 09/03/2026.
Francisco Bosch: 122,76€ 
Abonado: 12/03/26.
</t>
        </r>
      </text>
    </comment>
    <comment ref="BQ41" authorId="3" shapeId="0" xr:uid="{787BEBBA-4DF9-40A8-9969-BB3C00A27694}">
      <text>
        <r>
          <rPr>
            <sz val="9"/>
            <color indexed="81"/>
            <rFont val="Tahoma"/>
            <family val="2"/>
          </rPr>
          <t xml:space="preserve">Ticket 00000085 del 21/01/2026.
Carlos Jimenez: 145,86€ 
Abonado por caja a Alberto 150: 1/04/26.
------------
Ticket 00000096 del 25/03/2026.
Juan Luis Rivas: 379,72€ 
Abonado por caja a Alberto 380: 1/04/26.
380 de venta paletas pendiente de identificación de Alberto o María. A caja el 9/4/26
-----------------------------------------
Fra 189  PRIETO BUHARDA del 24/03/2026.
Paleta: 134,68€.
Abonado: 06/04/26
------------------------------------------------------
Fra 177 Liria de las Marismas del 16/01/2026.
Paleta: 154,22 €.
Abonado: 20/04/26
------------------------------------------------------------
Fra 188 Liria de las Marismas del 19/03/2026.
Paleta: 157,23€.
Abonado: 20/04/26
------------------------------------------------------------
</t>
        </r>
      </text>
    </comment>
    <comment ref="BR41" authorId="3" shapeId="0" xr:uid="{C67625CD-DC57-45A6-9481-394AF95C5F35}">
      <text>
        <r>
          <rPr>
            <sz val="9"/>
            <color indexed="81"/>
            <rFont val="Tahoma"/>
            <family val="2"/>
          </rPr>
          <t>Ticket 00000102 del 21/05/26
Manuel Laffon: 285,26€ 
Abonado: 25/05/26
------------------------------------------------------
Ticket 00000100 del 11/05/26
Filomeno Aspe: 344,83€ 
Abonado: 25/05/26
-----------------------------------------------------
Fra 195 Liria de las Marismas del 20/04/2026.
Paleta: 171,91€.
Abonado: 26/05/26.
-----------------------------------------------------
Fra 198 Liria de las Marismas del 28/04/2026.
Paleta: 324,84€.
Abonado: 26/05/26.</t>
        </r>
      </text>
    </comment>
    <comment ref="BS41" authorId="3" shapeId="0" xr:uid="{19E37895-BC7C-46F8-8D21-3DBF445CE303}">
      <text>
        <r>
          <rPr>
            <sz val="9"/>
            <color indexed="81"/>
            <rFont val="Tahoma"/>
            <family val="2"/>
          </rPr>
          <t>Ticket 00000017 del 20/01/2025.
Concha Bosch: 111,76€.
Abonado: 
-------------------------------------------------------
Ticket 00000034 del 21/04/2025.
Conchita Carmona: 98,40€ 
Abonado: 
-------------------------------------------------------
Fra N.º 133 EROC GROUP SERVICIOS RESTAURACIÓN, S.L. del 30/04/2025.
Carne: 983,75€. 
Abonado: 
------------------------------------------------------
Ticket 00000059 del 11/11/2025.
Concha Bosch: 131,45€ 
Abonado: 
------------------------------------------------------
Fra 173 FAMUMA 2020 del 18/12/25.
Paletas: 3.015,32€. 
Abonado: 02/05/26.
------------------------------------------------------------
Fra ABONO 199 FAMUMA 2020 del 21/05/26
Paletas: 1.585,32€. 
Abonado: 02/05/26.
------------------------------------------------------</t>
        </r>
      </text>
    </comment>
    <comment ref="BD45" authorId="1" shapeId="0" xr:uid="{5B6E1D40-6751-4E01-A54A-2D767100C7C0}">
      <text>
        <r>
          <rPr>
            <b/>
            <sz val="9"/>
            <color indexed="81"/>
            <rFont val="Tahoma"/>
            <family val="2"/>
          </rPr>
          <t xml:space="preserve">Compra lechones Jaime Frasquito:
</t>
        </r>
        <r>
          <rPr>
            <sz val="9"/>
            <color indexed="81"/>
            <rFont val="Tahoma"/>
            <family val="2"/>
          </rPr>
          <t xml:space="preserve">180 de caja
</t>
        </r>
        <r>
          <rPr>
            <b/>
            <sz val="9"/>
            <color indexed="81"/>
            <rFont val="Tahoma"/>
            <family val="2"/>
          </rPr>
          <t xml:space="preserve">Compra lechones a Domingo y cuñado Marianito:
</t>
        </r>
        <r>
          <rPr>
            <sz val="9"/>
            <color indexed="81"/>
            <rFont val="Tahoma"/>
            <family val="2"/>
          </rPr>
          <t>900 de caja</t>
        </r>
      </text>
    </comment>
    <comment ref="DC45" authorId="3" shapeId="0" xr:uid="{00000000-0006-0000-0500-000091000000}">
      <text>
        <r>
          <rPr>
            <b/>
            <sz val="9"/>
            <color indexed="81"/>
            <rFont val="Tahoma"/>
            <family val="2"/>
          </rPr>
          <t>alfonso:</t>
        </r>
        <r>
          <rPr>
            <sz val="9"/>
            <color indexed="81"/>
            <rFont val="Tahoma"/>
            <family val="2"/>
          </rPr>
          <t xml:space="preserve">
José Bento (Productor agrícola)
Fra. 10/12/19: 1.953€
18600 Kg. Fardos pajas lechones
Pago mediante talón por 1607,34 en enero de 2020. El resto se queda sin pagar y ya quedará como impagado  y a ingreso en algún cierre.
</t>
        </r>
        <r>
          <rPr>
            <b/>
            <sz val="9"/>
            <color indexed="81"/>
            <rFont val="Tahoma"/>
            <family val="2"/>
          </rPr>
          <t>ELIMINADO DE CONTA  EN CIERRE DE 31.08.20</t>
        </r>
      </text>
    </comment>
    <comment ref="AG47" authorId="0" shapeId="0" xr:uid="{8EF88067-9345-4253-AD0C-115EE63F891C}">
      <text>
        <r>
          <rPr>
            <sz val="9"/>
            <color indexed="81"/>
            <rFont val="Tahoma"/>
            <family val="2"/>
          </rPr>
          <t xml:space="preserve">--------------------------------------
Fra Prozovet del 17/10/23.
Meidcina: 256,30€. 
Domiciliado el 16/11/23.- Cargado: 16/11/23.
--------------------------------------
</t>
        </r>
      </text>
    </comment>
    <comment ref="AH47" authorId="0" shapeId="0" xr:uid="{FA1E2B10-60B2-4639-9C84-6193C745075D}">
      <text>
        <r>
          <rPr>
            <b/>
            <sz val="9"/>
            <color indexed="81"/>
            <rFont val="Tahoma"/>
            <family val="2"/>
          </rPr>
          <t>Fra Servivet del 10/12/22.</t>
        </r>
        <r>
          <rPr>
            <sz val="9"/>
            <color indexed="81"/>
            <rFont val="Tahoma"/>
            <family val="2"/>
          </rPr>
          <t xml:space="preserve">
Vacuna cerdos: 88,00€
Domilciliado: 12/12/23
</t>
        </r>
      </text>
    </comment>
    <comment ref="AI47" authorId="0" shapeId="0" xr:uid="{A271C04B-8EFF-41D3-95BD-669AF8289C97}">
      <text>
        <r>
          <rPr>
            <b/>
            <sz val="9"/>
            <color indexed="81"/>
            <rFont val="Tahoma"/>
            <family val="2"/>
          </rPr>
          <t>Fra Servivet del 12/01/23.</t>
        </r>
        <r>
          <rPr>
            <sz val="9"/>
            <color indexed="81"/>
            <rFont val="Tahoma"/>
            <family val="2"/>
          </rPr>
          <t xml:space="preserve">
Cerdos vacunados: 82,50€.
Domiciliado el 16/01/24
-----------------------------------</t>
        </r>
      </text>
    </comment>
    <comment ref="AJ47" authorId="3" shapeId="0" xr:uid="{B064AAE9-7E09-48B9-91F4-AD5876D868D9}">
      <text>
        <r>
          <rPr>
            <b/>
            <sz val="9"/>
            <color indexed="81"/>
            <rFont val="Tahoma"/>
            <family val="2"/>
          </rPr>
          <t xml:space="preserve">Fra Ovipor del 31/12/23. 
</t>
        </r>
        <r>
          <rPr>
            <sz val="9"/>
            <color indexed="81"/>
            <rFont val="Tahoma"/>
            <family val="2"/>
          </rPr>
          <t xml:space="preserve">181,53€. 
Cargado el 01/02/24
------------------------------------------
</t>
        </r>
      </text>
    </comment>
    <comment ref="AK47" authorId="3" shapeId="0" xr:uid="{64466DB9-B92B-402F-AABC-CB36D47DC642}">
      <text>
        <r>
          <rPr>
            <b/>
            <sz val="9"/>
            <color indexed="81"/>
            <rFont val="Tahoma"/>
            <family val="2"/>
          </rPr>
          <t>Fra Servivet del 24/01/23.</t>
        </r>
        <r>
          <rPr>
            <sz val="9"/>
            <color indexed="81"/>
            <rFont val="Tahoma"/>
            <family val="2"/>
          </rPr>
          <t xml:space="preserve">
DVR porcino: 110€.
Transferencia realizada el 01/03/24
----------------------------------
</t>
        </r>
        <r>
          <rPr>
            <b/>
            <sz val="9"/>
            <color indexed="81"/>
            <rFont val="Tahoma"/>
            <family val="2"/>
          </rPr>
          <t>Fra Ovipor del 05/03/24.</t>
        </r>
        <r>
          <rPr>
            <sz val="9"/>
            <color indexed="81"/>
            <rFont val="Tahoma"/>
            <family val="2"/>
          </rPr>
          <t xml:space="preserve">
medicinas: 886,80€.
Domiciliado el 13/03/24
-----------------------------------
</t>
        </r>
        <r>
          <rPr>
            <b/>
            <sz val="9"/>
            <color indexed="81"/>
            <rFont val="Tahoma"/>
            <family val="2"/>
          </rPr>
          <t>Fra Ovipor del 04/01/24</t>
        </r>
        <r>
          <rPr>
            <sz val="9"/>
            <color indexed="81"/>
            <rFont val="Tahoma"/>
            <family val="2"/>
          </rPr>
          <t xml:space="preserve">
Medicina: 94,84€
------------------------------------
</t>
        </r>
        <r>
          <rPr>
            <b/>
            <sz val="9"/>
            <color indexed="81"/>
            <rFont val="Tahoma"/>
            <family val="2"/>
          </rPr>
          <t>Fra Ovipor del 31/01/24</t>
        </r>
        <r>
          <rPr>
            <sz val="9"/>
            <color indexed="81"/>
            <rFont val="Tahoma"/>
            <family val="2"/>
          </rPr>
          <t xml:space="preserve">
Medicina: 33,00€
-----------------------------------</t>
        </r>
      </text>
    </comment>
    <comment ref="AL47" authorId="3" shapeId="0" xr:uid="{BA6AF6DD-BA9C-4E23-90EB-E845502AD1E3}">
      <text>
        <r>
          <rPr>
            <b/>
            <sz val="9"/>
            <color indexed="81"/>
            <rFont val="Tahoma"/>
            <family val="2"/>
          </rPr>
          <t>Fra Jose Luis Garcia Cubero del 08/02/24.</t>
        </r>
        <r>
          <rPr>
            <sz val="9"/>
            <color indexed="81"/>
            <rFont val="Tahoma"/>
            <family val="2"/>
          </rPr>
          <t xml:space="preserve">
Veterinario para cerdos: 280€ 
Ok ALF 07/02/24
Pndte realizar transferencia..
Transferencia Caixa realizada: 05/04/24
--------------------------------
</t>
        </r>
      </text>
    </comment>
    <comment ref="AM47" authorId="4" shapeId="0" xr:uid="{DD3CA9F9-F90D-48A8-AEB6-405FD91A24B9}">
      <text>
        <r>
          <rPr>
            <sz val="9"/>
            <color indexed="81"/>
            <rFont val="Tahoma"/>
            <family val="2"/>
          </rPr>
          <t>Fra Servivet del 16/05/24.
77€: 105 cerdos vacunados pulmonía
77€: Realizar transferencia, OK ALF
Transferencia por el total 298,10€ realizada el 29/05/24</t>
        </r>
      </text>
    </comment>
    <comment ref="AO47" authorId="0" shapeId="0" xr:uid="{59109886-FA34-43A2-9CC2-B2CFF04EA9F6}">
      <text>
        <r>
          <rPr>
            <b/>
            <sz val="9"/>
            <color indexed="81"/>
            <rFont val="Tahoma"/>
            <family val="2"/>
          </rPr>
          <t xml:space="preserve">Fra Prozovet del 21/06/24. 
</t>
        </r>
        <r>
          <rPr>
            <sz val="9"/>
            <color indexed="81"/>
            <rFont val="Tahoma"/>
            <family val="2"/>
          </rPr>
          <t>medicinas: 141,10
Domiciliado: 22/07/24</t>
        </r>
      </text>
    </comment>
    <comment ref="AU47" authorId="3" shapeId="0" xr:uid="{FBC21F4F-D27A-4E15-9E8E-9814EBFD7A19}">
      <text>
        <r>
          <rPr>
            <b/>
            <sz val="9"/>
            <color indexed="81"/>
            <rFont val="Tahoma"/>
            <family val="2"/>
          </rPr>
          <t>Fra Jose Luis Garcia Cubero del 02/05/24.</t>
        </r>
        <r>
          <rPr>
            <sz val="9"/>
            <color indexed="81"/>
            <rFont val="Tahoma"/>
            <family val="2"/>
          </rPr>
          <t xml:space="preserve">
Veterinario para cerdos: 154,50€ 
Ok ALF 03/05/24
Pndte realizar transferencia..
Transf. Caixa x el total 542,50€ realizada el 03/09/24 
--------------------------------
</t>
        </r>
        <r>
          <rPr>
            <b/>
            <sz val="9"/>
            <color indexed="81"/>
            <rFont val="Tahoma"/>
            <family val="2"/>
          </rPr>
          <t xml:space="preserve">Fra Jose Luis Garcia Cubero del 27/09/24. </t>
        </r>
        <r>
          <rPr>
            <sz val="9"/>
            <color indexed="81"/>
            <rFont val="Tahoma"/>
            <family val="2"/>
          </rPr>
          <t xml:space="preserve">
Vacas: 133€
Pendiente realizar transferencia.
Transf. Caixa realizada el 27/09/24  </t>
        </r>
      </text>
    </comment>
    <comment ref="AX47" authorId="2" shapeId="0" xr:uid="{0E7C533C-BBD3-4266-9376-142283976952}">
      <text>
        <r>
          <rPr>
            <b/>
            <sz val="9"/>
            <color indexed="81"/>
            <rFont val="Tahoma"/>
            <family val="2"/>
          </rPr>
          <t>Maria:</t>
        </r>
        <r>
          <rPr>
            <sz val="9"/>
            <color indexed="81"/>
            <rFont val="Tahoma"/>
            <family val="2"/>
          </rPr>
          <t xml:space="preserve">
Fra Servivet del  28/10/24.
Vacunas: 49,50€. 
Pendiente realizar transferncias. 
Transf. Caixa x el total 480,70€ realizada el 18/12/24 
--------------------------------
Fra Servivet del  13/11/24.
Vacunas: 49,50€. 
Pendiente realizar transferncias. 
Transf. Caixa x el total 480,70€ realizada el 18/12/24 
--------------------------------
Fra Servivet del  21/11/24.
Vacunas: 137,50€. 
Pendiente realizar transferncias. 
Transf. Caixa x el total 480,70€ realizada el 18/12/24 
--------------------------------</t>
        </r>
      </text>
    </comment>
    <comment ref="AY47" authorId="2" shapeId="0" xr:uid="{6BDEF7C6-5310-4167-8A79-7331E93BE7BE}">
      <text>
        <r>
          <rPr>
            <b/>
            <sz val="9"/>
            <color indexed="81"/>
            <rFont val="Tahoma"/>
            <family val="2"/>
          </rPr>
          <t>Maria:</t>
        </r>
        <r>
          <rPr>
            <sz val="9"/>
            <color indexed="81"/>
            <rFont val="Tahoma"/>
            <family val="2"/>
          </rPr>
          <t xml:space="preserve">
Fra Ovipor del 31/12/24.
53,30e. 
Cargado: 
---------------------------
Fra Ovipor del 30/11/24.
29,04€
Cargado: 
---------------------------</t>
        </r>
      </text>
    </comment>
    <comment ref="AZ47" authorId="2" shapeId="0" xr:uid="{39FF92C4-0B63-42A2-985A-7028714250BD}">
      <text>
        <r>
          <rPr>
            <b/>
            <sz val="9"/>
            <color indexed="81"/>
            <rFont val="Tahoma"/>
            <family val="2"/>
          </rPr>
          <t>Maria:</t>
        </r>
        <r>
          <rPr>
            <sz val="9"/>
            <color indexed="81"/>
            <rFont val="Tahoma"/>
            <family val="2"/>
          </rPr>
          <t xml:space="preserve">
Fra Ovipor del 31/12/24: 225,53.</t>
        </r>
      </text>
    </comment>
    <comment ref="BB47" authorId="2" shapeId="0" xr:uid="{97C83779-57E8-49E2-B7E1-22D94AD858D4}">
      <text>
        <r>
          <rPr>
            <sz val="9"/>
            <color indexed="81"/>
            <rFont val="Tahoma"/>
            <family val="2"/>
          </rPr>
          <t xml:space="preserve">CUENTAS CON GARCIA CUBERO:
GARCIA CUBERO nos debe descontar 8 sacos de pienso de CERSUR (que va en alimento).  
8*100€/saco=800,00€
Correo de Alfonso del 25/07/24 y confirmado acordado con veterinario que es correcto. Lo irá descontando en varias facturas 
Febrero 25
Cochinos: 30 castrados (16 hembras x 1,5€ + 14 machos x 0,5€) = 31€
Desplazamiento: 50€
Total 81€
Resumen cuenta:
-800+206+81
Multiplicamos x0 para que quede neutro pero reflejado.
</t>
        </r>
      </text>
    </comment>
    <comment ref="BC47" authorId="2" shapeId="0" xr:uid="{0AD28B2E-0E42-4352-B2FE-1808FE50F16E}">
      <text>
        <r>
          <rPr>
            <b/>
            <sz val="9"/>
            <color indexed="81"/>
            <rFont val="Tahoma"/>
            <family val="2"/>
          </rPr>
          <t>Maria:</t>
        </r>
        <r>
          <rPr>
            <sz val="9"/>
            <color indexed="81"/>
            <rFont val="Tahoma"/>
            <family val="2"/>
          </rPr>
          <t xml:space="preserve">
Fra Servivet del 29/04/25.
Vacunas: 77€.
Transferencia Caixa x el total 323,40€ realizada el 18/05/25 
-----------------------------------------------
Fra Servivet del 13/05/25.
Vacunas: 90,20€.
Transferencia Caixa x el total 323,40€ realizada el 18/05/25 
---------------------------------------------
Fra Ovipor del 01/04/2025.
Medicinas: 142,32€.
Domiciliado: 06/05/25.</t>
        </r>
      </text>
    </comment>
    <comment ref="BD47" authorId="2" shapeId="0" xr:uid="{6A357CF5-DFAA-4FED-9BF9-B055EA74E200}">
      <text>
        <r>
          <rPr>
            <b/>
            <sz val="9"/>
            <color indexed="81"/>
            <rFont val="Tahoma"/>
            <family val="2"/>
          </rPr>
          <t>Maria:</t>
        </r>
        <r>
          <rPr>
            <sz val="9"/>
            <color indexed="81"/>
            <rFont val="Tahoma"/>
            <family val="2"/>
          </rPr>
          <t xml:space="preserve">
Fra Prozovet del 09/05/25.
Vacunas: 90,75€.
Domiciliado: 09/06/25 
-----------------------------------------------
Javi vecino para ayuda castrado marranos: 
50 Eur</t>
        </r>
      </text>
    </comment>
    <comment ref="BF47" authorId="2" shapeId="0" xr:uid="{F8603C65-1E7C-4C16-8100-B4C62D7E4D71}">
      <text>
        <r>
          <rPr>
            <b/>
            <sz val="9"/>
            <color indexed="81"/>
            <rFont val="Tahoma"/>
            <family val="2"/>
          </rPr>
          <t>Maria:</t>
        </r>
        <r>
          <rPr>
            <sz val="9"/>
            <color indexed="81"/>
            <rFont val="Tahoma"/>
            <family val="2"/>
          </rPr>
          <t xml:space="preserve">
Fra Servivet del 17/06/25.
Vacunas: 154,00€.
Transferencia Caixa x el total 419,09€ realizada el 01/08/25
-----------------------------------------------
</t>
        </r>
      </text>
    </comment>
    <comment ref="BJ47" authorId="1" shapeId="0" xr:uid="{71F81D40-D0EF-441B-A9D3-B968E5A12914}">
      <text>
        <r>
          <rPr>
            <sz val="9"/>
            <color indexed="81"/>
            <rFont val="Tahoma"/>
            <family val="2"/>
          </rPr>
          <t>CUENTAS CON GARCIA CUBERO:
GARCIA CUBERO nos debe descontar 8 sacos de pienso de CERSUR (que va en alimento).  
8*100€/saco=800,00€
Correo de Alfonso del 25/07/24 y confirmado acordado con veterinario que es correcto. Lo irá descontando en varias facturas 
Septiembre 25
Cochinos: 109 castrados: 58 hembras x 1,5€ + 51 machos x 0,5€= 112,5€
Desplazamiento: 100€
Cuadre: 4,5 (para que quede a cero hasta aqui)
Total 217€
Resumen cuenta:
-800+206+81+296+212,5
Multiplicamos x0 para que quede neutro pero reflejado.</t>
        </r>
      </text>
    </comment>
    <comment ref="BL47" authorId="2" shapeId="0" xr:uid="{70FADF04-C0EF-4CC1-A762-CBECBBC8A056}">
      <text>
        <r>
          <rPr>
            <b/>
            <sz val="9"/>
            <color indexed="81"/>
            <rFont val="Tahoma"/>
            <family val="2"/>
          </rPr>
          <t>Maria:</t>
        </r>
        <r>
          <rPr>
            <sz val="9"/>
            <color indexed="81"/>
            <rFont val="Tahoma"/>
            <family val="2"/>
          </rPr>
          <t xml:space="preserve">
Fra Servivet del 15/10/25.
Biopsia: 132,00€. 
Transferencia Caixa x el total 280,50€ realizada el 21/11/25
-----------------------------------
Fra Servivet del 24/10/25.
Biopsia: 77,00€. 
Transferencia Caixa x el total 280,50€ realizada el 21/11/25
-----------------------------------
Fra Servivet del 04/11/25.
Biopsia: 71,50€. 
Transferencia Caixa x el total 280,50€ realizada el 21/11/25
----------------------------------
Fra Ovipor del 22/10/25: 152,76€
----------------------------------
Fra Ovipor del 23/10/25: 240,33€
----------------------------------
Fra Ovipor del 24/10/25: 101,13€</t>
        </r>
      </text>
    </comment>
    <comment ref="BM47" authorId="2" shapeId="0" xr:uid="{7B7EEE50-A309-4838-B439-7C6CC6F2E5D0}">
      <text>
        <r>
          <rPr>
            <b/>
            <sz val="9"/>
            <color indexed="81"/>
            <rFont val="Tahoma"/>
            <family val="2"/>
          </rPr>
          <t>Maria:</t>
        </r>
        <r>
          <rPr>
            <sz val="9"/>
            <color indexed="81"/>
            <rFont val="Tahoma"/>
            <family val="2"/>
          </rPr>
          <t xml:space="preserve">
Fra Servivet del 10/12/25. 
Porcino: 137,50€.  
Transferencia realizada el 23/12/25.
-----------------------------------------------
Fra Ovipor del 31/10/25.
Porino: 200,62€
Cargado: 
-----------------------------------------------</t>
        </r>
      </text>
    </comment>
    <comment ref="BO47" authorId="2" shapeId="0" xr:uid="{85E21380-6B7B-41AB-A498-C0E71650B0F9}">
      <text>
        <r>
          <rPr>
            <b/>
            <sz val="9"/>
            <color indexed="81"/>
            <rFont val="Tahoma"/>
            <family val="2"/>
          </rPr>
          <t>Maria:</t>
        </r>
        <r>
          <rPr>
            <sz val="9"/>
            <color indexed="81"/>
            <rFont val="Tahoma"/>
            <family val="2"/>
          </rPr>
          <t xml:space="preserve">
Fra Ovipor del 31/12/25: 81,43€. 
Cargado: 09/02/26</t>
        </r>
      </text>
    </comment>
    <comment ref="BP47" authorId="2" shapeId="0" xr:uid="{905A3A48-0596-4747-90F8-B177D8F59AC4}">
      <text>
        <r>
          <rPr>
            <b/>
            <sz val="9"/>
            <color indexed="81"/>
            <rFont val="Tahoma"/>
            <family val="2"/>
          </rPr>
          <t>Maria:</t>
        </r>
        <r>
          <rPr>
            <sz val="9"/>
            <color indexed="81"/>
            <rFont val="Tahoma"/>
            <family val="2"/>
          </rPr>
          <t xml:space="preserve">
Fra ovipor del 31/01/26.
Cargado: 03/03/26</t>
        </r>
      </text>
    </comment>
    <comment ref="BR47" authorId="1" shapeId="0" xr:uid="{C50509C1-4AB3-4CEE-95B8-AB03A346DD7F}">
      <text>
        <r>
          <rPr>
            <sz val="9"/>
            <color indexed="81"/>
            <rFont val="Tahoma"/>
            <family val="2"/>
          </rPr>
          <t>Fra Natalia Roman del 05/05/26.
Medicinas: 71,50€.
Transf. Caixa realizada el 22/05/26
---------------------------------------------
Fra Natalia Roman del 07/05/26.
Medicinas: 66,00€. 
Transf. Caixa realizada el 22/05/26
---------------------------------------------
Fra Ovipor del 31/03/26.
medicinas: 183,26€. 
Domiciliado 13/05/26</t>
        </r>
      </text>
    </comment>
    <comment ref="BS47" authorId="1" shapeId="0" xr:uid="{022AD19C-6740-46FC-A147-71204CEB3042}">
      <text>
        <r>
          <rPr>
            <b/>
            <sz val="9"/>
            <color indexed="81"/>
            <rFont val="Tahoma"/>
            <family val="2"/>
          </rPr>
          <t>Alfonso Carmona:</t>
        </r>
        <r>
          <rPr>
            <sz val="9"/>
            <color indexed="81"/>
            <rFont val="Tahoma"/>
            <family val="2"/>
          </rPr>
          <t xml:space="preserve">
Febrero 26 
Cochinos: 109 castrados (48 hembras x 1,5€ + 61 machos x 0,5€) = 102,5€
Desplazamiento: 50€
Total 152,5€
Pte factura con IVA
----------------------------------------
Fra Natalia Roman del 05/05/26.
Medicinas: 71,50€.
Pendiente transfer. </t>
        </r>
      </text>
    </comment>
    <comment ref="AF48" authorId="0" shapeId="0" xr:uid="{98BC7291-91BF-4D8D-AAA1-BC9D87E727C8}">
      <text>
        <r>
          <rPr>
            <b/>
            <sz val="9"/>
            <color indexed="81"/>
            <rFont val="Tahoma"/>
            <family val="2"/>
          </rPr>
          <t xml:space="preserve">Fra La Serrania de jabugo del 06/09/23.
</t>
        </r>
        <r>
          <rPr>
            <sz val="9"/>
            <color indexed="81"/>
            <rFont val="Tahoma"/>
            <family val="2"/>
          </rPr>
          <t xml:space="preserve">Carne: 2.442,50€. 
Transferencia realizada el 03/10/23.
</t>
        </r>
      </text>
    </comment>
    <comment ref="AG48" authorId="3" shapeId="0" xr:uid="{6021D713-2ABA-428A-81AF-3FBD8547A139}">
      <text>
        <r>
          <rPr>
            <b/>
            <sz val="9"/>
            <color indexed="81"/>
            <rFont val="Tahoma"/>
            <family val="2"/>
          </rPr>
          <t>Fra La serrania de Jabugo del 04/10/23.</t>
        </r>
        <r>
          <rPr>
            <sz val="9"/>
            <color indexed="81"/>
            <rFont val="Tahoma"/>
            <family val="2"/>
          </rPr>
          <t xml:space="preserve">
Pluma y Solomillo: 3.296,58€
Transferencia realizada el 03/11/23.
-----------------------------------------
</t>
        </r>
      </text>
    </comment>
    <comment ref="AH48" authorId="0" shapeId="0" xr:uid="{101BA09E-A3E7-445D-8E35-AEB3DAA7929B}">
      <text>
        <r>
          <rPr>
            <b/>
            <sz val="9"/>
            <color indexed="81"/>
            <rFont val="Tahoma"/>
            <family val="2"/>
          </rPr>
          <t xml:space="preserve">Fra La Serrania de Jabugo del 03/11/23.
</t>
        </r>
        <r>
          <rPr>
            <sz val="9"/>
            <color indexed="81"/>
            <rFont val="Tahoma"/>
            <family val="2"/>
          </rPr>
          <t xml:space="preserve">PLUMA, SOLOMILLO Y SECRETO: 4.125,20€. 
Pendiente realizar transferencia.
Transf. Caixa realizada el 18/12/23 
----------------------------------------
</t>
        </r>
      </text>
    </comment>
    <comment ref="AI48" authorId="0" shapeId="0" xr:uid="{6B27607E-C766-4194-BE89-A4C17FD4DC4B}">
      <text>
        <r>
          <rPr>
            <b/>
            <sz val="9"/>
            <color indexed="81"/>
            <rFont val="Tahoma"/>
            <family val="2"/>
          </rPr>
          <t xml:space="preserve">Fra La Serrania de Jabugo del 19/12/23.
</t>
        </r>
        <r>
          <rPr>
            <sz val="9"/>
            <color indexed="81"/>
            <rFont val="Tahoma"/>
            <family val="2"/>
          </rPr>
          <t>PLUMA, SOLOMILLO: 1.508,97€. 
Transferencia realizada el 11/01/24.
----------------------------------------</t>
        </r>
        <r>
          <rPr>
            <sz val="9"/>
            <color indexed="81"/>
            <rFont val="Tahoma"/>
            <family val="2"/>
          </rPr>
          <t xml:space="preserve">
</t>
        </r>
        <r>
          <rPr>
            <b/>
            <sz val="9"/>
            <color indexed="81"/>
            <rFont val="Tahoma"/>
            <family val="2"/>
          </rPr>
          <t>Fra La Serrania de Jabugo del 09/01/24.</t>
        </r>
        <r>
          <rPr>
            <sz val="9"/>
            <color indexed="81"/>
            <rFont val="Tahoma"/>
            <family val="2"/>
          </rPr>
          <t xml:space="preserve">
PLUMA, SECRETO: 1.228,16€. 
Pendiente realizar transferencia.
Transferencia realizada el 29/01/24.
----------------------------------------</t>
        </r>
      </text>
    </comment>
    <comment ref="AJ48" authorId="0" shapeId="0" xr:uid="{9CBBCA46-33C6-4885-AB3C-A94EF1B3539D}">
      <text>
        <r>
          <rPr>
            <sz val="9"/>
            <color indexed="81"/>
            <rFont val="Tahoma"/>
            <family val="2"/>
          </rPr>
          <t xml:space="preserve">
</t>
        </r>
        <r>
          <rPr>
            <b/>
            <sz val="9"/>
            <color indexed="81"/>
            <rFont val="Tahoma"/>
            <family val="2"/>
          </rPr>
          <t>Fra La Serrania de Jabugo del 06/02/24.</t>
        </r>
        <r>
          <rPr>
            <sz val="9"/>
            <color indexed="81"/>
            <rFont val="Tahoma"/>
            <family val="2"/>
          </rPr>
          <t xml:space="preserve">
PLUMA, SECRETO: 2,925,45€. 
Pendiente realizar transferencia.
Transferencia Caixa realizada el 21/02/24
-----------------------------------------
</t>
        </r>
      </text>
    </comment>
    <comment ref="AL48" authorId="3" shapeId="0" xr:uid="{B2A27B38-C56D-452C-B193-98597782540B}">
      <text>
        <r>
          <rPr>
            <b/>
            <sz val="9"/>
            <color indexed="81"/>
            <rFont val="Tahoma"/>
            <family val="2"/>
          </rPr>
          <t xml:space="preserve">Fra La Serrania de Jabugo del 20/03/24.
</t>
        </r>
        <r>
          <rPr>
            <sz val="9"/>
            <color indexed="81"/>
            <rFont val="Tahoma"/>
            <family val="2"/>
          </rPr>
          <t>Carne: 2.108,95€. 
Pendiente realizar transferencia.
Transferencia Caixa realizada el 25/04/24
-----------------------------------------</t>
        </r>
        <r>
          <rPr>
            <sz val="9"/>
            <color indexed="81"/>
            <rFont val="Tahoma"/>
            <family val="2"/>
          </rPr>
          <t xml:space="preserve">
</t>
        </r>
        <r>
          <rPr>
            <b/>
            <sz val="9"/>
            <color indexed="81"/>
            <rFont val="Tahoma"/>
            <family val="2"/>
          </rPr>
          <t>Fra La Serrania de Jabugo del 14/02/24.</t>
        </r>
        <r>
          <rPr>
            <sz val="9"/>
            <color indexed="81"/>
            <rFont val="Tahoma"/>
            <family val="2"/>
          </rPr>
          <t xml:space="preserve">
CHuletero: 528,00€. 
Pendiente realizar transferencia.
Transferencia Caixa realizada el 25/04/24
---------------------------------------------
</t>
        </r>
        <r>
          <rPr>
            <b/>
            <sz val="9"/>
            <color indexed="81"/>
            <rFont val="Tahoma"/>
            <family val="2"/>
          </rPr>
          <t>Fra La Serrania de Jabugo del 23/02/24.</t>
        </r>
        <r>
          <rPr>
            <sz val="9"/>
            <color indexed="81"/>
            <rFont val="Tahoma"/>
            <family val="2"/>
          </rPr>
          <t xml:space="preserve">
Carne: 2.850,34€. 
Pendiente realizar transferencia.
Transferencia Caixa realizada el 25/04/24
--------------------------------------------------
</t>
        </r>
      </text>
    </comment>
    <comment ref="AM48" authorId="3" shapeId="0" xr:uid="{D8157FB8-3527-4F08-AF6D-24A892C9D2CB}">
      <text>
        <r>
          <rPr>
            <b/>
            <sz val="9"/>
            <color indexed="81"/>
            <rFont val="Tahoma"/>
            <family val="2"/>
          </rPr>
          <t>Fra Los romeros de Jabugo del 26/12/23.</t>
        </r>
        <r>
          <rPr>
            <sz val="9"/>
            <color indexed="81"/>
            <rFont val="Tahoma"/>
            <family val="2"/>
          </rPr>
          <t xml:space="preserve">
Embutidos: 3.176,25€. 
Transferencia realizada el 10/05/24.
-----------------------------------------
</t>
        </r>
        <r>
          <rPr>
            <b/>
            <sz val="9"/>
            <color indexed="81"/>
            <rFont val="Tahoma"/>
            <family val="2"/>
          </rPr>
          <t>Fra La Serrania de Jabugo del 08/04/24.</t>
        </r>
        <r>
          <rPr>
            <sz val="9"/>
            <color indexed="81"/>
            <rFont val="Tahoma"/>
            <family val="2"/>
          </rPr>
          <t xml:space="preserve">
Carne: 2.362,94€. 
Pendiente realizar transferencia.
Transferencia realizada el 29/05/24.
-------------------------------------------
</t>
        </r>
        <r>
          <rPr>
            <b/>
            <sz val="9"/>
            <color indexed="81"/>
            <rFont val="Tahoma"/>
            <family val="2"/>
          </rPr>
          <t>Fra La Serrania de Jabugo del 17/05/24.</t>
        </r>
        <r>
          <rPr>
            <sz val="9"/>
            <color indexed="81"/>
            <rFont val="Tahoma"/>
            <family val="2"/>
          </rPr>
          <t xml:space="preserve">
Carne: 325,96€
Pendiente realizar transferencia.
Transferencia realizada el 29/05/24.
</t>
        </r>
      </text>
    </comment>
    <comment ref="AN48" authorId="3" shapeId="0" xr:uid="{A38FAF3A-26D3-490B-9AE2-D001E2A544D9}">
      <text>
        <r>
          <rPr>
            <b/>
            <sz val="9"/>
            <color indexed="81"/>
            <rFont val="Tahoma"/>
            <family val="2"/>
          </rPr>
          <t xml:space="preserve">Fra La Serrania de Jabugo del 29/05/24.
</t>
        </r>
        <r>
          <rPr>
            <sz val="9"/>
            <color indexed="81"/>
            <rFont val="Tahoma"/>
            <family val="2"/>
          </rPr>
          <t xml:space="preserve">Carne: 1.734,19€
Pendiente realizar transferencia.
Transferencia x el total 6.127,36€ realizada el 05/06/24
------------------------------------------
</t>
        </r>
        <r>
          <rPr>
            <b/>
            <sz val="9"/>
            <color indexed="81"/>
            <rFont val="Tahoma"/>
            <family val="2"/>
          </rPr>
          <t>Fra La Serrania de Jabugo del 04/06/24.</t>
        </r>
        <r>
          <rPr>
            <sz val="9"/>
            <color indexed="81"/>
            <rFont val="Tahoma"/>
            <family val="2"/>
          </rPr>
          <t xml:space="preserve">
Carne: 4.360,55€
Pendiente realizar transferencia.
Transferencia x el total 6.127,36€ realizada el 05/06/24</t>
        </r>
      </text>
    </comment>
    <comment ref="AO48" authorId="0" shapeId="0" xr:uid="{5B963B43-8597-4B47-9461-F38F47F40AF5}">
      <text>
        <r>
          <rPr>
            <b/>
            <sz val="9"/>
            <color indexed="81"/>
            <rFont val="Tahoma"/>
            <family val="2"/>
          </rPr>
          <t xml:space="preserve">Fra la serrania de jabugo del 04/07/24: 171,29€.
</t>
        </r>
        <r>
          <rPr>
            <sz val="9"/>
            <color indexed="81"/>
            <rFont val="Tahoma"/>
            <family val="2"/>
          </rPr>
          <t>Transf. Caixa realizada el 17/07/24</t>
        </r>
        <r>
          <rPr>
            <b/>
            <sz val="9"/>
            <color indexed="81"/>
            <rFont val="Tahoma"/>
            <family val="2"/>
          </rPr>
          <t xml:space="preserve">
--------------------------
Fra la serrania de jabugo del 04/07/24: 163,74
</t>
        </r>
        <r>
          <rPr>
            <sz val="9"/>
            <color indexed="81"/>
            <rFont val="Tahoma"/>
            <family val="2"/>
          </rPr>
          <t>Transf. Caixa realizada el 17/07/24</t>
        </r>
        <r>
          <rPr>
            <b/>
            <sz val="9"/>
            <color indexed="81"/>
            <rFont val="Tahoma"/>
            <family val="2"/>
          </rPr>
          <t xml:space="preserve">
----------------------------
Fra la serrania de jabugo del 15/07/24: 1.335,53€
</t>
        </r>
        <r>
          <rPr>
            <sz val="9"/>
            <color indexed="81"/>
            <rFont val="Tahoma"/>
            <family val="2"/>
          </rPr>
          <t xml:space="preserve">Transf. Caixa realizada el 17/07/24
------------------------------------
</t>
        </r>
        <r>
          <rPr>
            <b/>
            <sz val="9"/>
            <color indexed="81"/>
            <rFont val="Tahoma"/>
            <family val="2"/>
          </rPr>
          <t xml:space="preserve">Fra la serrania de jabugo del 30/07/24: </t>
        </r>
        <r>
          <rPr>
            <sz val="9"/>
            <color indexed="81"/>
            <rFont val="Tahoma"/>
            <family val="2"/>
          </rPr>
          <t xml:space="preserve">3.631,07€.
Transf. Caixa realizada el 31/07/24
--------------------------
</t>
        </r>
      </text>
    </comment>
    <comment ref="AP48" authorId="0" shapeId="0" xr:uid="{6DD9C1BB-1A38-4EC7-AA95-833CABB86D2D}">
      <text>
        <r>
          <rPr>
            <b/>
            <sz val="9"/>
            <color indexed="81"/>
            <rFont val="Tahoma"/>
            <family val="2"/>
          </rPr>
          <t xml:space="preserve">Fra la Serrania de Jabugo del 20/08/24: 1.613,73€.
</t>
        </r>
        <r>
          <rPr>
            <sz val="9"/>
            <color indexed="81"/>
            <rFont val="Tahoma"/>
            <family val="2"/>
          </rPr>
          <t>Transf. Caixa realizada el 21/08/24</t>
        </r>
        <r>
          <rPr>
            <b/>
            <sz val="9"/>
            <color indexed="81"/>
            <rFont val="Tahoma"/>
            <family val="2"/>
          </rPr>
          <t xml:space="preserve">
--------------------------
Fra la serrania de jabugo del 21/08/24: 64,81€
</t>
        </r>
        <r>
          <rPr>
            <sz val="9"/>
            <color indexed="81"/>
            <rFont val="Tahoma"/>
            <family val="2"/>
          </rPr>
          <t>Pndte realizar transf. Caixa 
Transf. Caixa realizada el 22/08/24</t>
        </r>
        <r>
          <rPr>
            <b/>
            <sz val="9"/>
            <color indexed="81"/>
            <rFont val="Tahoma"/>
            <family val="2"/>
          </rPr>
          <t xml:space="preserve">
----------------------------
</t>
        </r>
        <r>
          <rPr>
            <sz val="9"/>
            <color indexed="81"/>
            <rFont val="Tahoma"/>
            <family val="2"/>
          </rPr>
          <t xml:space="preserve">
</t>
        </r>
      </text>
    </comment>
    <comment ref="AU48" authorId="2" shapeId="0" xr:uid="{35FD294A-9E73-454B-B395-B088B43A144A}">
      <text>
        <r>
          <rPr>
            <b/>
            <sz val="9"/>
            <color indexed="81"/>
            <rFont val="Tahoma"/>
            <family val="2"/>
          </rPr>
          <t>Maria:</t>
        </r>
        <r>
          <rPr>
            <sz val="9"/>
            <color indexed="81"/>
            <rFont val="Tahoma"/>
            <family val="2"/>
          </rPr>
          <t xml:space="preserve">
Fra La Serrania de Jabugo del 16/09/24. 
Carne: 317,39€.
Transferencia Caixa realizada el 27/09/24</t>
        </r>
      </text>
    </comment>
    <comment ref="AW48" authorId="2" shapeId="0" xr:uid="{BD63BFAB-3A1E-4C14-9758-A44874FF2567}">
      <text>
        <r>
          <rPr>
            <b/>
            <sz val="9"/>
            <color indexed="81"/>
            <rFont val="Tahoma"/>
            <family val="2"/>
          </rPr>
          <t>Maria:</t>
        </r>
        <r>
          <rPr>
            <sz val="9"/>
            <color indexed="81"/>
            <rFont val="Tahoma"/>
            <family val="2"/>
          </rPr>
          <t xml:space="preserve">
</t>
        </r>
        <r>
          <rPr>
            <b/>
            <sz val="9"/>
            <color indexed="81"/>
            <rFont val="Tahoma"/>
            <family val="2"/>
          </rPr>
          <t>Fra La Serrania de Jabugo del 07/10/24</t>
        </r>
        <r>
          <rPr>
            <sz val="9"/>
            <color indexed="81"/>
            <rFont val="Tahoma"/>
            <family val="2"/>
          </rPr>
          <t xml:space="preserve">. 
Carne: 1.796,93€.
Transferencia realizada el  06/11/24
---------------------------------------
</t>
        </r>
        <r>
          <rPr>
            <b/>
            <sz val="9"/>
            <color indexed="81"/>
            <rFont val="Tahoma"/>
            <family val="2"/>
          </rPr>
          <t>Fra La Serrania de Jabugo del 05/11/24.</t>
        </r>
        <r>
          <rPr>
            <sz val="9"/>
            <color indexed="81"/>
            <rFont val="Tahoma"/>
            <family val="2"/>
          </rPr>
          <t xml:space="preserve"> 
Carne: 2.435,72€.
Transferencia realizada el  06/11/24</t>
        </r>
      </text>
    </comment>
    <comment ref="AX48" authorId="2" shapeId="0" xr:uid="{402F3125-C02C-46D8-8D57-4B978D91D833}">
      <text>
        <r>
          <rPr>
            <b/>
            <sz val="9"/>
            <color indexed="81"/>
            <rFont val="Tahoma"/>
            <family val="2"/>
          </rPr>
          <t>Maria:</t>
        </r>
        <r>
          <rPr>
            <sz val="9"/>
            <color indexed="81"/>
            <rFont val="Tahoma"/>
            <family val="2"/>
          </rPr>
          <t xml:space="preserve">
</t>
        </r>
        <r>
          <rPr>
            <b/>
            <sz val="9"/>
            <color indexed="81"/>
            <rFont val="Tahoma"/>
            <family val="2"/>
          </rPr>
          <t xml:space="preserve">Fra La Serrania de Jabugo del 22/11/24. </t>
        </r>
        <r>
          <rPr>
            <sz val="9"/>
            <color indexed="81"/>
            <rFont val="Tahoma"/>
            <family val="2"/>
          </rPr>
          <t xml:space="preserve">
Carne: 158,17€.
Pdet realizar transferencia
Transf. Caixa realizada el 10/12/24
---------------------
</t>
        </r>
        <r>
          <rPr>
            <b/>
            <sz val="9"/>
            <color indexed="81"/>
            <rFont val="Tahoma"/>
            <family val="2"/>
          </rPr>
          <t xml:space="preserve">Fra La Serrania de Jabugo del 10/12/24. </t>
        </r>
        <r>
          <rPr>
            <sz val="9"/>
            <color indexed="81"/>
            <rFont val="Tahoma"/>
            <family val="2"/>
          </rPr>
          <t xml:space="preserve">
Carne: 2.749,76€.
Pdet realizar transferencia
Transf. Caixa realizada el 10/12/24
</t>
        </r>
      </text>
    </comment>
    <comment ref="AY48" authorId="2" shapeId="0" xr:uid="{958433FE-06F9-4507-B12B-225A0DEB8A04}">
      <text>
        <r>
          <rPr>
            <b/>
            <sz val="9"/>
            <color indexed="81"/>
            <rFont val="Tahoma"/>
            <family val="2"/>
          </rPr>
          <t>Maria:</t>
        </r>
        <r>
          <rPr>
            <sz val="9"/>
            <color indexed="81"/>
            <rFont val="Tahoma"/>
            <family val="2"/>
          </rPr>
          <t xml:space="preserve">
Fra La Serrania de Jabugo del 18/12/24.
Compra de carne: 201,96€. 
Transferencia realizada el 10/01/25.
---------------------------------
Fra La Serrania de Jabugo del 18/12/24.
Compra de carne: 247,50€. 
Transferencia realizada el 10/01/25
----------------------------------------
Fra La serrania de Jabugo del 09/01/25.
carne: 2.247,66€
Transferencia realizada el 10/01/25 
---------------------------------------
Fra La serrania de Jabugo del 16/01/25.
carne: 132,50€
Pendiente realizar transferencia. 
Transferencia Caixa realizada el 28/01/25</t>
        </r>
      </text>
    </comment>
    <comment ref="AZ48" authorId="2" shapeId="0" xr:uid="{553D6C1F-E3ED-4E00-8F47-786F5E3C0CDC}">
      <text>
        <r>
          <rPr>
            <b/>
            <sz val="9"/>
            <color indexed="81"/>
            <rFont val="Tahoma"/>
            <family val="2"/>
          </rPr>
          <t>Maria:</t>
        </r>
        <r>
          <rPr>
            <sz val="9"/>
            <color indexed="81"/>
            <rFont val="Tahoma"/>
            <family val="2"/>
          </rPr>
          <t xml:space="preserve">
Fra La Serrania de Jabugo del 03/02/25.
Compra de carne: 1.276,95€. 
Transferencia realizada el 04/02/25</t>
        </r>
      </text>
    </comment>
    <comment ref="BA48" authorId="2" shapeId="0" xr:uid="{CE998E41-0C67-450F-8882-7CDFC6FC7528}">
      <text>
        <r>
          <rPr>
            <b/>
            <sz val="9"/>
            <color indexed="81"/>
            <rFont val="Tahoma"/>
            <family val="2"/>
          </rPr>
          <t>Maria:</t>
        </r>
        <r>
          <rPr>
            <sz val="9"/>
            <color indexed="81"/>
            <rFont val="Tahoma"/>
            <family val="2"/>
          </rPr>
          <t xml:space="preserve">
Fra La Serrania de Jabugo del 23/01/2025.
99,33€. 
Transf. Caixa realizada el 04/03/25
-----------------------------------------
Fra La Serrania de Jabugo del 18/03/2025.
1.459,37€. 
Transf. Caixa realizada el 18/03/25</t>
        </r>
      </text>
    </comment>
    <comment ref="BB48" authorId="2" shapeId="0" xr:uid="{A3B4CF2D-B756-4B5F-B828-551D8FE006E4}">
      <text>
        <r>
          <rPr>
            <b/>
            <sz val="9"/>
            <color indexed="81"/>
            <rFont val="Tahoma"/>
            <family val="2"/>
          </rPr>
          <t>Maria:</t>
        </r>
        <r>
          <rPr>
            <sz val="9"/>
            <color indexed="81"/>
            <rFont val="Tahoma"/>
            <family val="2"/>
          </rPr>
          <t xml:space="preserve">
Fra ovipor del 14/03/25.
Carne: 308,56€. 
Transferencia Caixa realizada el 16/04/25
------------------------------
Fra ovipor del 14/03/25.
Carne: 291,49€.  
Transferencia Caixa realizada el 16/04/25
------------------------------
Fra ovipor del 20/03/25.
Carne: 1.403,22€. 
Transferencia Caixa realizada el 16/04/25
------------------------------
Fra ovipor del 08/04/25.
Carne: 178,22€. 
Transferencia Caixa realizada el 15/04/25
------------------------------
Fra ovipor del 08/04/25.
Carne: 1.475,18€. 
Transferencia Caixa realizada el 15/04/25
------------------------------
Fra ovipor del 08/04/25.
Carne: 85,78€. 
Transferencia Caixa realizada el 15/04/25</t>
        </r>
      </text>
    </comment>
    <comment ref="BC48" authorId="2" shapeId="0" xr:uid="{EAB73D93-3BD5-477D-855E-9AA4C3F6DE1F}">
      <text>
        <r>
          <rPr>
            <b/>
            <sz val="9"/>
            <color indexed="81"/>
            <rFont val="Tahoma"/>
            <family val="2"/>
          </rPr>
          <t>Maria:</t>
        </r>
        <r>
          <rPr>
            <sz val="9"/>
            <color indexed="81"/>
            <rFont val="Tahoma"/>
            <family val="2"/>
          </rPr>
          <t xml:space="preserve">
Fra OVIPOR del 02/04/25:313,56.
Transferencia Caixa realizada el 18/05/25
-----------------------------
Fra OVIPOR del 22/04/25 : 346,52€.
Transferencia Caixa realizada el 18/05/25
-----------------------------
Fra OVIPOR del 25/04/25 : 2.324,39€
Transferencia Caixa realizada el 18/05/25
----------------------------
Nos cargan la misma factura de arriba. ya esta reclamado.
------------------------------
Fra Ovipor de carne: 1.116,81€.
Domiciliado: 26/05/25.  </t>
        </r>
      </text>
    </comment>
    <comment ref="BD48" authorId="2" shapeId="0" xr:uid="{18AC534D-0F35-49CC-ABA1-C038E290ABF6}">
      <text>
        <r>
          <rPr>
            <b/>
            <sz val="9"/>
            <color indexed="81"/>
            <rFont val="Tahoma"/>
            <family val="2"/>
          </rPr>
          <t>Maria:</t>
        </r>
        <r>
          <rPr>
            <sz val="9"/>
            <color indexed="81"/>
            <rFont val="Tahoma"/>
            <family val="2"/>
          </rPr>
          <t xml:space="preserve">
Devolucion ovipor, factura domiciliada por error. 
Abonada: 04/06/25
----------------------------
Fra La serrania de jabugo del 03/06/25: 179,71€.
Transf. Caixa realizada el 20/06/25
--------------------------------------
Fra Ovipor del 30/05/25. 
Carne: 317,99€.
Transf. Caixa realizada el 20/06/25 
--------------------------------------
Fra Ovipor del 10/06/25. 
Carne: 6.406,57€.
Transf. Caixa realizada el 20/06/25
--------------------------------------</t>
        </r>
      </text>
    </comment>
    <comment ref="BF48" authorId="2" shapeId="0" xr:uid="{81598C93-F42C-49D9-9E08-D303998AFB96}">
      <text>
        <r>
          <rPr>
            <b/>
            <sz val="9"/>
            <color indexed="81"/>
            <rFont val="Tahoma"/>
            <family val="2"/>
          </rPr>
          <t>Maria:</t>
        </r>
        <r>
          <rPr>
            <sz val="9"/>
            <color indexed="81"/>
            <rFont val="Tahoma"/>
            <family val="2"/>
          </rPr>
          <t xml:space="preserve">
Fra La serrania de jabugo del 09/07/25: 197,62€.
Transferencia Caixa realizada el 01/08/25
--------------------------------------
Fra Ovipor del 08/07/25. 
Carne: 1.682,27€.
Transferencia Caixa realizada el 01/08/25
--------------------------------------
Fra Ovipor del 16/07/25. 
Carne: 1.297,42€.
Transferencia Caixa realizada el 01/08/25
--------------------------------------</t>
        </r>
      </text>
    </comment>
    <comment ref="BK48" authorId="2" shapeId="0" xr:uid="{6D802D20-1360-4558-AF99-2388727099BA}">
      <text>
        <r>
          <rPr>
            <sz val="9"/>
            <color indexed="81"/>
            <rFont val="Tahoma"/>
            <family val="2"/>
          </rPr>
          <t xml:space="preserve">Fra Ovipor del 21/08/25. 
Carne: 1.068,65€.
Transf. Caixa realizada el 15/10/25
--------------------------------------
Fra Ovipor del 19/08/25. 
Carne: 744,95€.
Transf. Caixa realizada el 15/10/25
--------------------------------------
Fra Ovipor del 19/08/25. 
Carne: 3.347,29€.
Transf. Caixa realizada el 15/10/25
--------------------------------------
Fra Ovipor del 11/08/25. 
Carne: 557,25€.
Transf. Caixa realizada el 15/10/25
--------------------------------------
Fra Ovipor del 05/09/25. 
Carne: 1.932,92€.
Transf. Caixa realizada el 15/10/25
--------------------------------------
</t>
        </r>
      </text>
    </comment>
    <comment ref="BL48" authorId="2" shapeId="0" xr:uid="{72F42792-0C99-41E1-A9ED-29DBCAAC5C72}">
      <text>
        <r>
          <rPr>
            <sz val="9"/>
            <color indexed="81"/>
            <rFont val="Tahoma"/>
            <family val="2"/>
          </rPr>
          <t xml:space="preserve">Fra Ovipor del 23/09/25. 
Carne: 786,67€.
Transferencia Caixa realizada el 21/11/25
--------------------------------------
Fra Ovipor del 15/10/25
Carne: 5.107,61€.
Transferencia Caixa realizada el 21/11/25
--------------------------------------
Fra ABONO Ovipor del 27/10/25
Carne: -21,53€. 
Transferencia Caixa x el total 295,03€ realizada el 21/11/25
--------------------------------------
Fra Ovipor del 23/10/25
Carne: 316,56€.
Transferencia Caixa x el total 295,03€ realizada el 21/11/25
--------------------------------------
Fra Ovipor del 13/11/25
Carne: 1.282,22€ 
Transferencia Caixa realizada el 21/11/25
--------------------------------------
</t>
        </r>
      </text>
    </comment>
    <comment ref="BM48" authorId="2" shapeId="0" xr:uid="{1CD656A0-CAD7-4876-A683-E7E8BB3A769D}">
      <text>
        <r>
          <rPr>
            <b/>
            <sz val="9"/>
            <color indexed="81"/>
            <rFont val="Tahoma"/>
            <family val="2"/>
          </rPr>
          <t>Maria:</t>
        </r>
        <r>
          <rPr>
            <sz val="9"/>
            <color indexed="81"/>
            <rFont val="Tahoma"/>
            <family val="2"/>
          </rPr>
          <t xml:space="preserve">
devol. Facturas pagadas dos veces. 
-------------------------------
-21,53 saldo a nuestro favor aun. 
Transferencia realizada el 23/12/25
------------------------------
Fra Ovipor del 26/11/25.
Carne: 1.638,08€
Pendiente. 
Transferencia realizada el 23/12/25
------------------------------
Fra Ovipor del 27/11/25.
Carne: 167,16€
Pendiente. 
Transferencia realizada el 23/12/25
------------------------------
Fra Ovipor del 10/12/25.
Carne: 323,96€
Pendiente. 
Transferencia realizada el 23/12/25
</t>
        </r>
      </text>
    </comment>
    <comment ref="BO48" authorId="2" shapeId="0" xr:uid="{141F7576-B735-4121-9DEE-0FC855A640B6}">
      <text>
        <r>
          <rPr>
            <sz val="9"/>
            <color indexed="81"/>
            <rFont val="Tahoma"/>
            <family val="2"/>
          </rPr>
          <t xml:space="preserve">Fra Ovipor del 16/12/25.
Carne: 3.927,39€
Transferencia realizada el 23/02/26.
------------------------------
Fra Ovipor del 16/12/25.
Carne: 739,30€
Transferencia realizada el 23/02/26.
------------------------------
Fra Ovipor del 12/02/26.
Carne: 338,69€
Transferencia realizada el 24/02/26
------------------------------
Fra Ovipor del 18/02/26.
Carne: 2.722,38€
Transferencia realizada el 24/02/26
------------------------------
</t>
        </r>
      </text>
    </comment>
    <comment ref="BP48" authorId="2" shapeId="0" xr:uid="{2C2007E5-37A5-421B-8E56-9B83F3784B39}">
      <text>
        <r>
          <rPr>
            <sz val="9"/>
            <color indexed="81"/>
            <rFont val="Tahoma"/>
            <family val="2"/>
          </rPr>
          <t xml:space="preserve">Fra Ovipor del 20/01/26.
Carne: 3.109,41€
Transferencia Caixa realizada el 31/03/26
------------------------------
Fra Ovipor del 20/02/26.
Carne: 363,95€
Domiciliado: 03/03/26
------------------------------
Fra Ovipor del 24/02/26.
Carne: 1.679,72€
Domiciliado: 03/03/26
------------------------------
Fra Ovipor del 05/03/26.
Paleta: 141,16€.
Domiciliado: </t>
        </r>
      </text>
    </comment>
    <comment ref="BQ48" authorId="2" shapeId="0" xr:uid="{CCCD0667-BA3A-47F4-9248-0C50AF4FD5E4}">
      <text>
        <r>
          <rPr>
            <sz val="9"/>
            <color indexed="81"/>
            <rFont val="Tahoma"/>
            <family val="2"/>
          </rPr>
          <t>Fra Ovipor del 13/03/26. 
Carne: 3.408,80€. 
Pendiente transfer.
Transf. realizada el 29/04/26
------------------------------------
Fra Ovipor del 08/04/26.
Paleta: 148,97€.
Domiciliado: 14/04/26
----------------------------------
Fra Ovipor del 08/04/26.
Paleta: 140,70€.
Domiciliado: 14/04/26
---------------------------------
Fra Ovipor del 15/04/26. 
Carne: 2.083,27€. 
Domiciliado: 20/04/26
------------------------------------</t>
        </r>
      </text>
    </comment>
    <comment ref="BS48" authorId="2" shapeId="0" xr:uid="{D66346C6-16E4-4B76-A5B1-93B1FAEF0D57}">
      <text>
        <r>
          <rPr>
            <b/>
            <sz val="9"/>
            <color indexed="81"/>
            <rFont val="Tahoma"/>
            <family val="2"/>
          </rPr>
          <t>Maria:</t>
        </r>
        <r>
          <rPr>
            <sz val="9"/>
            <color indexed="81"/>
            <rFont val="Tahoma"/>
            <family val="2"/>
          </rPr>
          <t xml:space="preserve">
Fra Ovipor del 15/05/26. 
Carne cerdo: 2.786,10€.
Pendt transfer. 
----------------------------
Fra Ovipor del 28/05/26. 
Carne cerdo: 781,11€.
Domiciliado: 11/05/26
---------------------------
Fra Ovipor del 28/05/26. 
Carne cerdo: 94,38€.
Pendt transfer. 
---------------------------
Fra Ovipor del 04/06/26. 
Carne cerdo: 3.447,52€.
Pendt transfer. 
---------------------------</t>
        </r>
      </text>
    </comment>
    <comment ref="AG49" authorId="0" shapeId="0" xr:uid="{1D31155B-89D8-4F73-B00A-DBE98CAA1452}">
      <text>
        <r>
          <rPr>
            <sz val="9"/>
            <color indexed="81"/>
            <rFont val="Tahoma"/>
            <family val="2"/>
          </rPr>
          <t xml:space="preserve">fabricación cañas lomo por la Jabugueña de 2º matanza de 25 cochinos en feb23 = 50 cañas = 82kg 3,25 Eur/Kg.
</t>
        </r>
        <r>
          <rPr>
            <b/>
            <sz val="9"/>
            <color indexed="81"/>
            <rFont val="Tahoma"/>
            <family val="2"/>
          </rPr>
          <t>Fra Los romeros de Jabugo del 17/11/23.</t>
        </r>
        <r>
          <rPr>
            <sz val="9"/>
            <color indexed="81"/>
            <rFont val="Tahoma"/>
            <family val="2"/>
          </rPr>
          <t xml:space="preserve">
Pndte recibir fra a nombre de Nixal Agri
Transf. Caixa realizada el 16/11/23</t>
        </r>
      </text>
    </comment>
    <comment ref="AH49" authorId="0" shapeId="0" xr:uid="{ABD42D21-9DAE-4D2E-9D5D-7F9ADF885D83}">
      <text>
        <r>
          <rPr>
            <sz val="9"/>
            <color indexed="81"/>
            <rFont val="Tahoma"/>
            <family val="2"/>
          </rPr>
          <t>fabricación cañas lomo por la Jabugueña en 3º matanza de 41 cochinos en marzo 23 = 82 cañas  = 150kg a 3,25 Eur/Kg.
Fra Los Romeros de Jabugo del 17/11/23.
Venta embutidos: 536,25€. 
Realizar transferencia en DICIEMBRE.
Transf. Caixa realizada el 05/12/23</t>
        </r>
      </text>
    </comment>
    <comment ref="AV49" authorId="2" shapeId="0" xr:uid="{7EFA9920-9B64-41E3-9C7C-FDCE5AED0E9E}">
      <text>
        <r>
          <rPr>
            <b/>
            <sz val="9"/>
            <color indexed="81"/>
            <rFont val="Tahoma"/>
            <family val="2"/>
          </rPr>
          <t>Maria:</t>
        </r>
        <r>
          <rPr>
            <sz val="9"/>
            <color indexed="81"/>
            <rFont val="Tahoma"/>
            <family val="2"/>
          </rPr>
          <t xml:space="preserve">
</t>
        </r>
        <r>
          <rPr>
            <b/>
            <sz val="9"/>
            <color indexed="81"/>
            <rFont val="Tahoma"/>
            <family val="2"/>
          </rPr>
          <t>Fra Matadero Jabugo Galaroza del 16/10/24.</t>
        </r>
        <r>
          <rPr>
            <sz val="9"/>
            <color indexed="81"/>
            <rFont val="Tahoma"/>
            <family val="2"/>
          </rPr>
          <t xml:space="preserve">
Matadero: 73,57€. 
Transferencia realizada el 16/10/24.</t>
        </r>
      </text>
    </comment>
    <comment ref="AF50" authorId="0" shapeId="0" xr:uid="{2754F7F0-8F3A-4225-98E9-F1DC8154B40F}">
      <text>
        <r>
          <rPr>
            <b/>
            <sz val="9"/>
            <color indexed="81"/>
            <rFont val="Tahoma"/>
            <family val="2"/>
          </rPr>
          <t xml:space="preserve">Fra La Serania de Jabugo del 01/09/23.
</t>
        </r>
        <r>
          <rPr>
            <sz val="9"/>
            <color indexed="81"/>
            <rFont val="Tahoma"/>
            <family val="2"/>
          </rPr>
          <t>Pluma y secreto y lagarto: 137,76€
Transferencia realizada el 03/10/23.</t>
        </r>
        <r>
          <rPr>
            <b/>
            <sz val="9"/>
            <color indexed="81"/>
            <rFont val="Tahoma"/>
            <family val="2"/>
          </rPr>
          <t xml:space="preserve">
</t>
        </r>
      </text>
    </comment>
    <comment ref="AG50" authorId="3" shapeId="0" xr:uid="{2D511789-AC73-4181-BF62-824F7E2290BF}">
      <text>
        <r>
          <rPr>
            <b/>
            <sz val="9"/>
            <color indexed="81"/>
            <rFont val="Tahoma"/>
            <family val="2"/>
          </rPr>
          <t>Fra La Serrania de jabugo del 29/09/23</t>
        </r>
        <r>
          <rPr>
            <sz val="9"/>
            <color indexed="81"/>
            <rFont val="Tahoma"/>
            <family val="2"/>
          </rPr>
          <t xml:space="preserve">.
Almancen: 133,66€. 
Transferencia realizada el 07/11/23.
--------------------------------------
</t>
        </r>
      </text>
    </comment>
    <comment ref="AH50" authorId="0" shapeId="0" xr:uid="{8AD1EDEC-7194-4216-9BB2-3F8BB8150AF8}">
      <text>
        <r>
          <rPr>
            <b/>
            <sz val="9"/>
            <color indexed="81"/>
            <rFont val="Tahoma"/>
            <family val="2"/>
          </rPr>
          <t xml:space="preserve">Fra La Serrania de jabugo del 31/10/23.
</t>
        </r>
        <r>
          <rPr>
            <sz val="9"/>
            <color indexed="81"/>
            <rFont val="Tahoma"/>
            <family val="2"/>
          </rPr>
          <t xml:space="preserve">Almancen: 127,06€. 
Pendiente realizar transferencia. 
Transf. Caixa realizada el 18/12/23
--------------------------------------
</t>
        </r>
        <r>
          <rPr>
            <b/>
            <sz val="9"/>
            <color indexed="81"/>
            <rFont val="Tahoma"/>
            <family val="2"/>
          </rPr>
          <t>Fra La Serrania de jabugo del 01/12/23.</t>
        </r>
        <r>
          <rPr>
            <sz val="9"/>
            <color indexed="81"/>
            <rFont val="Tahoma"/>
            <family val="2"/>
          </rPr>
          <t xml:space="preserve">
Almancen: 120,69€. 
Pendiente realizar transferencia. 
Transf. Caixa realizada el 18/12/23
--------------------------------------</t>
        </r>
      </text>
    </comment>
    <comment ref="AI50" authorId="0" shapeId="0" xr:uid="{B1B65539-613D-4AE1-A972-788EB9CBAB9D}">
      <text>
        <r>
          <rPr>
            <b/>
            <sz val="9"/>
            <color indexed="81"/>
            <rFont val="Tahoma"/>
            <family val="2"/>
          </rPr>
          <t xml:space="preserve">Fra La Serrania de Jabugo del 08/01/23.
</t>
        </r>
        <r>
          <rPr>
            <sz val="9"/>
            <color indexed="81"/>
            <rFont val="Tahoma"/>
            <family val="2"/>
          </rPr>
          <t xml:space="preserve">34,26€ 
Pendiente realizar transferencia. 
Transferencia realizada el 29/01/24
---------------------------------------
</t>
        </r>
        <r>
          <rPr>
            <b/>
            <sz val="9"/>
            <color indexed="81"/>
            <rFont val="Tahoma"/>
            <family val="2"/>
          </rPr>
          <t>Fra Mula y López del 26/12/23.</t>
        </r>
        <r>
          <rPr>
            <sz val="9"/>
            <color indexed="81"/>
            <rFont val="Tahoma"/>
            <family val="2"/>
          </rPr>
          <t xml:space="preserve">
96,80€: Servicio de loncheado y envase de cañas de lomo
Transferencia realizada el 26/01/24</t>
        </r>
      </text>
    </comment>
    <comment ref="AJ50" authorId="0" shapeId="0" xr:uid="{C5ABB766-0713-479B-9054-252B1F3F0C9C}">
      <text>
        <r>
          <rPr>
            <b/>
            <sz val="9"/>
            <color indexed="81"/>
            <rFont val="Tahoma"/>
            <family val="2"/>
          </rPr>
          <t xml:space="preserve">Fra La Serrania de Jabugo del 31/01/24.
</t>
        </r>
        <r>
          <rPr>
            <sz val="9"/>
            <color indexed="81"/>
            <rFont val="Tahoma"/>
            <family val="2"/>
          </rPr>
          <t xml:space="preserve">31,29€ 
Pendiente realizar transferencia. 
Transferencia Caixa realizada el 21/02/24
---------------------------------------
</t>
        </r>
      </text>
    </comment>
    <comment ref="AL50" authorId="0" shapeId="0" xr:uid="{AC728D20-599C-4181-A8D8-A5668CFDFBB0}">
      <text>
        <r>
          <rPr>
            <b/>
            <sz val="9"/>
            <color indexed="81"/>
            <rFont val="Tahoma"/>
            <family val="2"/>
          </rPr>
          <t xml:space="preserve">Fra La Serrania de Jabugo del 29/02/24.
</t>
        </r>
        <r>
          <rPr>
            <sz val="9"/>
            <color indexed="81"/>
            <rFont val="Tahoma"/>
            <family val="2"/>
          </rPr>
          <t xml:space="preserve">25.93€ 
Pendiente realizar transferencia. 
Transferencia Caixa realizada el 25/04/24
-----------------------------------------------
</t>
        </r>
      </text>
    </comment>
    <comment ref="AM50" authorId="0" shapeId="0" xr:uid="{63A32D50-49A9-45D1-A237-49562D11853C}">
      <text>
        <r>
          <rPr>
            <b/>
            <sz val="9"/>
            <color indexed="81"/>
            <rFont val="Tahoma"/>
            <family val="2"/>
          </rPr>
          <t>Fra La Serrania de Jabugo del 27/03/24.</t>
        </r>
        <r>
          <rPr>
            <sz val="9"/>
            <color indexed="81"/>
            <rFont val="Tahoma"/>
            <family val="2"/>
          </rPr>
          <t xml:space="preserve">
21,21€ 
Pendiente realizar transferencia. 
Transferencia realizada el 29/05/24.</t>
        </r>
      </text>
    </comment>
    <comment ref="AN50" authorId="0" shapeId="0" xr:uid="{90644EEE-0C29-42F4-8974-7FE470D83FE1}">
      <text>
        <r>
          <rPr>
            <b/>
            <sz val="9"/>
            <color indexed="81"/>
            <rFont val="Tahoma"/>
            <family val="2"/>
          </rPr>
          <t>Fra La Serrania de Jabugo del 04/06/24.</t>
        </r>
        <r>
          <rPr>
            <sz val="9"/>
            <color indexed="81"/>
            <rFont val="Tahoma"/>
            <family val="2"/>
          </rPr>
          <t xml:space="preserve">
15,56€ 
Transferencia x el total 6.127,36€ realizada el 05/06/24
--------------------------------------
</t>
        </r>
        <r>
          <rPr>
            <b/>
            <sz val="9"/>
            <color indexed="81"/>
            <rFont val="Tahoma"/>
            <family val="2"/>
          </rPr>
          <t>Fra La Serrania de Jabugo del 30/04/24.</t>
        </r>
        <r>
          <rPr>
            <sz val="9"/>
            <color indexed="81"/>
            <rFont val="Tahoma"/>
            <family val="2"/>
          </rPr>
          <t xml:space="preserve">
17,06€ 
Transferencia x el total 6.127,36€ realizada el 05/06/24</t>
        </r>
      </text>
    </comment>
    <comment ref="AO50" authorId="0" shapeId="0" xr:uid="{1A935782-C781-41C7-8FCB-4916AAC8D6DE}">
      <text>
        <r>
          <rPr>
            <b/>
            <sz val="9"/>
            <color indexed="81"/>
            <rFont val="Tahoma"/>
            <family val="2"/>
          </rPr>
          <t xml:space="preserve">Fra La Serrania de Jabugo del 28/06/24.
</t>
        </r>
        <r>
          <rPr>
            <sz val="9"/>
            <color indexed="81"/>
            <rFont val="Tahoma"/>
            <family val="2"/>
          </rPr>
          <t>11,64€
Pendiente realizar transferencia.
Transf. Caixa realizada el 17/07/24</t>
        </r>
      </text>
    </comment>
    <comment ref="AP50" authorId="0" shapeId="0" xr:uid="{61ECD2A4-D5AA-49C4-BBC3-90898457A619}">
      <text>
        <r>
          <rPr>
            <b/>
            <sz val="9"/>
            <color indexed="81"/>
            <rFont val="Tahoma"/>
            <family val="2"/>
          </rPr>
          <t xml:space="preserve">Fra La Serrania de Jabugo del 31/07/24.
</t>
        </r>
        <r>
          <rPr>
            <sz val="9"/>
            <color indexed="81"/>
            <rFont val="Tahoma"/>
            <family val="2"/>
          </rPr>
          <t>9,83€
Pendiente realizar transferencia.
Transf. Caixa realizada el 22/08/24</t>
        </r>
      </text>
    </comment>
    <comment ref="AU50" authorId="2" shapeId="0" xr:uid="{08C0B124-E4B0-4C44-B87F-7C4FC5A6E425}">
      <text>
        <r>
          <rPr>
            <b/>
            <sz val="9"/>
            <color indexed="81"/>
            <rFont val="Tahoma"/>
            <family val="2"/>
          </rPr>
          <t xml:space="preserve">Maria: Fra La Serrania de Jabugo del 30/08/24.
</t>
        </r>
        <r>
          <rPr>
            <sz val="9"/>
            <color indexed="81"/>
            <rFont val="Tahoma"/>
            <family val="2"/>
          </rPr>
          <t xml:space="preserve">Alquiler frio: 7,45€.
Pendiente realizar transferencia. 
Transf. Caixa realizada el 03/09/24 </t>
        </r>
      </text>
    </comment>
    <comment ref="AW50" authorId="2" shapeId="0" xr:uid="{98AC220E-52DD-4E23-9A7F-08B23053D179}">
      <text>
        <r>
          <rPr>
            <b/>
            <sz val="9"/>
            <color indexed="81"/>
            <rFont val="Tahoma"/>
            <family val="2"/>
          </rPr>
          <t>Maria:</t>
        </r>
        <r>
          <rPr>
            <sz val="9"/>
            <color indexed="81"/>
            <rFont val="Tahoma"/>
            <family val="2"/>
          </rPr>
          <t xml:space="preserve">
</t>
        </r>
        <r>
          <rPr>
            <b/>
            <sz val="9"/>
            <color indexed="81"/>
            <rFont val="Tahoma"/>
            <family val="2"/>
          </rPr>
          <t xml:space="preserve">Fra La Serrania de jabugo del 30/09/24. </t>
        </r>
        <r>
          <rPr>
            <sz val="9"/>
            <color indexed="81"/>
            <rFont val="Tahoma"/>
            <family val="2"/>
          </rPr>
          <t xml:space="preserve">
Transferencia realizada el 06/11/24
</t>
        </r>
        <r>
          <rPr>
            <b/>
            <sz val="9"/>
            <color indexed="81"/>
            <rFont val="Tahoma"/>
            <family val="2"/>
          </rPr>
          <t xml:space="preserve">Fra La Serrania de jabugo del 31/10/24. </t>
        </r>
        <r>
          <rPr>
            <sz val="9"/>
            <color indexed="81"/>
            <rFont val="Tahoma"/>
            <family val="2"/>
          </rPr>
          <t xml:space="preserve">
Transferencia realizada el 06/11/24</t>
        </r>
      </text>
    </comment>
    <comment ref="AX50" authorId="2" shapeId="0" xr:uid="{4B055A85-20EA-4EC5-A4E1-0EADF64FC509}">
      <text>
        <r>
          <rPr>
            <b/>
            <sz val="9"/>
            <color indexed="81"/>
            <rFont val="Tahoma"/>
            <family val="2"/>
          </rPr>
          <t xml:space="preserve">Fra La Serrania de jabugo del 29/11/24.: </t>
        </r>
        <r>
          <rPr>
            <sz val="9"/>
            <color indexed="81"/>
            <rFont val="Tahoma"/>
            <family val="2"/>
          </rPr>
          <t xml:space="preserve">7,45€
9,68€: Transferencia realizada el 10/12/24 (2,23€ pagado de más)
</t>
        </r>
        <r>
          <rPr>
            <b/>
            <sz val="9"/>
            <color indexed="81"/>
            <rFont val="Tahoma"/>
            <family val="2"/>
          </rPr>
          <t xml:space="preserve">Fra La Serrania de jabugo del 31/10/24. </t>
        </r>
        <r>
          <rPr>
            <sz val="9"/>
            <color indexed="81"/>
            <rFont val="Tahoma"/>
            <family val="2"/>
          </rPr>
          <t xml:space="preserve">
2,61€: Importe pendiente
12,29€: Transf. Caixa realizada el 10/12/24</t>
        </r>
      </text>
    </comment>
    <comment ref="AY50" authorId="2" shapeId="0" xr:uid="{ACAC5439-96A2-493E-8580-9B56848BC20A}">
      <text>
        <r>
          <rPr>
            <b/>
            <sz val="9"/>
            <color indexed="81"/>
            <rFont val="Tahoma"/>
            <family val="2"/>
          </rPr>
          <t>Maria:</t>
        </r>
        <r>
          <rPr>
            <sz val="9"/>
            <color indexed="81"/>
            <rFont val="Tahoma"/>
            <family val="2"/>
          </rPr>
          <t xml:space="preserve">
Fra la serrania de jabugo del 31/12/24.
7,45€. 
Pendiente realizar transferencia.
-2,23€: pagado de más el 10/12/24
5,22€: Transferencia Caixa realizada el 28/01/25
</t>
        </r>
      </text>
    </comment>
    <comment ref="BA50" authorId="2" shapeId="0" xr:uid="{13F5E121-96D2-45D0-A411-5A02EF76B8F1}">
      <text>
        <r>
          <rPr>
            <b/>
            <sz val="9"/>
            <color indexed="81"/>
            <rFont val="Tahoma"/>
            <family val="2"/>
          </rPr>
          <t>Maria:</t>
        </r>
        <r>
          <rPr>
            <sz val="9"/>
            <color indexed="81"/>
            <rFont val="Tahoma"/>
            <family val="2"/>
          </rPr>
          <t xml:space="preserve">
Fra La Serrania de Jabugo del 31/01/2025.
7,45€.  
Transf. Caixa realizada el 04/03/25</t>
        </r>
      </text>
    </comment>
    <comment ref="BB50" authorId="2" shapeId="0" xr:uid="{5A23EB5A-0B86-48BF-845C-769762C8CC56}">
      <text>
        <r>
          <rPr>
            <b/>
            <sz val="9"/>
            <color indexed="81"/>
            <rFont val="Tahoma"/>
            <family val="2"/>
          </rPr>
          <t>Maria:</t>
        </r>
        <r>
          <rPr>
            <sz val="9"/>
            <color indexed="81"/>
            <rFont val="Tahoma"/>
            <family val="2"/>
          </rPr>
          <t xml:space="preserve">
Fra La Serrania de Jabugo del 28/02/2025.
6,26€. 
Pendiente realizar transferencia. 
Transferencia Caixa realizada el 16/04/25
----------------------------------
</t>
        </r>
        <r>
          <rPr>
            <b/>
            <sz val="9"/>
            <color indexed="81"/>
            <rFont val="Tahoma"/>
            <family val="2"/>
          </rPr>
          <t>Fra Loncheados La Corte del 31/12/24:</t>
        </r>
        <r>
          <rPr>
            <sz val="9"/>
            <color indexed="81"/>
            <rFont val="Tahoma"/>
            <family val="2"/>
          </rPr>
          <t xml:space="preserve"> 1.105,78€
Transf. Caixa realizada el 02/04/25
------------------------------
</t>
        </r>
        <r>
          <rPr>
            <b/>
            <sz val="9"/>
            <color indexed="81"/>
            <rFont val="Tahoma"/>
            <family val="2"/>
          </rPr>
          <t>Fra Loncheados La Corte del 05/03/25:</t>
        </r>
        <r>
          <rPr>
            <sz val="9"/>
            <color indexed="81"/>
            <rFont val="Tahoma"/>
            <family val="2"/>
          </rPr>
          <t xml:space="preserve"> 89,22€
Transf. Caixa realizada el 02/04/25</t>
        </r>
      </text>
    </comment>
    <comment ref="BC50" authorId="0" shapeId="0" xr:uid="{184BD168-4232-45D0-AD8E-3E758D65B4ED}">
      <text>
        <r>
          <rPr>
            <b/>
            <sz val="9"/>
            <color indexed="81"/>
            <rFont val="Tahoma"/>
            <family val="2"/>
          </rPr>
          <t xml:space="preserve">Fra Los romeros de Jabugo FV23-02102 del 17/11/23.
</t>
        </r>
        <r>
          <rPr>
            <sz val="9"/>
            <color indexed="81"/>
            <rFont val="Tahoma"/>
            <family val="2"/>
          </rPr>
          <t xml:space="preserve">1.547,04€: curado jamones feb 23
1.547,04€: Transf. Caixa realizada el 12/05/25
----------------------------------------
</t>
        </r>
        <r>
          <rPr>
            <b/>
            <sz val="9"/>
            <color indexed="81"/>
            <rFont val="Tahoma"/>
            <family val="2"/>
          </rPr>
          <t>Fra Los romeros de Jabugo FV23-02105  del 17/11/23</t>
        </r>
        <r>
          <rPr>
            <sz val="9"/>
            <color indexed="81"/>
            <rFont val="Tahoma"/>
            <family val="2"/>
          </rPr>
          <t xml:space="preserve">.
2.596€: curado jamones marzo 23
2.596€: Transf. Caixa realizada el 12/05/25
-----------------------------------------
</t>
        </r>
        <r>
          <rPr>
            <b/>
            <sz val="9"/>
            <color indexed="81"/>
            <rFont val="Tahoma"/>
            <family val="2"/>
          </rPr>
          <t xml:space="preserve">Fra La Serrania de Jabugo del 31/03/2025.
</t>
        </r>
        <r>
          <rPr>
            <sz val="9"/>
            <color indexed="81"/>
            <rFont val="Tahoma"/>
            <family val="2"/>
          </rPr>
          <t xml:space="preserve">5,07€. almacen carne. Transferencia Caixa realizada el 18/05/25
----------------------------------
</t>
        </r>
        <r>
          <rPr>
            <b/>
            <sz val="9"/>
            <color indexed="81"/>
            <rFont val="Tahoma"/>
            <family val="2"/>
          </rPr>
          <t xml:space="preserve">Fra La Serrania de Jabugo del 30/04/2025.
</t>
        </r>
        <r>
          <rPr>
            <sz val="9"/>
            <color indexed="81"/>
            <rFont val="Tahoma"/>
            <family val="2"/>
          </rPr>
          <t>5,07€.  almacen carne. Transferencia Caixa realizada el 18/05/25</t>
        </r>
      </text>
    </comment>
    <comment ref="BD50" authorId="2" shapeId="0" xr:uid="{6D88D0D8-724A-49B8-9E8F-0E01394A8F83}">
      <text>
        <r>
          <rPr>
            <b/>
            <sz val="9"/>
            <color indexed="81"/>
            <rFont val="Tahoma"/>
            <family val="2"/>
          </rPr>
          <t>Maria:</t>
        </r>
        <r>
          <rPr>
            <sz val="9"/>
            <color indexed="81"/>
            <rFont val="Tahoma"/>
            <family val="2"/>
          </rPr>
          <t xml:space="preserve">
Fra del 30/05/25 la serrania de jabugo: 5,07€ 
Transf. Caixa realizada el 20/06/25</t>
        </r>
      </text>
    </comment>
    <comment ref="BF50" authorId="2" shapeId="0" xr:uid="{409B9B51-BEB6-49CB-89DD-C77289B84EF5}">
      <text>
        <r>
          <rPr>
            <b/>
            <sz val="9"/>
            <color indexed="81"/>
            <rFont val="Tahoma"/>
            <family val="2"/>
          </rPr>
          <t>Maria:</t>
        </r>
        <r>
          <rPr>
            <sz val="9"/>
            <color indexed="81"/>
            <rFont val="Tahoma"/>
            <family val="2"/>
          </rPr>
          <t xml:space="preserve">
Fra Loncheados La Corte del 24/04/25: 228,92€ 
Transferencia Caixa realizada el 01/08/25
------------------------------
Fra Loncheados La Corte del 21/05/25: 139,90€
Transferencia Caixa realizada el 01/08/25
------------------------------
Fra Loncheados La Corte del 18/07/25: 345,40€
Transferencia Caixa realizada el 01/08/25
---------------------------------
Fra del 30/06/25 la serrania de jabugo: 5,07€  
Transferencia Caixa realizada el 01/08/25
--------------------------------
Fra del 31/07/25 la serrania de jabugo: 5,07€  
Transferencia Caixa realizada el 29/08/25 
--------------------------------</t>
        </r>
      </text>
    </comment>
    <comment ref="BK50" authorId="2" shapeId="0" xr:uid="{41C4354A-6B0A-4244-BDF9-C063705E8AFA}">
      <text>
        <r>
          <rPr>
            <b/>
            <sz val="9"/>
            <color indexed="81"/>
            <rFont val="Tahoma"/>
            <family val="2"/>
          </rPr>
          <t>Maria:</t>
        </r>
        <r>
          <rPr>
            <sz val="9"/>
            <color indexed="81"/>
            <rFont val="Tahoma"/>
            <family val="2"/>
          </rPr>
          <t xml:space="preserve">
Fra del 29/08/25 la serrania de jabugo: 5,07€  
Transf. Caixa realizada el 15/10/25
------------------------------
Fra del 30/09/25 la serrania de jabugo: 5,07€  
Transf. Caixa realizada el 15/10/25
------------------------------</t>
        </r>
      </text>
    </comment>
    <comment ref="BL50" authorId="2" shapeId="0" xr:uid="{C974A3FF-22C5-4CDA-A1BA-1E095F43BD65}">
      <text>
        <r>
          <rPr>
            <b/>
            <sz val="9"/>
            <color indexed="81"/>
            <rFont val="Tahoma"/>
            <family val="2"/>
          </rPr>
          <t>Maria:</t>
        </r>
        <r>
          <rPr>
            <sz val="9"/>
            <color indexed="81"/>
            <rFont val="Tahoma"/>
            <family val="2"/>
          </rPr>
          <t xml:space="preserve">
Fra Loncheados La Corte del 22/10/25: 279,65€
Transferencia Caixa realizada el 21/11/25
--------------------------------
Fra La serrania de jabugo del 31/10/25.
Transferencia Caixa realizada el 21/11/25
-------------------------------</t>
        </r>
      </text>
    </comment>
    <comment ref="BM50" authorId="0" shapeId="0" xr:uid="{621FBB62-06D0-44C3-AD68-6BDD8934D348}">
      <text>
        <r>
          <rPr>
            <b/>
            <sz val="9"/>
            <color indexed="81"/>
            <rFont val="Tahoma"/>
            <family val="2"/>
          </rPr>
          <t xml:space="preserve">Maria:
</t>
        </r>
        <r>
          <rPr>
            <sz val="9"/>
            <color indexed="81"/>
            <rFont val="Tahoma"/>
            <family val="2"/>
          </rPr>
          <t>Fra La serrania de jabugo del 28/11/25: 3,76€. 
Transferencia realizada el 23/12/25</t>
        </r>
        <r>
          <rPr>
            <b/>
            <sz val="9"/>
            <color indexed="81"/>
            <rFont val="Tahoma"/>
            <family val="2"/>
          </rPr>
          <t xml:space="preserve">
------------------------------
Fra Los romeros de Jabugo FV23-02106 del 17/11/23.
</t>
        </r>
        <r>
          <rPr>
            <sz val="9"/>
            <color indexed="81"/>
            <rFont val="Tahoma"/>
            <family val="2"/>
          </rPr>
          <t xml:space="preserve">4.178,02€: curado jamones feb 23
Transf. Caixa realizada el 17/12/25
----------------------------------------
</t>
        </r>
        <r>
          <rPr>
            <b/>
            <sz val="9"/>
            <color indexed="81"/>
            <rFont val="Tahoma"/>
            <family val="2"/>
          </rPr>
          <t>Fra Los romeros de Jabugo FV24-00687 del 23/04/24.</t>
        </r>
        <r>
          <rPr>
            <sz val="9"/>
            <color indexed="81"/>
            <rFont val="Tahoma"/>
            <family val="2"/>
          </rPr>
          <t xml:space="preserve">
200,97€: etiquetas paleta
Transf. Caixa realizada el 17/12/25</t>
        </r>
      </text>
    </comment>
    <comment ref="BN50" authorId="2" shapeId="0" xr:uid="{D13F2308-DEB8-4AC4-840C-7C2C562852EA}">
      <text>
        <r>
          <rPr>
            <sz val="9"/>
            <color indexed="81"/>
            <rFont val="Tahoma"/>
            <family val="2"/>
          </rPr>
          <t>Fra 14-2026 Loncheados La Corte del 16/01/26: 213,10€
Transferencia Caixa realizada el 29/01/26
--------------------------------
Fra 015-2026 Loncheados La Corte del 16/01/26: 1.261€
Transferencia Caixa realizada el 29/01/26
--------------------------------
Fra 16-2026 Loncheados La Corte del 16/01/26: 982,28€
Transferencia Caixa realizada el 29/01/26
--------------------------------</t>
        </r>
      </text>
    </comment>
    <comment ref="BP50" authorId="0" shapeId="0" xr:uid="{3573F6A7-39B1-4533-8FF3-DE2F58A51993}">
      <text>
        <r>
          <rPr>
            <sz val="9"/>
            <color indexed="81"/>
            <rFont val="Tahoma"/>
            <family val="2"/>
          </rPr>
          <t>Fra La serrania de jabugo del 30/12/25: 3,76€. 
Fra La serrania de jabugo del 30/01/26: 3,76€. 
Fra La serrania de jabugo del 27/02/26: 3,76€. 
11,28€: Transferencia Caixa realizada el 31/03/26</t>
        </r>
      </text>
    </comment>
    <comment ref="BR50" authorId="2" shapeId="0" xr:uid="{2336A686-F01B-4E06-BED8-D3FC8658CD66}">
      <text>
        <r>
          <rPr>
            <b/>
            <sz val="9"/>
            <color indexed="81"/>
            <rFont val="Tahoma"/>
            <family val="2"/>
          </rPr>
          <t>Maria:</t>
        </r>
        <r>
          <rPr>
            <sz val="9"/>
            <color indexed="81"/>
            <rFont val="Tahoma"/>
            <family val="2"/>
          </rPr>
          <t xml:space="preserve">
Fra Los romero de jabugo del 15/04/26.
2.759,90€. 
Transf. Caixa realizada el 22/05/26 
---------------------------------------
La serrania de jabugo del 30/04/26.
Existencias: 16,95€. 
Transf. Caixa realizada el 22/05/26
---------------------------------------
Fra Selección de jabugo del 17/03/26.
Elaboracion embutidos: 1.643,18€. 
Transf. Caixa realizada el 22/05/26
---------------------------------------</t>
        </r>
      </text>
    </comment>
    <comment ref="BS50" authorId="2" shapeId="0" xr:uid="{4D661E28-D55B-48B3-81CC-7B0EE733E282}">
      <text>
        <r>
          <rPr>
            <b/>
            <sz val="9"/>
            <color indexed="81"/>
            <rFont val="Tahoma"/>
            <family val="2"/>
          </rPr>
          <t>Maria:</t>
        </r>
        <r>
          <rPr>
            <sz val="9"/>
            <color indexed="81"/>
            <rFont val="Tahoma"/>
            <family val="2"/>
          </rPr>
          <t xml:space="preserve">
Fra La Serrania de Jabugo del 31/03/26. 
Envasado: 296,00€.
Pendt transfer. 
----------------------------
La serrania de jabugo del 29/05/26.
Existencias: 14,99€. 
Pendt transfer. 
---------------------------------------</t>
        </r>
      </text>
    </comment>
    <comment ref="B51" authorId="5" shapeId="0" xr:uid="{814A19B1-70CB-430E-B0D6-376EEB03B288}">
      <text>
        <r>
          <rPr>
            <b/>
            <sz val="9"/>
            <color indexed="81"/>
            <rFont val="Tahoma"/>
            <family val="2"/>
          </rPr>
          <t>financiero1:</t>
        </r>
        <r>
          <rPr>
            <sz val="9"/>
            <color indexed="81"/>
            <rFont val="Tahoma"/>
            <family val="2"/>
          </rPr>
          <t xml:space="preserve">
Control alimentación
 bellota</t>
        </r>
      </text>
    </comment>
    <comment ref="AH51" authorId="0" shapeId="0" xr:uid="{F4AC4092-6C5E-4AAB-84EF-132060ACAEDB}">
      <text>
        <r>
          <rPr>
            <b/>
            <sz val="9"/>
            <color indexed="81"/>
            <rFont val="Tahoma"/>
            <family val="2"/>
          </rPr>
          <t xml:space="preserve">2 Visita inspección Insecal (una Corchas y otra La Corte) - certificadora bellota. 150 eur/visita aprox.
----------------------------------
Fra Insecal del 21/11/23.
</t>
        </r>
        <r>
          <rPr>
            <sz val="9"/>
            <color indexed="81"/>
            <rFont val="Tahoma"/>
            <family val="2"/>
          </rPr>
          <t>Inspección: 157,30€. 
Pendiente realizar transferencia. 
Transf. Caixa realizada el 20/12/23</t>
        </r>
      </text>
    </comment>
    <comment ref="AI51" authorId="0" shapeId="0" xr:uid="{F9430143-322C-4438-8CF0-5BA30FEF01E5}">
      <text>
        <r>
          <rPr>
            <b/>
            <sz val="9"/>
            <color indexed="81"/>
            <rFont val="Tahoma"/>
            <family val="2"/>
          </rPr>
          <t xml:space="preserve">2 Visita inspección Insecal (una Corchas y otra La Corte) - certificadora bellota. 150 eur/visita aprox.
2 Certificaciones Bellota Cochinos, propios y de SRC
---------------------------------
Fra Insecal del 23/01/24.
</t>
        </r>
        <r>
          <rPr>
            <sz val="9"/>
            <color indexed="81"/>
            <rFont val="Tahoma"/>
            <family val="2"/>
          </rPr>
          <t>Inspeccion: 1.829,52€. 
Pendiente realizar transferencia. 
Transferencia realizada el 29/01/24.
--------------------------------------------------</t>
        </r>
      </text>
    </comment>
    <comment ref="AP51" authorId="0" shapeId="0" xr:uid="{6D4AD723-A91E-4E4A-A7F7-F4CF442CBBB4}">
      <text>
        <r>
          <rPr>
            <b/>
            <sz val="9"/>
            <color indexed="81"/>
            <rFont val="Tahoma"/>
            <family val="2"/>
          </rPr>
          <t xml:space="preserve">1 Visita inspección Insecal (Las Corchas) - certificadora bellota. 150 eur/visita aprox.
---------------------------------
Fra Insecal del 06/08/24.
</t>
        </r>
        <r>
          <rPr>
            <sz val="9"/>
            <color indexed="81"/>
            <rFont val="Tahoma"/>
            <family val="2"/>
          </rPr>
          <t>Inspeccion: 181,50€. 
OK ALF 07/08/24
Pendiente realizar transferencia. 
Transf. Caixa realizada el 22/08/24
--------------------------------------------------</t>
        </r>
      </text>
    </comment>
    <comment ref="AU51" authorId="4" shapeId="0" xr:uid="{7F380845-8B60-495B-A522-CC7245D2753D}">
      <text>
        <r>
          <rPr>
            <b/>
            <sz val="9"/>
            <color indexed="81"/>
            <rFont val="Tahoma"/>
            <family val="2"/>
          </rPr>
          <t>Fra Insecal del 27/06/24.</t>
        </r>
        <r>
          <rPr>
            <sz val="9"/>
            <color indexed="81"/>
            <rFont val="Tahoma"/>
            <family val="2"/>
          </rPr>
          <t xml:space="preserve">
Inspeccion: 181,50€. 
</t>
        </r>
        <r>
          <rPr>
            <b/>
            <sz val="9"/>
            <color indexed="81"/>
            <rFont val="Tahoma"/>
            <family val="2"/>
          </rPr>
          <t>Fra Insecal del 25/04/24.</t>
        </r>
        <r>
          <rPr>
            <sz val="9"/>
            <color indexed="81"/>
            <rFont val="Tahoma"/>
            <family val="2"/>
          </rPr>
          <t xml:space="preserve">
Inspeccion: 290,40€. 
OK ALF 03/09/24
471,90€: Transf. Caixa  realizada el 03/09/24</t>
        </r>
      </text>
    </comment>
    <comment ref="AX51" authorId="2" shapeId="0" xr:uid="{616D639B-E842-43A6-869B-C0507EFEF5B6}">
      <text>
        <r>
          <rPr>
            <b/>
            <sz val="9"/>
            <color indexed="81"/>
            <rFont val="Tahoma"/>
            <family val="2"/>
          </rPr>
          <t>Maria:</t>
        </r>
        <r>
          <rPr>
            <sz val="9"/>
            <color indexed="81"/>
            <rFont val="Tahoma"/>
            <family val="2"/>
          </rPr>
          <t xml:space="preserve">
Fra Insecal del 21/10/24. 
Visita: 181,50€.
Pendiente realizar transferencia. </t>
        </r>
      </text>
    </comment>
    <comment ref="BA51" authorId="0" shapeId="0" xr:uid="{89189236-5A6C-4835-B4AF-89252B0D36A0}">
      <text>
        <r>
          <rPr>
            <sz val="9"/>
            <color indexed="81"/>
            <rFont val="Tahoma"/>
            <family val="2"/>
          </rPr>
          <t xml:space="preserve">Fra Aeceriber del 13/03/25.
Certificacion cochinos: 22€.
Transf. Caixa realizada el 14/03/25
</t>
        </r>
      </text>
    </comment>
    <comment ref="BB51" authorId="0" shapeId="0" xr:uid="{A3A7A5C0-8C2F-4D52-BC8A-628E153B492F}">
      <text>
        <r>
          <rPr>
            <sz val="9"/>
            <color indexed="81"/>
            <rFont val="Tahoma"/>
            <family val="2"/>
          </rPr>
          <t xml:space="preserve">Fra Insecal Inspección del 27/12/24.
Certificacion cerdos Bellota: 1.796,85€.
Transferencia Caixa realizada el 16/04/25 
------------------------------------
Fra Insecal Inspección del 08/04/25.
Renovación lotes Montanera: 145,20€.
Vcmto: 23/04/25
Transferencia Caixa realizada el 16/04/25 </t>
        </r>
      </text>
    </comment>
    <comment ref="BF51" authorId="2" shapeId="0" xr:uid="{B13F9A3E-2CB3-410C-9458-D2633E9F66A6}">
      <text>
        <r>
          <rPr>
            <b/>
            <sz val="9"/>
            <color indexed="81"/>
            <rFont val="Tahoma"/>
            <family val="2"/>
          </rPr>
          <t>Maria:</t>
        </r>
        <r>
          <rPr>
            <sz val="9"/>
            <color indexed="81"/>
            <rFont val="Tahoma"/>
            <family val="2"/>
          </rPr>
          <t xml:space="preserve">
Fra Insecal Inspección del 01/07/24.
Certificacion cerdos Bellota: 181,50€.
Pendiente realizar transferencia.
Transf. Caixa realizada el 04/08/25 </t>
        </r>
      </text>
    </comment>
    <comment ref="BM51" authorId="2" shapeId="0" xr:uid="{6D8A3170-FA9F-436F-BA69-4FB1C45BAE82}">
      <text>
        <r>
          <rPr>
            <b/>
            <sz val="9"/>
            <color indexed="81"/>
            <rFont val="Tahoma"/>
            <family val="2"/>
          </rPr>
          <t>Maria:</t>
        </r>
        <r>
          <rPr>
            <sz val="9"/>
            <color indexed="81"/>
            <rFont val="Tahoma"/>
            <family val="2"/>
          </rPr>
          <t xml:space="preserve">
Fra Insecal del 13/11/25.
Inspección: 1.346,13€. 
Pendiente. 
Transferencia realizada el 23/12/25
----------------------------------
Fra Insecal del 10/12/25.
Inspección: 771,98€. 
Pendiente. 
Transferencia realizada el 23/12/25
----------------------------------</t>
        </r>
      </text>
    </comment>
    <comment ref="AG52" authorId="0" shapeId="0" xr:uid="{3C06527D-BF7E-4110-A466-398085A4461D}">
      <text>
        <r>
          <rPr>
            <b/>
            <sz val="9"/>
            <color indexed="81"/>
            <rFont val="Tahoma"/>
            <family val="2"/>
          </rPr>
          <t>Logista Parcel: 54,04€ Fra del 30/11/23.</t>
        </r>
        <r>
          <rPr>
            <sz val="9"/>
            <color indexed="81"/>
            <rFont val="Tahoma"/>
            <family val="2"/>
          </rPr>
          <t xml:space="preserve">
Porte embutidos Jabugo-Sevilla
Transf. Caixa realizada el 17/11/23
----------------------------
Fra del 11/12/23.
Logista Parcel: 26,54€ 
Porte EDUARDO DATO-El Colmaito
Transf. Caixa realizada el 28/11/23
----------------------------</t>
        </r>
      </text>
    </comment>
    <comment ref="AH52" authorId="0" shapeId="0" xr:uid="{4B11CE34-3D4E-4F9D-B3C9-AD216D67EB1B}">
      <text>
        <r>
          <rPr>
            <sz val="9"/>
            <color indexed="81"/>
            <rFont val="Tahoma"/>
            <family val="2"/>
          </rPr>
          <t>Fra del 18/12/23.
Logista Parcel: 75,89€ 
Porte 
Transf. Caixa realizada el 11/12/23
----------------------------</t>
        </r>
      </text>
    </comment>
    <comment ref="AI52" authorId="0" shapeId="0" xr:uid="{75BCD157-A95C-4C22-92CB-023A48B75AA3}">
      <text>
        <r>
          <rPr>
            <b/>
            <sz val="9"/>
            <color indexed="81"/>
            <rFont val="Tahoma"/>
            <family val="2"/>
          </rPr>
          <t xml:space="preserve">Fra Narval del 30/11/23.
</t>
        </r>
        <r>
          <rPr>
            <sz val="9"/>
            <color indexed="81"/>
            <rFont val="Tahoma"/>
            <family val="2"/>
          </rPr>
          <t>Portes: 471,00€.
Domiciliado: 31/12/23.- cargado: 02/01/24</t>
        </r>
      </text>
    </comment>
    <comment ref="AJ52" authorId="0" shapeId="0" xr:uid="{5F95CE6F-4D3F-4391-B6A8-1EE1072A7AE8}">
      <text>
        <r>
          <rPr>
            <b/>
            <sz val="9"/>
            <color indexed="81"/>
            <rFont val="Tahoma"/>
            <family val="2"/>
          </rPr>
          <t xml:space="preserve">Fra Narval del 31/12/23.
</t>
        </r>
        <r>
          <rPr>
            <sz val="9"/>
            <color indexed="81"/>
            <rFont val="Tahoma"/>
            <family val="2"/>
          </rPr>
          <t xml:space="preserve">Portes: 369,44€.
Domiciliado: 31/01/24.- cargado: 01/02/24
-----------------------------------------
</t>
        </r>
        <r>
          <rPr>
            <b/>
            <sz val="9"/>
            <color indexed="81"/>
            <rFont val="Tahoma"/>
            <family val="2"/>
          </rPr>
          <t>Fra pendiente.</t>
        </r>
        <r>
          <rPr>
            <sz val="9"/>
            <color indexed="81"/>
            <rFont val="Tahoma"/>
            <family val="2"/>
          </rPr>
          <t xml:space="preserve">
Logista Parcel: 127,55€ 
Porte 
Transf. Caixa realizada a Rosa por pago a Dalsa Logis el 16/02/24</t>
        </r>
      </text>
    </comment>
    <comment ref="AK52" authorId="0" shapeId="0" xr:uid="{66A1F8B7-BFA2-4ECC-8471-8E086F437B6C}">
      <text>
        <r>
          <rPr>
            <b/>
            <sz val="9"/>
            <color indexed="81"/>
            <rFont val="Tahoma"/>
            <family val="2"/>
          </rPr>
          <t xml:space="preserve">Fra Narval del 31/01/24.
</t>
        </r>
        <r>
          <rPr>
            <sz val="9"/>
            <color indexed="81"/>
            <rFont val="Tahoma"/>
            <family val="2"/>
          </rPr>
          <t xml:space="preserve">Portes: 370,25€.
Domiciliado: 29/02/24.- cargado: 01/03/24.
----------------------------------------------
</t>
        </r>
      </text>
    </comment>
    <comment ref="AL52" authorId="0" shapeId="0" xr:uid="{24737431-6B65-478E-B566-48121FB5E996}">
      <text>
        <r>
          <rPr>
            <b/>
            <sz val="9"/>
            <color indexed="81"/>
            <rFont val="Tahoma"/>
            <family val="2"/>
          </rPr>
          <t xml:space="preserve">Fra Narval del 29/02/24.
</t>
        </r>
        <r>
          <rPr>
            <sz val="9"/>
            <color indexed="81"/>
            <rFont val="Tahoma"/>
            <family val="2"/>
          </rPr>
          <t>Portes: 368,60€.
Domiciliado: 31/03/24.- 
Cargado: 02/04/24
----------------------------------------------
----------------------------</t>
        </r>
      </text>
    </comment>
    <comment ref="AM52" authorId="0" shapeId="0" xr:uid="{B8BA4B2E-D3D1-4D51-B0EB-CC97E43F4022}">
      <text>
        <r>
          <rPr>
            <b/>
            <sz val="9"/>
            <color indexed="81"/>
            <rFont val="Tahoma"/>
            <family val="2"/>
          </rPr>
          <t xml:space="preserve">Fra Narval del 31/03/24.
</t>
        </r>
        <r>
          <rPr>
            <sz val="9"/>
            <color indexed="81"/>
            <rFont val="Tahoma"/>
            <family val="2"/>
          </rPr>
          <t>Portes: 367,89€
Domiciliado: 30/04/24.- 
Cargado: 
-------------------------------------------
Fra Dalsa Logis del 23/05/24.  138,29€.
Cargado: 20/05/24.</t>
        </r>
      </text>
    </comment>
    <comment ref="AN52" authorId="0" shapeId="0" xr:uid="{4F485D8F-CAF9-4ED6-B588-1D4F8B865BE7}">
      <text>
        <r>
          <rPr>
            <sz val="9"/>
            <color indexed="81"/>
            <rFont val="Tahoma"/>
            <family val="2"/>
          </rPr>
          <t xml:space="preserve">Fra Narval del 30/04/24.
Portes: 367,71€
Domiciliado: 30/04/24.- Cargado: 01/06/24
-------------------------------------------
</t>
        </r>
      </text>
    </comment>
    <comment ref="AO52" authorId="0" shapeId="0" xr:uid="{A3F555F8-229A-4945-85BD-3A45A8A49666}">
      <text>
        <r>
          <rPr>
            <b/>
            <sz val="9"/>
            <color indexed="81"/>
            <rFont val="Tahoma"/>
            <family val="2"/>
          </rPr>
          <t xml:space="preserve">Fra Narval del 31/05/24.
</t>
        </r>
        <r>
          <rPr>
            <sz val="9"/>
            <color indexed="81"/>
            <rFont val="Tahoma"/>
            <family val="2"/>
          </rPr>
          <t>Portes: 369,29€
Domiciliado: 01/07/24
-------------------------------------------</t>
        </r>
      </text>
    </comment>
    <comment ref="AP52" authorId="2" shapeId="0" xr:uid="{37650BDC-E7F0-4C39-95BC-662AC7A567C8}">
      <text>
        <r>
          <rPr>
            <b/>
            <sz val="9"/>
            <color indexed="81"/>
            <rFont val="Tahoma"/>
            <family val="2"/>
          </rPr>
          <t xml:space="preserve">Fra Narval del 31/06/24.
</t>
        </r>
        <r>
          <rPr>
            <sz val="9"/>
            <color indexed="81"/>
            <rFont val="Tahoma"/>
            <family val="2"/>
          </rPr>
          <t>Portes: 366,55€
Domiciliado: 01/08/24
---------------------------</t>
        </r>
      </text>
    </comment>
    <comment ref="AU52" authorId="2" shapeId="0" xr:uid="{2BDB8DA1-FE7A-4011-B883-72076164A9BB}">
      <text>
        <r>
          <rPr>
            <b/>
            <sz val="9"/>
            <color indexed="81"/>
            <rFont val="Tahoma"/>
            <family val="2"/>
          </rPr>
          <t xml:space="preserve">Fra Narval del 31/07/24.
</t>
        </r>
        <r>
          <rPr>
            <sz val="9"/>
            <color indexed="81"/>
            <rFont val="Tahoma"/>
            <family val="2"/>
          </rPr>
          <t xml:space="preserve">Portes: 518,38€
Domiciliado: 01/09/24
---------------------------
</t>
        </r>
        <r>
          <rPr>
            <b/>
            <sz val="9"/>
            <color indexed="81"/>
            <rFont val="Tahoma"/>
            <family val="2"/>
          </rPr>
          <t>Fra Narval del 31/08/24.</t>
        </r>
        <r>
          <rPr>
            <sz val="9"/>
            <color indexed="81"/>
            <rFont val="Tahoma"/>
            <family val="2"/>
          </rPr>
          <t xml:space="preserve">
Portes: 364,52€
Domiciliado: 25/09/24</t>
        </r>
      </text>
    </comment>
    <comment ref="AV52" authorId="2" shapeId="0" xr:uid="{3DE4EF78-8B38-4977-883A-A98AAA15F601}">
      <text>
        <r>
          <rPr>
            <b/>
            <sz val="9"/>
            <color indexed="81"/>
            <rFont val="Tahoma"/>
            <family val="2"/>
          </rPr>
          <t xml:space="preserve">Fra 92 emitida a Narval el 02/10/24. </t>
        </r>
        <r>
          <rPr>
            <sz val="9"/>
            <color indexed="81"/>
            <rFont val="Tahoma"/>
            <family val="2"/>
          </rPr>
          <t xml:space="preserve">
Abono por indemnizacion: 25,28€.
Abono: 17/10/24.
--------------------------
</t>
        </r>
      </text>
    </comment>
    <comment ref="AW52" authorId="2" shapeId="0" xr:uid="{BF3E6845-4780-40A7-93FA-996151473821}">
      <text>
        <r>
          <rPr>
            <b/>
            <sz val="9"/>
            <color indexed="81"/>
            <rFont val="Tahoma"/>
            <family val="2"/>
          </rPr>
          <t>Maria:</t>
        </r>
        <r>
          <rPr>
            <sz val="9"/>
            <color indexed="81"/>
            <rFont val="Tahoma"/>
            <family val="2"/>
          </rPr>
          <t xml:space="preserve">
Fra Narval del 30/09/24.
cargado: 01/11/24
--------------------------------
</t>
        </r>
      </text>
    </comment>
    <comment ref="AX52" authorId="2" shapeId="0" xr:uid="{197E8213-E471-4946-9FE2-1CCEFEFC1630}">
      <text>
        <r>
          <rPr>
            <b/>
            <sz val="9"/>
            <color indexed="81"/>
            <rFont val="Tahoma"/>
            <family val="2"/>
          </rPr>
          <t>Maria:</t>
        </r>
        <r>
          <rPr>
            <sz val="9"/>
            <color indexed="81"/>
            <rFont val="Tahoma"/>
            <family val="2"/>
          </rPr>
          <t xml:space="preserve">
Fra Narval del 31/10/24.
cargado: 02/12/24
------------------------------------------
Fra Abono narval del 15/10/24. 
Dev. Transporte: - 24,01€. 
Abono: 02/12/24</t>
        </r>
      </text>
    </comment>
    <comment ref="AY52" authorId="2" shapeId="0" xr:uid="{C30760C6-F0C4-4B6F-BFB9-A3893B391A29}">
      <text>
        <r>
          <rPr>
            <b/>
            <sz val="9"/>
            <color indexed="81"/>
            <rFont val="Tahoma"/>
            <family val="2"/>
          </rPr>
          <t>Maria:</t>
        </r>
        <r>
          <rPr>
            <sz val="9"/>
            <color indexed="81"/>
            <rFont val="Tahoma"/>
            <family val="2"/>
          </rPr>
          <t xml:space="preserve">
Fra Narval del 30/11/24.
cargado: 01/01/25
----------------------------------
Fra Transportes Fernando Trujillo S.L. del 09/12/24.
Portes: 847€.
OK ALF 24/01/25 
Transferencia realizada el 29/01/25
----------------------------------</t>
        </r>
      </text>
    </comment>
    <comment ref="AZ52" authorId="2" shapeId="0" xr:uid="{4FC6A664-9FA0-46CF-808B-2F555BFCEAEB}">
      <text>
        <r>
          <rPr>
            <b/>
            <sz val="9"/>
            <color indexed="81"/>
            <rFont val="Tahoma"/>
            <family val="2"/>
          </rPr>
          <t>Maria:</t>
        </r>
        <r>
          <rPr>
            <sz val="9"/>
            <color indexed="81"/>
            <rFont val="Tahoma"/>
            <family val="2"/>
          </rPr>
          <t xml:space="preserve">
Fra Narval del 31/12/24.
cargado: 01/02/2025
----------------------------------</t>
        </r>
      </text>
    </comment>
    <comment ref="BA52" authorId="2" shapeId="0" xr:uid="{6D638C2B-4694-480B-B3A5-1179085043A5}">
      <text>
        <r>
          <rPr>
            <b/>
            <sz val="9"/>
            <color indexed="81"/>
            <rFont val="Tahoma"/>
            <family val="2"/>
          </rPr>
          <t>Maria:</t>
        </r>
        <r>
          <rPr>
            <sz val="9"/>
            <color indexed="81"/>
            <rFont val="Tahoma"/>
            <family val="2"/>
          </rPr>
          <t xml:space="preserve">
Fra Narval del 31/01/2025. 
Cargado: 01/03/2025.</t>
        </r>
      </text>
    </comment>
    <comment ref="BB52" authorId="2" shapeId="0" xr:uid="{69B82B90-C974-4EB1-80E5-6CB7CE9069CF}">
      <text>
        <r>
          <rPr>
            <b/>
            <sz val="9"/>
            <color indexed="81"/>
            <rFont val="Tahoma"/>
            <family val="2"/>
          </rPr>
          <t>Maria:</t>
        </r>
        <r>
          <rPr>
            <sz val="9"/>
            <color indexed="81"/>
            <rFont val="Tahoma"/>
            <family val="2"/>
          </rPr>
          <t xml:space="preserve">
Fra Narval del 28/02/25: 364,25€. </t>
        </r>
      </text>
    </comment>
    <comment ref="BC52" authorId="2" shapeId="0" xr:uid="{7CC0B046-4312-43AA-AF02-D7C1C77E3CDD}">
      <text>
        <r>
          <rPr>
            <b/>
            <sz val="9"/>
            <color indexed="81"/>
            <rFont val="Tahoma"/>
            <family val="2"/>
          </rPr>
          <t>Maria:</t>
        </r>
        <r>
          <rPr>
            <sz val="9"/>
            <color indexed="81"/>
            <rFont val="Tahoma"/>
            <family val="2"/>
          </rPr>
          <t xml:space="preserve">
Fra Narval del 31/03/25: 366,41€. 
Domiciliado: 01/05/25</t>
        </r>
      </text>
    </comment>
    <comment ref="BD52" authorId="2" shapeId="0" xr:uid="{67419A80-68B7-47D6-8FE2-B48CE1B102C5}">
      <text>
        <r>
          <rPr>
            <b/>
            <sz val="9"/>
            <color indexed="81"/>
            <rFont val="Tahoma"/>
            <family val="2"/>
          </rPr>
          <t>Maria:</t>
        </r>
        <r>
          <rPr>
            <sz val="9"/>
            <color indexed="81"/>
            <rFont val="Tahoma"/>
            <family val="2"/>
          </rPr>
          <t xml:space="preserve">
Fra Narval del 30/04/25: 366,41€. 
Domiciliado: 01/06/25</t>
        </r>
      </text>
    </comment>
    <comment ref="BE52" authorId="2" shapeId="0" xr:uid="{00559AB0-7D45-422D-B167-7082C7B9A03A}">
      <text>
        <r>
          <rPr>
            <b/>
            <sz val="9"/>
            <color indexed="81"/>
            <rFont val="Tahoma"/>
            <family val="2"/>
          </rPr>
          <t>Maria:</t>
        </r>
        <r>
          <rPr>
            <sz val="9"/>
            <color indexed="81"/>
            <rFont val="Tahoma"/>
            <family val="2"/>
          </rPr>
          <t xml:space="preserve">
Fra Narval del 31/05/25: 364,61€. 
Cargado: 01/07/25</t>
        </r>
      </text>
    </comment>
    <comment ref="BF52" authorId="2" shapeId="0" xr:uid="{F7409C99-B9C7-4319-9944-0C2FD7ACA2DD}">
      <text>
        <r>
          <rPr>
            <b/>
            <sz val="9"/>
            <color indexed="81"/>
            <rFont val="Tahoma"/>
            <family val="2"/>
          </rPr>
          <t>Maria:</t>
        </r>
        <r>
          <rPr>
            <sz val="9"/>
            <color indexed="81"/>
            <rFont val="Tahoma"/>
            <family val="2"/>
          </rPr>
          <t xml:space="preserve">
Fra Narval del 30/06/25: 363,77€ 
Cargado: 01/07/25</t>
        </r>
      </text>
    </comment>
    <comment ref="BJ52" authorId="2" shapeId="0" xr:uid="{A9233C2D-540B-4F01-9952-9DFD02EE1429}">
      <text>
        <r>
          <rPr>
            <b/>
            <sz val="9"/>
            <color indexed="81"/>
            <rFont val="Tahoma"/>
            <family val="2"/>
          </rPr>
          <t>Maria:</t>
        </r>
        <r>
          <rPr>
            <sz val="9"/>
            <color indexed="81"/>
            <rFont val="Tahoma"/>
            <family val="2"/>
          </rPr>
          <t xml:space="preserve">
Fra Narval del 31/07/25: 362,52€ 
Cargado: 01/08/25</t>
        </r>
      </text>
    </comment>
    <comment ref="BK52" authorId="2" shapeId="0" xr:uid="{BE6386C6-145C-4290-805E-44D4E42213B8}">
      <text>
        <r>
          <rPr>
            <b/>
            <sz val="9"/>
            <color indexed="81"/>
            <rFont val="Tahoma"/>
            <family val="2"/>
          </rPr>
          <t>Maria:</t>
        </r>
        <r>
          <rPr>
            <sz val="9"/>
            <color indexed="81"/>
            <rFont val="Tahoma"/>
            <family val="2"/>
          </rPr>
          <t xml:space="preserve">
Fra Narval del 31/08/25: 363,12€ 
Cargado: 
-------------------------------
Fra Narval del 30/09/25: 364,31€ 
Cargado: 
-------------------------------
</t>
        </r>
      </text>
    </comment>
    <comment ref="BM52" authorId="2" shapeId="0" xr:uid="{A7147B3A-F4ED-4D85-AE31-336FA8A3CDE4}">
      <text>
        <r>
          <rPr>
            <b/>
            <sz val="9"/>
            <color indexed="81"/>
            <rFont val="Tahoma"/>
            <family val="2"/>
          </rPr>
          <t>Maria:</t>
        </r>
        <r>
          <rPr>
            <sz val="9"/>
            <color indexed="81"/>
            <rFont val="Tahoma"/>
            <family val="2"/>
          </rPr>
          <t xml:space="preserve">
Fra Narval del 31/10/25: 364,42€ 
Cargado: 01/12/25
-------------------------------
Fra Transportes Fernandez Trujillo del 24/11/25.
Transportes cochinos SRC: 968,00€. 
Pendiente. 
Transferencia realizada el 23/12/25
------------------------------------
296,99€: Tradipaq
Fra del 14/11/25. 
Cargado: 05/12/25
------------------------------------
496,98€: Tradipaq
Fra del 30/11/25. 
Cargado: 05/12/25
-------------------------------------
Fra Narval del 30/11/25.
Cargado:30/12/25</t>
        </r>
      </text>
    </comment>
    <comment ref="BN52" authorId="2" shapeId="0" xr:uid="{D7E32F58-52DC-4732-ABFE-F6375BD59FF8}">
      <text>
        <r>
          <rPr>
            <b/>
            <sz val="9"/>
            <color indexed="81"/>
            <rFont val="Tahoma"/>
            <family val="2"/>
          </rPr>
          <t>Maria:</t>
        </r>
        <r>
          <rPr>
            <sz val="9"/>
            <color indexed="81"/>
            <rFont val="Tahoma"/>
            <family val="2"/>
          </rPr>
          <t xml:space="preserve">
Fra NARVAL del 31/12/25
-----------------------------------
319,40€: Tradipaq
Fra del 31/12/25. 
Cargado: 09/01/26
-------------------------------------</t>
        </r>
      </text>
    </comment>
    <comment ref="BO52" authorId="2" shapeId="0" xr:uid="{DE7DD375-DEF5-448B-9F21-A954B64909AE}">
      <text>
        <r>
          <rPr>
            <b/>
            <sz val="9"/>
            <color indexed="81"/>
            <rFont val="Tahoma"/>
            <family val="2"/>
          </rPr>
          <t>Maria:</t>
        </r>
        <r>
          <rPr>
            <sz val="9"/>
            <color indexed="81"/>
            <rFont val="Tahoma"/>
            <family val="2"/>
          </rPr>
          <t xml:space="preserve">
Fra Tradipak del 31/01/26.
Envios: 19,28€.
Domiciliado: 06/02/26.</t>
        </r>
      </text>
    </comment>
    <comment ref="BP52" authorId="2" shapeId="0" xr:uid="{C49D008B-86AB-4D46-B9E4-A57BD243DBFC}">
      <text>
        <r>
          <rPr>
            <b/>
            <sz val="9"/>
            <color indexed="81"/>
            <rFont val="Tahoma"/>
            <family val="2"/>
          </rPr>
          <t>Maria:</t>
        </r>
        <r>
          <rPr>
            <sz val="9"/>
            <color indexed="81"/>
            <rFont val="Tahoma"/>
            <family val="2"/>
          </rPr>
          <t xml:space="preserve">
Fra NARVAL del enero PENDIENTE
----------------------------------
Fra NARVAL del 28/02/26
----------------------------------</t>
        </r>
      </text>
    </comment>
    <comment ref="BQ52" authorId="2" shapeId="0" xr:uid="{B118D1CC-B970-4265-87C2-D3813A7304CE}">
      <text>
        <r>
          <rPr>
            <b/>
            <sz val="9"/>
            <color indexed="81"/>
            <rFont val="Tahoma"/>
            <family val="2"/>
          </rPr>
          <t>Maria:</t>
        </r>
        <r>
          <rPr>
            <sz val="9"/>
            <color indexed="81"/>
            <rFont val="Tahoma"/>
            <family val="2"/>
          </rPr>
          <t xml:space="preserve">
Fra bejarano todo trnasporte del 23/03/26.
Transporte embutidos jabugo - carniceria niebla: 159,22€. 
Pendiente transfer. 
Transf. realizada el 29/04/26
---------------------------------------
Fra TTES. Los gandullos de la sierra 21/04/26.
Transporte carne para fabricar chacinas: 278,30€. 
Pendiente transfer. 
Transf. realizada el 29/04/26
---------------------------------------</t>
        </r>
      </text>
    </comment>
    <comment ref="BR52" authorId="2" shapeId="0" xr:uid="{E5C3A524-66ED-4230-B99F-1A4C1715475E}">
      <text>
        <r>
          <rPr>
            <b/>
            <sz val="9"/>
            <color indexed="81"/>
            <rFont val="Tahoma"/>
            <family val="2"/>
          </rPr>
          <t>Maria:</t>
        </r>
        <r>
          <rPr>
            <sz val="9"/>
            <color indexed="81"/>
            <rFont val="Tahoma"/>
            <family val="2"/>
          </rPr>
          <t xml:space="preserve">
Fra NARVAL del 31/03/26.
Domiciliado: 04/05/26
----------------------------------
Fra Tradipak del 30/04/26.
Porte paletas: 99,03€.
Domiciliado: 08/05/26. </t>
        </r>
      </text>
    </comment>
    <comment ref="BS52" authorId="2" shapeId="0" xr:uid="{12F4AF88-F894-402B-9280-E8DA0AFF4677}">
      <text>
        <r>
          <rPr>
            <b/>
            <sz val="9"/>
            <color indexed="81"/>
            <rFont val="Tahoma"/>
            <family val="2"/>
          </rPr>
          <t>Maria:</t>
        </r>
        <r>
          <rPr>
            <sz val="9"/>
            <color indexed="81"/>
            <rFont val="Tahoma"/>
            <family val="2"/>
          </rPr>
          <t xml:space="preserve">
Fra Narval del 30/04/26. 
Portes: 377,71€.
Domiciliado: 
</t>
        </r>
      </text>
    </comment>
    <comment ref="BT52" authorId="2" shapeId="0" xr:uid="{800BF626-1A0E-4B47-B310-434F826B3E75}">
      <text>
        <r>
          <rPr>
            <b/>
            <sz val="9"/>
            <color indexed="81"/>
            <rFont val="Tahoma"/>
            <family val="2"/>
          </rPr>
          <t>Maria:</t>
        </r>
        <r>
          <rPr>
            <sz val="9"/>
            <color indexed="81"/>
            <rFont val="Tahoma"/>
            <family val="2"/>
          </rPr>
          <t xml:space="preserve">
Fra Narval del 31/05/26. 
Portes: 404,67€.
Domiciliado: </t>
        </r>
      </text>
    </comment>
    <comment ref="AG60" authorId="3" shapeId="0" xr:uid="{81F4D188-D5AB-48D0-BFDA-EFE6440643FA}">
      <text>
        <r>
          <rPr>
            <b/>
            <sz val="9"/>
            <color indexed="81"/>
            <rFont val="Tahoma"/>
            <family val="2"/>
          </rPr>
          <t>Fra Nº. 7 Jorge Manuel Haut del 16/10/23.</t>
        </r>
        <r>
          <rPr>
            <sz val="9"/>
            <color indexed="81"/>
            <rFont val="Tahoma"/>
            <family val="2"/>
          </rPr>
          <t xml:space="preserve">
4 corderos: 352,00€. 
Ingresado: 06/11/23.
----------------------------------------------
alfonso:
120 ovejas a 75 Eur/oveja
30 ovejas desecho a 35 Eur/oveja
</t>
        </r>
        <r>
          <rPr>
            <b/>
            <sz val="9"/>
            <color indexed="81"/>
            <rFont val="Tahoma"/>
            <family val="2"/>
          </rPr>
          <t>Fra Nº. 11 Lucia Garcia Cutilla del 09/11/23.</t>
        </r>
        <r>
          <rPr>
            <sz val="9"/>
            <color indexed="81"/>
            <rFont val="Tahoma"/>
            <family val="2"/>
          </rPr>
          <t xml:space="preserve">
120 + 30 ovejas + alimento= 11.055€
Ingresado: 15/11/23.
--------------------------------------------
</t>
        </r>
        <r>
          <rPr>
            <b/>
            <sz val="9"/>
            <color indexed="81"/>
            <rFont val="Tahoma"/>
            <family val="2"/>
          </rPr>
          <t>Fra Nº. 13 Lucia Garcia Cutilla del 09/11/23</t>
        </r>
        <r>
          <rPr>
            <sz val="9"/>
            <color indexed="81"/>
            <rFont val="Tahoma"/>
            <family val="2"/>
          </rPr>
          <t>.
120 + 30 ovejas + alimento= 495€
Ingresado:  15/11/23.
--------------------------------------------</t>
        </r>
      </text>
    </comment>
    <comment ref="AI60" authorId="0" shapeId="0" xr:uid="{58A3BC3F-F95C-4FED-828E-12F4D6F97765}">
      <text>
        <r>
          <rPr>
            <b/>
            <sz val="9"/>
            <color indexed="81"/>
            <rFont val="Tahoma"/>
            <family val="2"/>
          </rPr>
          <t xml:space="preserve">Fra 44 Lucia García del 12/01/24.
</t>
        </r>
        <r>
          <rPr>
            <sz val="9"/>
            <color indexed="81"/>
            <rFont val="Tahoma"/>
            <family val="2"/>
          </rPr>
          <t xml:space="preserve">Segundo pago de ovejas: 2.858,90€.
Ingresado: 13/01/24.
</t>
        </r>
      </text>
    </comment>
    <comment ref="AM60" authorId="1" shapeId="0" xr:uid="{9A9C46CD-77D9-4384-B7DA-374C2B1BDB51}">
      <text>
        <r>
          <rPr>
            <sz val="9"/>
            <color indexed="81"/>
            <rFont val="Tahoma"/>
            <family val="2"/>
          </rPr>
          <t xml:space="preserve">
75 venta de 1 borrego Mariano</t>
        </r>
      </text>
    </comment>
    <comment ref="AN60" authorId="1" shapeId="0" xr:uid="{FF58F0E6-E6F9-439D-94F6-6D79EAEE79B7}">
      <text>
        <r>
          <rPr>
            <sz val="9"/>
            <color indexed="81"/>
            <rFont val="Tahoma"/>
            <family val="2"/>
          </rPr>
          <t>900 venta 11 borregos a 82 Eur</t>
        </r>
      </text>
    </comment>
    <comment ref="AY60" authorId="1" shapeId="0" xr:uid="{51D66F3B-728D-439D-998C-DDEB2E42EDFF}">
      <text>
        <r>
          <rPr>
            <b/>
            <sz val="9"/>
            <color indexed="81"/>
            <rFont val="Tahoma"/>
            <family val="2"/>
          </rPr>
          <t>Alfonso Carmona:</t>
        </r>
        <r>
          <rPr>
            <sz val="9"/>
            <color indexed="81"/>
            <rFont val="Tahoma"/>
            <family val="2"/>
          </rPr>
          <t xml:space="preserve">
180 entran en caja por venta 3 borregos a Modesto</t>
        </r>
      </text>
    </comment>
    <comment ref="BB60" authorId="2" shapeId="0" xr:uid="{F2496E28-8940-4B97-A219-77AC6DFBBBA6}">
      <text>
        <r>
          <rPr>
            <b/>
            <sz val="9"/>
            <color indexed="81"/>
            <rFont val="Tahoma"/>
            <family val="2"/>
          </rPr>
          <t>Maria:</t>
        </r>
        <r>
          <rPr>
            <sz val="9"/>
            <color indexed="81"/>
            <rFont val="Tahoma"/>
            <family val="2"/>
          </rPr>
          <t xml:space="preserve">
Fra Nº 127 del 02/04/2025. 
Venta ovejas: 1.232,00€.
Abono: 08/04/2025.</t>
        </r>
      </text>
    </comment>
    <comment ref="BM60" authorId="1" shapeId="0" xr:uid="{D8FC4C36-7637-46FA-A5FD-DD6C8D5A0D4B}">
      <text>
        <r>
          <rPr>
            <sz val="9"/>
            <color indexed="81"/>
            <rFont val="Tahoma"/>
            <family val="2"/>
          </rPr>
          <t>Venta borregos 105 eur/borrego x 3 borregos + 50 de uno pequeño, a caja el 17/12/25</t>
        </r>
      </text>
    </comment>
    <comment ref="BO60" authorId="1" shapeId="0" xr:uid="{10C3DB26-6B2F-44BE-9C54-88F20BA3893F}">
      <text>
        <r>
          <rPr>
            <sz val="9"/>
            <color indexed="81"/>
            <rFont val="Tahoma"/>
            <family val="2"/>
          </rPr>
          <t>venta 4 borregos, a caja el 26.2.26</t>
        </r>
      </text>
    </comment>
    <comment ref="BQ60" authorId="1" shapeId="0" xr:uid="{A4102B71-9D7E-47C6-8712-0C4959DD14C3}">
      <text>
        <r>
          <rPr>
            <sz val="9"/>
            <color indexed="81"/>
            <rFont val="Tahoma"/>
            <family val="2"/>
          </rPr>
          <t>venta 11 borregos, a caja el 9/4/26</t>
        </r>
      </text>
    </comment>
    <comment ref="DC60" authorId="4" shapeId="0" xr:uid="{C108A014-1B4B-432A-8A47-0AA5EF36CE9F}">
      <text>
        <r>
          <rPr>
            <sz val="9"/>
            <color indexed="81"/>
            <rFont val="Tahoma"/>
            <family val="2"/>
          </rPr>
          <t>Info ALF 12/01/23: ponerlo en negativo en febrero, pues tiene que salir. Ya os digo como, supongo que con factura de abono y transferencia de vuelta.</t>
        </r>
      </text>
    </comment>
    <comment ref="B63" authorId="3" shapeId="0" xr:uid="{0CE790FE-A492-43E5-A42A-DE16FB954598}">
      <text>
        <r>
          <rPr>
            <u/>
            <sz val="9"/>
            <color indexed="81"/>
            <rFont val="Tahoma"/>
            <family val="2"/>
          </rPr>
          <t xml:space="preserve">Junta de Andalucía (subvencion Covid)
</t>
        </r>
        <r>
          <rPr>
            <sz val="9"/>
            <color indexed="81"/>
            <rFont val="Tahoma"/>
            <family val="2"/>
          </rPr>
          <t xml:space="preserve">Entidad gestora: Asaja
Cantidad concedida: 3600
Fecha de pagos: sin designar
</t>
        </r>
      </text>
    </comment>
    <comment ref="AH68" authorId="0" shapeId="0" xr:uid="{3E801EDE-E2F3-4E47-9E98-139B61FB3DD4}">
      <text>
        <r>
          <rPr>
            <b/>
            <sz val="9"/>
            <color indexed="81"/>
            <rFont val="Tahoma"/>
            <family val="2"/>
          </rPr>
          <t>Fra Servivet del 14/12/23.
Vacuna ovejas: 49,50 
Cargado: 18/12/23</t>
        </r>
      </text>
    </comment>
    <comment ref="AM68" authorId="4" shapeId="0" xr:uid="{41A3492F-2466-4681-B204-6F8B423888E0}">
      <text>
        <r>
          <rPr>
            <sz val="9"/>
            <color indexed="81"/>
            <rFont val="Tahoma"/>
            <family val="2"/>
          </rPr>
          <t>Fra Servivet del 20/05/24.
16,50€: 33 ovejas vacunadas baskilla y pulmonía
16,50€: Realizar transferencia, OK ALF
Transferencia por el total 298,10€ realizada el 29/05/24</t>
        </r>
      </text>
    </comment>
    <comment ref="AY68" authorId="2" shapeId="0" xr:uid="{EA4FABF2-BB71-466A-8D9A-A3EBC61D4BAD}">
      <text>
        <r>
          <rPr>
            <b/>
            <sz val="9"/>
            <color indexed="81"/>
            <rFont val="Tahoma"/>
            <family val="2"/>
          </rPr>
          <t>Maria:</t>
        </r>
        <r>
          <rPr>
            <sz val="9"/>
            <color indexed="81"/>
            <rFont val="Tahoma"/>
            <family val="2"/>
          </rPr>
          <t xml:space="preserve">
Fra Servivet 14/01/25. 
Medicinas: 57,20€.
Pendiente realizar transferencia. 
Transf. Caixa x el total 125,40€ realizada el 29/01/25</t>
        </r>
      </text>
    </comment>
    <comment ref="BF68" authorId="2" shapeId="0" xr:uid="{0046E42B-8AEA-455F-9DBE-E2049B99C99E}">
      <text>
        <r>
          <rPr>
            <b/>
            <sz val="9"/>
            <color indexed="81"/>
            <rFont val="Tahoma"/>
            <family val="2"/>
          </rPr>
          <t>Maria:</t>
        </r>
        <r>
          <rPr>
            <sz val="9"/>
            <color indexed="81"/>
            <rFont val="Tahoma"/>
            <family val="2"/>
          </rPr>
          <t xml:space="preserve">
Fra Servivet del 14/07/25.
Vacunas: 72,60€.
Transf. Caixa x el total 419,09€ realizada el 01/08/25
-----------------------------------
Fra Servivet del 17/06/25.
Vacunas: 22,00€.
Transf. Caixa x el total 419,09€ realizada el 01/08/25
-----------------------------------</t>
        </r>
      </text>
    </comment>
    <comment ref="AG72" authorId="0" shapeId="0" xr:uid="{AFB35163-0A9D-4C77-B78D-62DE0FCFA5D6}">
      <text>
        <r>
          <rPr>
            <b/>
            <sz val="9"/>
            <color indexed="81"/>
            <rFont val="Tahoma"/>
            <family val="2"/>
          </rPr>
          <t xml:space="preserve">Fra Prado Rey del 10/10/23.
</t>
        </r>
        <r>
          <rPr>
            <sz val="9"/>
            <color indexed="81"/>
            <rFont val="Tahoma"/>
            <family val="2"/>
          </rPr>
          <t>Comision venta ovejas: 363,84€. 
Transferencia realizada el 14/11/23.</t>
        </r>
      </text>
    </comment>
    <comment ref="BD72" authorId="1" shapeId="0" xr:uid="{0430C449-D925-4CF8-801A-DAAC7511ADFF}">
      <text>
        <r>
          <rPr>
            <b/>
            <sz val="9"/>
            <color indexed="81"/>
            <rFont val="Tahoma"/>
            <family val="2"/>
          </rPr>
          <t xml:space="preserve">Venta de borregos de Mariano facturados por NA: 
</t>
        </r>
        <r>
          <rPr>
            <sz val="9"/>
            <color indexed="81"/>
            <rFont val="Tahoma"/>
            <family val="2"/>
          </rPr>
          <t>120 de caja</t>
        </r>
      </text>
    </comment>
    <comment ref="AH78" authorId="2" shapeId="0" xr:uid="{2CE6F590-C603-46E6-AA9E-828D2F0CC2D3}">
      <text>
        <r>
          <rPr>
            <b/>
            <sz val="9"/>
            <color indexed="81"/>
            <rFont val="Tahoma"/>
            <family val="2"/>
          </rPr>
          <t>Maria:</t>
        </r>
        <r>
          <rPr>
            <sz val="9"/>
            <color indexed="81"/>
            <rFont val="Tahoma"/>
            <family val="2"/>
          </rPr>
          <t xml:space="preserve">
Fra N93 de NC </t>
        </r>
      </text>
    </comment>
    <comment ref="AO78" authorId="2" shapeId="0" xr:uid="{99C92940-F56E-4A3F-97F0-67943D843D30}">
      <text>
        <r>
          <rPr>
            <b/>
            <sz val="9"/>
            <color indexed="81"/>
            <rFont val="Tahoma"/>
            <family val="2"/>
          </rPr>
          <t>Maria:</t>
        </r>
        <r>
          <rPr>
            <sz val="9"/>
            <color indexed="81"/>
            <rFont val="Tahoma"/>
            <family val="2"/>
          </rPr>
          <t xml:space="preserve">
Fra Cereales mendez del 20/06/24.
Transferencia realizada el 05/07/24</t>
        </r>
      </text>
    </comment>
    <comment ref="AP78" authorId="2" shapeId="0" xr:uid="{7FDDB3AA-E3B7-43A9-ACEA-F927251E3DCF}">
      <text>
        <r>
          <rPr>
            <b/>
            <sz val="9"/>
            <color indexed="81"/>
            <rFont val="Tahoma"/>
            <family val="2"/>
          </rPr>
          <t>Maria:</t>
        </r>
        <r>
          <rPr>
            <sz val="9"/>
            <color indexed="81"/>
            <rFont val="Tahoma"/>
            <family val="2"/>
          </rPr>
          <t xml:space="preserve">
Fra N.º 93 de NC del 30/10/24. 
Cebada: 6.355,44€. 
Cebada: 6.379,12€. 
Transferencia realizada el. 
---------------------------------------
Fra N.º 104 de NC del 19/02/24. 
Cebada: 6.164,32€.
---------------------------------------
Fra N.º 106 de NC del 14/02/24. 
Cebada: 9.023,85€
---------------------------------------</t>
        </r>
      </text>
    </comment>
    <comment ref="AV78" authorId="2" shapeId="0" xr:uid="{C6C7D831-7042-4A2C-86BA-2F7D75BC36E7}">
      <text>
        <r>
          <rPr>
            <b/>
            <sz val="9"/>
            <color indexed="81"/>
            <rFont val="Tahoma"/>
            <family val="2"/>
          </rPr>
          <t>Maria:</t>
        </r>
        <r>
          <rPr>
            <sz val="9"/>
            <color indexed="81"/>
            <rFont val="Tahoma"/>
            <family val="2"/>
          </rPr>
          <t xml:space="preserve">
</t>
        </r>
        <r>
          <rPr>
            <b/>
            <sz val="9"/>
            <color indexed="81"/>
            <rFont val="Tahoma"/>
            <family val="2"/>
          </rPr>
          <t>Fra cereales Mendez del 01/10/24.</t>
        </r>
        <r>
          <rPr>
            <sz val="9"/>
            <color indexed="81"/>
            <rFont val="Tahoma"/>
            <family val="2"/>
          </rPr>
          <t xml:space="preserve">
Cebada: 5.834,73€
Transferencia realizada el 24/10/24.</t>
        </r>
      </text>
    </comment>
    <comment ref="AZ78" authorId="4" shapeId="0" xr:uid="{3C0958C3-00A5-42BF-AC70-9A65309B3F93}">
      <text>
        <r>
          <rPr>
            <b/>
            <sz val="9"/>
            <color indexed="81"/>
            <rFont val="Tahoma"/>
            <family val="2"/>
          </rPr>
          <t>Maria:</t>
        </r>
        <r>
          <rPr>
            <sz val="9"/>
            <color indexed="81"/>
            <rFont val="Tahoma"/>
            <family val="2"/>
          </rPr>
          <t xml:space="preserve">
Fra Cereales Mendez del 16/01/25.
Cebada: 6.676,86€.
28/01/25: OK ALF esperar para pagar
07/02/25: OK ALF pagar esta fra la próxima semana
Transferencia realizada: 11/02/25</t>
        </r>
      </text>
    </comment>
    <comment ref="BF78" authorId="2" shapeId="0" xr:uid="{9FE1AEB7-5D9C-4605-981B-E1B699FAD644}">
      <text>
        <r>
          <rPr>
            <b/>
            <sz val="9"/>
            <color indexed="81"/>
            <rFont val="Tahoma"/>
            <family val="2"/>
          </rPr>
          <t>Maria:</t>
        </r>
        <r>
          <rPr>
            <sz val="9"/>
            <color indexed="81"/>
            <rFont val="Tahoma"/>
            <family val="2"/>
          </rPr>
          <t xml:space="preserve">
Pedido agroquivir, pendiente recibir factura: 5.720,00€.
Fra Agroquivir del 27/06/25.
Cebada: 6.017,44€
Transf. Caixa realizada el 04/08/25 </t>
        </r>
      </text>
    </comment>
    <comment ref="BK78" authorId="2" shapeId="0" xr:uid="{A48DE118-BB0B-489A-A274-8D370E11B944}">
      <text>
        <r>
          <rPr>
            <b/>
            <sz val="9"/>
            <color indexed="81"/>
            <rFont val="Tahoma"/>
            <family val="2"/>
          </rPr>
          <t>Maria:</t>
        </r>
        <r>
          <rPr>
            <sz val="9"/>
            <color indexed="81"/>
            <rFont val="Tahoma"/>
            <family val="2"/>
          </rPr>
          <t xml:space="preserve">
Fra Agroquivir del 05/09/25.
Cebada: 5.413,82€. 
Pendiente. 
Transf. Caixa realizada el 15/10/25</t>
        </r>
      </text>
    </comment>
    <comment ref="BL78" authorId="1" shapeId="0" xr:uid="{2B40DD77-E93F-45C6-B42D-9A7CFA4C69B0}">
      <text>
        <r>
          <rPr>
            <sz val="9"/>
            <color indexed="81"/>
            <rFont val="Tahoma"/>
            <family val="2"/>
          </rPr>
          <t>Fra Cereales Mendez del 17/10/25.
Guisantes+avena por un total de 6758,67€. 
Transderencia realizada el 07/11/25
Cantidad dividida entre celdas de leguminosa (Gisante) y cereal (Avena)
De esta cantidad que son 9,64 TON de avena a 225 Eur /ton, nos llevamos 3,64 TON a siembra, ya que se destinaron a este concepto.</t>
        </r>
      </text>
    </comment>
    <comment ref="BR78" authorId="2" shapeId="0" xr:uid="{5CBE7ACC-D690-455B-B5A1-3B9289B54347}">
      <text>
        <r>
          <rPr>
            <b/>
            <sz val="9"/>
            <color indexed="81"/>
            <rFont val="Tahoma"/>
            <family val="2"/>
          </rPr>
          <t>Maria:</t>
        </r>
        <r>
          <rPr>
            <sz val="9"/>
            <color indexed="81"/>
            <rFont val="Tahoma"/>
            <family val="2"/>
          </rPr>
          <t xml:space="preserve">
Fra Cereales mendel del 23/04/26. 
Trigo: 6872,20€.
Transferencia pendiente
Transf. Caixa realizada el 22/05/26</t>
        </r>
      </text>
    </comment>
    <comment ref="DC78" authorId="3" shapeId="0" xr:uid="{ED07ACB4-C194-426A-932B-651F4F0E87B4}">
      <text>
        <r>
          <rPr>
            <sz val="8"/>
            <color indexed="81"/>
            <rFont val="Tahoma"/>
            <family val="2"/>
          </rPr>
          <t xml:space="preserve">Ecorganic green: Fra. 13/12/19:
1677,06€: 3 depositos de ecosol 3960kg VTO 25/12/19 domic. Llegara el 25/1.
</t>
        </r>
        <r>
          <rPr>
            <b/>
            <sz val="8"/>
            <color indexed="81"/>
            <rFont val="Tahoma"/>
            <family val="2"/>
          </rPr>
          <t>ELIMINADA DE CONTA EN CIERRE 31.8.20
-----------</t>
        </r>
        <r>
          <rPr>
            <sz val="8"/>
            <color indexed="81"/>
            <rFont val="Tahoma"/>
            <family val="2"/>
          </rPr>
          <t xml:space="preserve">
528€ Prueba de ECOSOL que envio Alberto Cordoba. Sin facturar. Esperar que la envíe. </t>
        </r>
        <r>
          <rPr>
            <b/>
            <sz val="8"/>
            <color indexed="81"/>
            <rFont val="Tahoma"/>
            <family val="2"/>
          </rPr>
          <t xml:space="preserve">
NO HACE FALTA ELIMINAR DE CONTA PQ NO FACTURARON, PERO DAMOS POR ELIMINADO DE TESORERÍA A 31.8.20</t>
        </r>
      </text>
    </comment>
    <comment ref="BK79" authorId="1" shapeId="0" xr:uid="{BEA18633-6B7C-472E-9D71-D4171ABFB041}">
      <text>
        <r>
          <rPr>
            <b/>
            <sz val="9"/>
            <color indexed="81"/>
            <rFont val="Tahoma"/>
            <family val="2"/>
          </rPr>
          <t>Maria:</t>
        </r>
        <r>
          <rPr>
            <sz val="9"/>
            <color indexed="81"/>
            <rFont val="Tahoma"/>
            <family val="2"/>
          </rPr>
          <t xml:space="preserve">
Fra Agroquivir del 05/09/25.
Guisantes: 7.804,99€ 
Transf. Caixa realizada el 15/10/25</t>
        </r>
      </text>
    </comment>
    <comment ref="BL79" authorId="2" shapeId="0" xr:uid="{0C2F2140-74E1-419B-9134-67D712E732A9}">
      <text>
        <r>
          <rPr>
            <b/>
            <sz val="9"/>
            <color indexed="81"/>
            <rFont val="Tahoma"/>
            <family val="2"/>
          </rPr>
          <t>Maria:</t>
        </r>
        <r>
          <rPr>
            <sz val="9"/>
            <color indexed="81"/>
            <rFont val="Tahoma"/>
            <family val="2"/>
          </rPr>
          <t xml:space="preserve">
Fra Cereales Mendez del 17/10/25.
Guisantes+avena por un total de 6758,67€. 
Transderencia realizada el 07/11/25
Cantidad dividida entre celdas de leguminosa (Gisante) y cereal (Avena)</t>
        </r>
      </text>
    </comment>
    <comment ref="AE80" authorId="3" shapeId="0" xr:uid="{00F90EDD-96E3-4E99-BCA8-DD468B0D2608}">
      <text>
        <r>
          <rPr>
            <b/>
            <sz val="9"/>
            <color indexed="81"/>
            <rFont val="Tahoma"/>
            <family val="2"/>
          </rPr>
          <t>alfonso:</t>
        </r>
        <r>
          <rPr>
            <sz val="9"/>
            <color indexed="81"/>
            <rFont val="Tahoma"/>
            <family val="2"/>
          </rPr>
          <t xml:space="preserve">
Previsones compras de pestaña calculos alimento
------------------------------------------------------------------</t>
        </r>
        <r>
          <rPr>
            <sz val="9"/>
            <color indexed="81"/>
            <rFont val="Tahoma"/>
            <family val="2"/>
          </rPr>
          <t xml:space="preserve">
1.350,00€: Anticipo a Ovipor por compra de capota de Almendra. (sustituto de la paja)
Transferencia realizada el 15/09/23.
</t>
        </r>
      </text>
    </comment>
    <comment ref="AF80" authorId="3" shapeId="0" xr:uid="{E481F341-6B7E-4C6C-845C-A8783F990964}">
      <text>
        <r>
          <rPr>
            <sz val="9"/>
            <color indexed="81"/>
            <rFont val="Tahoma"/>
            <family val="2"/>
          </rPr>
          <t xml:space="preserve">alfonso:
Previsones compras de pestaña calculos alimento
--------------
193500 Kg de paja comprada a Herederos y otros de finca Aljabara a pagar en 3 meses, por un total de 11000 Eur
-----------------
2 camiones de transporte paja pendientes que seguramente los haga Francisco Paulino a 600,00 eur /viaje
</t>
        </r>
        <r>
          <rPr>
            <sz val="9"/>
            <color indexed="81"/>
            <rFont val="Tahoma"/>
            <family val="2"/>
          </rPr>
          <t xml:space="preserve">
--------------------
</t>
        </r>
        <r>
          <rPr>
            <b/>
            <sz val="9"/>
            <color indexed="81"/>
            <rFont val="Tahoma"/>
            <family val="2"/>
          </rPr>
          <t>Fra Jose Manuel Gonzalez del 28/09/23.</t>
        </r>
        <r>
          <rPr>
            <sz val="9"/>
            <color indexed="81"/>
            <rFont val="Tahoma"/>
            <family val="2"/>
          </rPr>
          <t xml:space="preserve">
Capota del Almendra: 1.674,36€.
Transferencia realizada el 04/10/23.
--------------------------------------------------</t>
        </r>
        <r>
          <rPr>
            <b/>
            <sz val="9"/>
            <color indexed="81"/>
            <rFont val="Tahoma"/>
            <family val="2"/>
          </rPr>
          <t xml:space="preserve">
Fra Jose Manuel Gonzalez del 30/09/23.</t>
        </r>
        <r>
          <rPr>
            <sz val="9"/>
            <color indexed="81"/>
            <rFont val="Tahoma"/>
            <family val="2"/>
          </rPr>
          <t xml:space="preserve">
Capota del Almendra: 1.848,00€.
Transferencia realizada el 04/10/23.
-----------------------------------------------------
5 camiones de transporte paja a Francisco Paulino (600,00 eur /viaje) y tres ya hechos hechos ptes de facturar a N Agri.
</t>
        </r>
        <r>
          <rPr>
            <b/>
            <sz val="9"/>
            <color indexed="81"/>
            <rFont val="Tahoma"/>
            <family val="2"/>
          </rPr>
          <t>Fra Transportes francisco paulino del 09/09/23</t>
        </r>
        <r>
          <rPr>
            <sz val="9"/>
            <color indexed="81"/>
            <rFont val="Tahoma"/>
            <family val="2"/>
          </rPr>
          <t>.
3 viajes: 1.800,00€.
Transferencia realizada el 04/10/23.
----------------------------------------------------------
1 camion de transporte paja a Agencia puente ya realizados y pte de fra a N.Agri (420 Eur/viaje) 
-----------------------------------------------------------</t>
        </r>
        <r>
          <rPr>
            <sz val="9"/>
            <color indexed="81"/>
            <rFont val="Tahoma"/>
            <family val="2"/>
          </rPr>
          <t xml:space="preserve">
</t>
        </r>
      </text>
    </comment>
    <comment ref="AG80" authorId="3" shapeId="0" xr:uid="{7CEFF8FE-94C3-467A-8C95-0FC2D7A06FF2}">
      <text>
        <r>
          <rPr>
            <sz val="9"/>
            <color indexed="81"/>
            <rFont val="Tahoma"/>
            <family val="2"/>
          </rPr>
          <t>-1.350,00€: devolucion de anticipo a Ovipor por compra de capota de Almendra. (sustituto de la paja)
Transferencia realizada el 15/09/23. que no nos la sirvió
Abono: 15/11/23
----------------------------------------------------------------------
alfonso:
Previsones compras de pestaña calculos alimento
---------------------------------------------------------------------
3000,00€: prevision de octubre (son dos facturas de agroquivir que aun no hemos recibido).
---------------------------------------------------------------------
193500 Kg de paja comprada a Herederos y otros de finca Aljabara a pagar en 3 meses, por un total de 11000 Eur
-----------------</t>
        </r>
        <r>
          <rPr>
            <b/>
            <sz val="9"/>
            <color indexed="81"/>
            <rFont val="Tahoma"/>
            <family val="2"/>
          </rPr>
          <t xml:space="preserve">
Fra Agencia Puente del 25/09/23.</t>
        </r>
        <r>
          <rPr>
            <sz val="9"/>
            <color indexed="81"/>
            <rFont val="Tahoma"/>
            <family val="2"/>
          </rPr>
          <t xml:space="preserve">
Transporte paja: 508,2€. 
Pendiente realizart transferencia.
--------------------------------------------------------
</t>
        </r>
        <r>
          <rPr>
            <b/>
            <sz val="9"/>
            <color indexed="81"/>
            <rFont val="Tahoma"/>
            <family val="2"/>
          </rPr>
          <t>Fra Agencia Puente del 18/09/23.</t>
        </r>
        <r>
          <rPr>
            <sz val="9"/>
            <color indexed="81"/>
            <rFont val="Tahoma"/>
            <family val="2"/>
          </rPr>
          <t xml:space="preserve">
Transporte paja fuentes a santa barbara: 508,20€ 
Pendiente realizar transferencia. 
--------------------------------------------------------
</t>
        </r>
        <r>
          <rPr>
            <b/>
            <sz val="9"/>
            <color indexed="81"/>
            <rFont val="Tahoma"/>
            <family val="2"/>
          </rPr>
          <t>Fra Francisco Pulino pendiente de recibir del 03/09/23.</t>
        </r>
        <r>
          <rPr>
            <sz val="9"/>
            <color indexed="81"/>
            <rFont val="Tahoma"/>
            <family val="2"/>
          </rPr>
          <t xml:space="preserve">
Tranporte paja:600,00€. 
Pendiente realizar transferencia.
---------------------------------------------------------
</t>
        </r>
        <r>
          <rPr>
            <sz val="9"/>
            <color indexed="81"/>
            <rFont val="Tahoma"/>
            <family val="2"/>
          </rPr>
          <t xml:space="preserve">
</t>
        </r>
      </text>
    </comment>
    <comment ref="AH80" authorId="3" shapeId="0" xr:uid="{274E6ECD-25BC-4D04-A714-3A5218E23E60}">
      <text>
        <r>
          <rPr>
            <sz val="9"/>
            <color indexed="81"/>
            <rFont val="Tahoma"/>
            <family val="2"/>
          </rPr>
          <t xml:space="preserve">
</t>
        </r>
        <r>
          <rPr>
            <b/>
            <sz val="9"/>
            <color indexed="81"/>
            <rFont val="Tahoma"/>
            <family val="2"/>
          </rPr>
          <t>FACTURA 95 del 27/10/23 de NC:</t>
        </r>
        <r>
          <rPr>
            <sz val="9"/>
            <color indexed="81"/>
            <rFont val="Tahoma"/>
            <family val="2"/>
          </rPr>
          <t xml:space="preserve">
Fra Agroquivir del 30/10/23.
Hoja de Olivo: 1.422,85€
Pndte realizar transferencia
1.422,85€: Transferencia Caixa realizada por el total 16.931,25€ el 20/12/23
------------------------------------------------------
</t>
        </r>
        <r>
          <rPr>
            <b/>
            <sz val="9"/>
            <color indexed="81"/>
            <rFont val="Tahoma"/>
            <family val="2"/>
          </rPr>
          <t>Fra Agencia Puente del 25/09/23.</t>
        </r>
        <r>
          <rPr>
            <sz val="9"/>
            <color indexed="81"/>
            <rFont val="Tahoma"/>
            <family val="2"/>
          </rPr>
          <t xml:space="preserve">
Transporte paja: 508,2€. 
Pendiente realizart transferencia.
Transf. Caixa realizada por el total 1.016,40€ el 18/12/23
--------------------------------------------------------
</t>
        </r>
        <r>
          <rPr>
            <b/>
            <sz val="9"/>
            <color indexed="81"/>
            <rFont val="Tahoma"/>
            <family val="2"/>
          </rPr>
          <t>Fra Agencia Puente del 18/09/23.</t>
        </r>
        <r>
          <rPr>
            <sz val="9"/>
            <color indexed="81"/>
            <rFont val="Tahoma"/>
            <family val="2"/>
          </rPr>
          <t xml:space="preserve">
Transporte paja fuentes a santa barbara: 508,20€ 
Pendiente realizar transferencia. 
Transf. Caixa realizada por el total 1.016,40€ el 18/12/23
--------------------------------------------------------</t>
        </r>
        <r>
          <rPr>
            <sz val="9"/>
            <color indexed="81"/>
            <rFont val="Tahoma"/>
            <family val="2"/>
          </rPr>
          <t xml:space="preserve">
</t>
        </r>
        <r>
          <rPr>
            <b/>
            <sz val="9"/>
            <color indexed="81"/>
            <rFont val="Tahoma"/>
            <family val="2"/>
          </rPr>
          <t>FACTURA 96 del 27/11/23 de NC:</t>
        </r>
        <r>
          <rPr>
            <sz val="9"/>
            <color indexed="81"/>
            <rFont val="Tahoma"/>
            <family val="2"/>
          </rPr>
          <t xml:space="preserve">
Fra Ovipor del 26/10/23: 1853,50€. 
Fra Ovipor del 26/10/23: 1.623,60€.
Pndte realizar transferencia.
3.477,10€: Transferencia Caixa realizada por el total 16.931,25€ el 20/12/23
---------------------------------------------------------</t>
        </r>
      </text>
    </comment>
    <comment ref="AI80" authorId="0" shapeId="0" xr:uid="{9538A21A-0E57-4DD7-8523-FF85BA54E278}">
      <text>
        <r>
          <rPr>
            <b/>
            <sz val="9"/>
            <color indexed="81"/>
            <rFont val="Tahoma"/>
            <family val="2"/>
          </rPr>
          <t xml:space="preserve">Fra Abonos Jose Ramon Jimenez del 18/12/23.
</t>
        </r>
        <r>
          <rPr>
            <sz val="9"/>
            <color indexed="81"/>
            <rFont val="Tahoma"/>
            <family val="2"/>
          </rPr>
          <t>Hola de Olivo: 1.450,59€. 
Transferencia realizada el 11/01/24.
-----------------------------------------------------</t>
        </r>
        <r>
          <rPr>
            <b/>
            <sz val="9"/>
            <color indexed="81"/>
            <rFont val="Tahoma"/>
            <family val="2"/>
          </rPr>
          <t xml:space="preserve">
Fra Abonos Jose Ramon Jimenez del 18/12/23.
</t>
        </r>
        <r>
          <rPr>
            <sz val="9"/>
            <color indexed="81"/>
            <rFont val="Tahoma"/>
            <family val="2"/>
          </rPr>
          <t>Transporte: 387,20€. 
Transferencia realizada el 11/01/24. 
-----------------------------------------------------</t>
        </r>
      </text>
    </comment>
    <comment ref="AJ80" authorId="0" shapeId="0" xr:uid="{E15AD909-2BC5-4606-87B2-0D32A99E1DC7}">
      <text>
        <r>
          <rPr>
            <b/>
            <sz val="9"/>
            <color indexed="81"/>
            <rFont val="Tahoma"/>
            <family val="2"/>
          </rPr>
          <t>Fra Francisco Pulino pendiente de recibir del 11/02/24.</t>
        </r>
        <r>
          <rPr>
            <sz val="9"/>
            <color indexed="81"/>
            <rFont val="Tahoma"/>
            <family val="2"/>
          </rPr>
          <t xml:space="preserve">
Tranporte paja:600,00€. 
OK ALF realizar transferencia.
Transferencia Caixa realizada el 21/02/24
-----------------------------------------------------</t>
        </r>
      </text>
    </comment>
    <comment ref="AN80" authorId="0" shapeId="0" xr:uid="{0FDE9C53-3B80-47EC-B791-F9A5EBE7BA79}">
      <text>
        <r>
          <rPr>
            <sz val="9"/>
            <color indexed="81"/>
            <rFont val="Tahoma"/>
            <family val="2"/>
          </rPr>
          <t xml:space="preserve">Factura herederos de carmona Viñau del 14/06/24.
Paja: 4.836,49€ 
Transferencia Caixa realizadas el 25/06/24
----------------------------------------
Facturas Pilar, Cristina e Isabel carmona viñau del 14/06/24.
Paja: 1155 + 330 + 2640.
Transferencias Caixa realizadas el 25/06/24
-------------------------------------------
</t>
        </r>
      </text>
    </comment>
    <comment ref="AP80" authorId="0" shapeId="0" xr:uid="{20CA0055-1274-43BB-91C1-C44DA1F633E0}">
      <text>
        <r>
          <rPr>
            <sz val="9"/>
            <color indexed="81"/>
            <rFont val="Tahoma"/>
            <family val="2"/>
          </rPr>
          <t>Previsión de 3.666,67€.
Fra Hnos Gómez Fuentes del 09/08/24:
4.182,75€: Empacado de la paja de Herederos y Hnos Carmona Viñau campaña 2023
4.182,75€: OK ALF 14/08/24 Pndte realizar transferencia
Transf. Caixa realizada el 22/08/24</t>
        </r>
      </text>
    </comment>
    <comment ref="BB80" authorId="2" shapeId="0" xr:uid="{FE38B9FE-1D04-4754-8F12-84F96CAB797D}">
      <text>
        <r>
          <rPr>
            <b/>
            <sz val="9"/>
            <color indexed="81"/>
            <rFont val="Tahoma"/>
            <family val="2"/>
          </rPr>
          <t>Maria:</t>
        </r>
        <r>
          <rPr>
            <sz val="9"/>
            <color indexed="81"/>
            <rFont val="Tahoma"/>
            <family val="2"/>
          </rPr>
          <t xml:space="preserve">
Maria:
Fra Nº 108 de NC. 
Por pago Fra agricola Garcia Ramirez del 31/03/24.
1.974,50€: Realizar transf. Caixa: Antes del 11/10/24.
1.974,50€: Transf. Caixa realizada por el total 14.448,58€ el 16/04/25</t>
        </r>
      </text>
    </comment>
    <comment ref="BM80" authorId="2" shapeId="0" xr:uid="{8D2BE58B-0783-4031-A973-B456D576C21E}">
      <text>
        <r>
          <rPr>
            <sz val="9"/>
            <color indexed="81"/>
            <rFont val="Tahoma"/>
            <family val="2"/>
          </rPr>
          <t xml:space="preserve">Paja Aljabara 2024
441 Herederos de Carmona Viñau 
Paja Aljabara 2025
243,2 Herederos de Carmona Viñau 
Pago de la factura de Herederos (+iva -IRPF) desde Caja Rural el 13.12.25 por 750,98 Eu
Fra Herederos de carmona Viñau del 12/12/25.
</t>
        </r>
      </text>
    </comment>
    <comment ref="BS80" authorId="2" shapeId="0" xr:uid="{6E1C7975-0B94-4B28-AE07-DA5E09B3B7D7}">
      <text>
        <r>
          <rPr>
            <b/>
            <sz val="9"/>
            <color indexed="81"/>
            <rFont val="Tahoma"/>
            <family val="2"/>
          </rPr>
          <t>Maria:</t>
        </r>
        <r>
          <rPr>
            <sz val="9"/>
            <color indexed="81"/>
            <rFont val="Tahoma"/>
            <family val="2"/>
          </rPr>
          <t xml:space="preserve">
Maria:
Paja Aljabara 2024
90 Pilar Carmona Viñau
615 Cristina Carmona Viñau
1290 Isabel Carmona Viñau
270,9 Reyes Carmona Viñau
Paja Aljabara 2025
108 Pilar Carmona Viñau
350 Cristina Carmona Viñau
840 Isabel Carmona Viñau
201,6 Reyes Carmona Viñau 
La Paja de 2025 se vende en campo y se cobra casi lo mismo por caja: 
86 Has a 20 EUr/Ha = 1720 que entraran en caja
</t>
        </r>
      </text>
    </comment>
    <comment ref="BJ81" authorId="2" shapeId="0" xr:uid="{DC300904-B4EE-410C-BA28-CBA625E54E18}">
      <text>
        <r>
          <rPr>
            <b/>
            <sz val="9"/>
            <color indexed="81"/>
            <rFont val="Tahoma"/>
            <family val="2"/>
          </rPr>
          <t>Maria:</t>
        </r>
        <r>
          <rPr>
            <sz val="9"/>
            <color indexed="81"/>
            <rFont val="Tahoma"/>
            <family val="2"/>
          </rPr>
          <t xml:space="preserve">
Fra Nanta del 29/08/25. 
Pienso lechones y marranos. 
Domiciliado: 03/09/25</t>
        </r>
      </text>
    </comment>
    <comment ref="AW82" authorId="2" shapeId="0" xr:uid="{36E45372-7F2E-452C-A0EA-0410D55AD457}">
      <text>
        <r>
          <rPr>
            <b/>
            <sz val="9"/>
            <color indexed="81"/>
            <rFont val="Tahoma"/>
            <family val="2"/>
          </rPr>
          <t>Maria:</t>
        </r>
        <r>
          <rPr>
            <sz val="9"/>
            <color indexed="81"/>
            <rFont val="Tahoma"/>
            <family val="2"/>
          </rPr>
          <t xml:space="preserve">
Fra Nanta del 22/10/24.
Pienso: 2.015,60€
Vencimiento: 01/11/24</t>
        </r>
      </text>
    </comment>
    <comment ref="BB82" authorId="2" shapeId="0" xr:uid="{6BB4664F-AB74-455B-92D2-4DFD275D81FB}">
      <text>
        <r>
          <rPr>
            <b/>
            <sz val="9"/>
            <color indexed="81"/>
            <rFont val="Tahoma"/>
            <family val="2"/>
          </rPr>
          <t>Maria:</t>
        </r>
        <r>
          <rPr>
            <sz val="9"/>
            <color indexed="81"/>
            <rFont val="Tahoma"/>
            <family val="2"/>
          </rPr>
          <t xml:space="preserve">
FACTURA 110 del 26/08/24 de NC:
Por pago Fras Nanta del 21/06/24.
Pienso marrano 12.760 kg: 4.377,97€
Pienso lechón 3000 kg: 1.460,05€
5.838,02 E: Realizar transf. Caixa: Antes del 29/10/24.
5.838,02€: Transf. Caixa realizada por el total 14.448,58€ el 16/04/25
</t>
        </r>
      </text>
    </comment>
    <comment ref="BC82" authorId="2" shapeId="0" xr:uid="{EB25A0C7-9CAA-49B4-AF74-05FED7E836F5}">
      <text>
        <r>
          <rPr>
            <b/>
            <sz val="9"/>
            <color indexed="81"/>
            <rFont val="Tahoma"/>
            <family val="2"/>
          </rPr>
          <t>Maria:</t>
        </r>
        <r>
          <rPr>
            <sz val="9"/>
            <color indexed="81"/>
            <rFont val="Tahoma"/>
            <family val="2"/>
          </rPr>
          <t xml:space="preserve">
Fra Nanta del 14/05/25.
Pienso marranos: 5.474,29€.
Domciliado: 21/05/25</t>
        </r>
      </text>
    </comment>
    <comment ref="BJ82" authorId="2" shapeId="0" xr:uid="{6C052AA6-B66A-4D22-97A9-C23A45AFFD1E}">
      <text>
        <r>
          <rPr>
            <b/>
            <sz val="9"/>
            <color indexed="81"/>
            <rFont val="Tahoma"/>
            <family val="2"/>
          </rPr>
          <t>Maria:</t>
        </r>
        <r>
          <rPr>
            <sz val="9"/>
            <color indexed="81"/>
            <rFont val="Tahoma"/>
            <family val="2"/>
          </rPr>
          <t xml:space="preserve">
Fra Nanta del 29/08/25. 
Pienso lechones y marranos. 
Domiciliado: 03/09/25
</t>
        </r>
      </text>
    </comment>
    <comment ref="BR82" authorId="2" shapeId="0" xr:uid="{78D36634-1E0B-4F72-986A-888931C2D874}">
      <text>
        <r>
          <rPr>
            <b/>
            <sz val="9"/>
            <color indexed="81"/>
            <rFont val="Tahoma"/>
            <family val="2"/>
          </rPr>
          <t>Maria:</t>
        </r>
        <r>
          <rPr>
            <sz val="9"/>
            <color indexed="81"/>
            <rFont val="Tahoma"/>
            <family val="2"/>
          </rPr>
          <t xml:space="preserve">
Fra Nanta del 24/04/26.
Pienso marranos: 5.067,74€. 
Domiciliado: 04/05/26.</t>
        </r>
      </text>
    </comment>
    <comment ref="AO83" authorId="0" shapeId="0" xr:uid="{BCB18650-A7F3-4665-BA9A-2C0E0AAEDAC7}">
      <text>
        <r>
          <rPr>
            <b/>
            <sz val="9"/>
            <color indexed="81"/>
            <rFont val="Tahoma"/>
            <family val="2"/>
          </rPr>
          <t xml:space="preserve">Fra La Casa del Ganadero del 17/07/24. 
</t>
        </r>
        <r>
          <rPr>
            <sz val="9"/>
            <color indexed="81"/>
            <rFont val="Tahoma"/>
            <family val="2"/>
          </rPr>
          <t>Opticar Cebo Harina Granel: 5.836,84€
Transferencia a realizar 
Transf. Caixa realizada el 17/07/24</t>
        </r>
      </text>
    </comment>
    <comment ref="AP83" authorId="0" shapeId="0" xr:uid="{FC0F4E8E-5872-4F95-ABF5-7319D9929C36}">
      <text>
        <r>
          <rPr>
            <b/>
            <sz val="9"/>
            <color indexed="81"/>
            <rFont val="Tahoma"/>
            <family val="2"/>
          </rPr>
          <t xml:space="preserve">FACTURA 103 del 09/02/24 de NC:
</t>
        </r>
        <r>
          <rPr>
            <sz val="9"/>
            <color indexed="81"/>
            <rFont val="Tahoma"/>
            <family val="2"/>
          </rPr>
          <t>Fra Nanta del 06/02/24 : 5.027,48€.
-Fra Nanta: 185,49€
No se corresponde con ninguna prevision. 
4.841,99€: Transf. Caja Rural realizada por el total 8.942,81€ el 21/08/24</t>
        </r>
        <r>
          <rPr>
            <b/>
            <sz val="9"/>
            <color indexed="81"/>
            <rFont val="Tahoma"/>
            <family val="2"/>
          </rPr>
          <t xml:space="preserve">
----------------------------------------------------
FACTURA 100 del 19/01/24 de NC:
</t>
        </r>
        <r>
          <rPr>
            <sz val="9"/>
            <color indexed="81"/>
            <rFont val="Tahoma"/>
            <family val="2"/>
          </rPr>
          <t>Fra Nanta del 17/01/24.
Pienso: 4.100,82€. 
Antes del 22/05/24.
Se corresponde a la prevision de Diciembre. 
4.100,82€: Transf. Caja Rural realizada por el total 8.942,81€ el 21/08/24</t>
        </r>
        <r>
          <rPr>
            <b/>
            <sz val="9"/>
            <color indexed="81"/>
            <rFont val="Tahoma"/>
            <family val="2"/>
          </rPr>
          <t xml:space="preserve">
----------------------------------------
FACTURA 94 del 27/11/23 de NC:
</t>
        </r>
        <r>
          <rPr>
            <sz val="9"/>
            <color indexed="81"/>
            <rFont val="Tahoma"/>
            <family val="2"/>
          </rPr>
          <t>Fra Nanta del 27/10/23.
Pienso: 10.541,75€. 
Antes del 07/03/24.
Se corresponde a la prevision de noviembre. 
10.541,75€: Transf. Caixa realizada por el total 23.276,31€ el 09/08/24</t>
        </r>
      </text>
    </comment>
    <comment ref="AW83" authorId="2" shapeId="0" xr:uid="{0F3A4CE0-46D2-47B6-9A71-8B4491DCC118}">
      <text>
        <r>
          <rPr>
            <b/>
            <sz val="9"/>
            <color indexed="81"/>
            <rFont val="Tahoma"/>
            <family val="2"/>
          </rPr>
          <t>Maria:</t>
        </r>
        <r>
          <rPr>
            <sz val="9"/>
            <color indexed="81"/>
            <rFont val="Tahoma"/>
            <family val="2"/>
          </rPr>
          <t xml:space="preserve">
Fra Nanta del 25/10/24.
Pienso: 9.408,20€
Vencimiento: 01/11/24.</t>
        </r>
      </text>
    </comment>
    <comment ref="AY83" authorId="2" shapeId="0" xr:uid="{6C684F27-CBDA-4748-B403-92F9DA8E51B6}">
      <text>
        <r>
          <rPr>
            <b/>
            <sz val="9"/>
            <color indexed="81"/>
            <rFont val="Tahoma"/>
            <family val="2"/>
          </rPr>
          <t>Maria:</t>
        </r>
        <r>
          <rPr>
            <sz val="9"/>
            <color indexed="81"/>
            <rFont val="Tahoma"/>
            <family val="2"/>
          </rPr>
          <t xml:space="preserve">
Fra Nanta del 20/12/24. 
Comida cochinos: 8315,34€.
Cargado: 02/01/2025
------------------------------------
Fra Nanta del 14/01/25. 
Comida cochinos: 8315,34€.
Domiciliado: 22/01/25</t>
        </r>
      </text>
    </comment>
    <comment ref="AZ83" authorId="2" shapeId="0" xr:uid="{09037876-58B9-417B-9216-D33B0E6E2602}">
      <text>
        <r>
          <rPr>
            <b/>
            <sz val="9"/>
            <color indexed="81"/>
            <rFont val="Tahoma"/>
            <family val="2"/>
          </rPr>
          <t>Maria:</t>
        </r>
        <r>
          <rPr>
            <sz val="9"/>
            <color indexed="81"/>
            <rFont val="Tahoma"/>
            <family val="2"/>
          </rPr>
          <t xml:space="preserve">
Fra Nanta del 31/01/2025.
Pienso montanera:4.157,80€
Domiciliado: 07/02/2025
-------------------------------------
Fra Abono del 31/01/2025: -725,11€
Domiciliado: 07/02/2025
------------------------------------------
Fra Nanta del 05/02/2025.
Pienso montanera:4.252,74€
Domiciliado: 12/02/2025
-------------------------------------
Fra Abono del 05/02/2025: -185,49€
Domiciliado: 12/02/2025
------------------------------------------
</t>
        </r>
      </text>
    </comment>
    <comment ref="BC83" authorId="2" shapeId="0" xr:uid="{00D89ACB-48E9-4FAB-8D8D-414F0A00AD0D}">
      <text>
        <r>
          <rPr>
            <b/>
            <sz val="9"/>
            <color indexed="81"/>
            <rFont val="Tahoma"/>
            <family val="2"/>
          </rPr>
          <t>Maria:</t>
        </r>
        <r>
          <rPr>
            <sz val="9"/>
            <color indexed="81"/>
            <rFont val="Tahoma"/>
            <family val="2"/>
          </rPr>
          <t xml:space="preserve">
Fra Abono del 12/02/2025: -191,47€
Domiciliado: 20/05/25.
--------------------------------------
Fra Abono del 12/02/2025: -191,37€
Domiciliado: 20/05/25
</t>
        </r>
      </text>
    </comment>
    <comment ref="BK83" authorId="2" shapeId="0" xr:uid="{8898E3C2-6F25-4E64-8ABF-C0900ACF00D3}">
      <text>
        <r>
          <rPr>
            <b/>
            <sz val="9"/>
            <color indexed="81"/>
            <rFont val="Tahoma"/>
            <family val="2"/>
          </rPr>
          <t>Maria:</t>
        </r>
        <r>
          <rPr>
            <sz val="9"/>
            <color indexed="81"/>
            <rFont val="Tahoma"/>
            <family val="2"/>
          </rPr>
          <t xml:space="preserve">
Fra Ovipor del 21/10/25: pienso montanera. 
Cargado: 29/10/25</t>
        </r>
      </text>
    </comment>
    <comment ref="BL83" authorId="2" shapeId="0" xr:uid="{9AE11BF7-5377-48CA-82DC-AE08FC60A936}">
      <text>
        <r>
          <rPr>
            <b/>
            <sz val="9"/>
            <color indexed="81"/>
            <rFont val="Tahoma"/>
            <family val="2"/>
          </rPr>
          <t>Maria:</t>
        </r>
        <r>
          <rPr>
            <sz val="9"/>
            <color indexed="81"/>
            <rFont val="Tahoma"/>
            <family val="2"/>
          </rPr>
          <t xml:space="preserve">
Fra Nanta del 29/10/25:pienso montanera.
Domiciado: 06/11/25
---------------------------------------
Fra Ovipor del 11/11/25:pienso montanera.
Domiciado: 19/11/25
---------------------------------------
Fra Nanta del 19/11/25:pienso montanera: 6.025,56€
Domiciado: 27/11/25</t>
        </r>
      </text>
    </comment>
    <comment ref="BM83" authorId="2" shapeId="0" xr:uid="{9C3EEB13-A83E-479B-9615-C2266230D4AB}">
      <text>
        <r>
          <rPr>
            <b/>
            <sz val="9"/>
            <color indexed="81"/>
            <rFont val="Tahoma"/>
            <family val="2"/>
          </rPr>
          <t>Maria:</t>
        </r>
        <r>
          <rPr>
            <sz val="9"/>
            <color indexed="81"/>
            <rFont val="Tahoma"/>
            <family val="2"/>
          </rPr>
          <t xml:space="preserve">
Fra Nanta del 18/12/25.
Pienso montanera: 6.045,57€. 
Domiciliado: 25/12/25
--------------------------------
Fra Nanta del 20/12/25.
Pienso montanera: -219,22€. 
Domiciliado: 25/12/25
--------------------------------
</t>
        </r>
      </text>
    </comment>
    <comment ref="BO83" authorId="2" shapeId="0" xr:uid="{82A4E393-0B33-4DF0-9990-F82891A39431}">
      <text>
        <r>
          <rPr>
            <b/>
            <sz val="9"/>
            <color indexed="81"/>
            <rFont val="Tahoma"/>
            <family val="2"/>
          </rPr>
          <t>Maria:</t>
        </r>
        <r>
          <rPr>
            <sz val="9"/>
            <color indexed="81"/>
            <rFont val="Tahoma"/>
            <family val="2"/>
          </rPr>
          <t xml:space="preserve">
Fra Nanta del 28/01/2026.
Pienso montanera: 6.051,58€. 
Domiciliado: 05/02/2026.
-----------------------------
Fra Abono Nanta del 29/01/26.
Devol. Pallet: 269,81€.
Domiciliado:  05/02/2026.
------------------------------
Fra Nanta del 09/02/2026.
Pienso montanera: 6.112,57€. 
Domiciliado: 17/02/26
-----------------------------</t>
        </r>
      </text>
    </comment>
    <comment ref="AI84" authorId="0" shapeId="0" xr:uid="{A070A31F-7A73-449A-9738-CA6843624D91}">
      <text>
        <r>
          <rPr>
            <b/>
            <sz val="9"/>
            <color indexed="81"/>
            <rFont val="Tahoma"/>
            <family val="2"/>
          </rPr>
          <t xml:space="preserve">Parte de compra Iberica Feeding del 23/10/23.
FACTURA 98 del 18/12/23 de NC:
</t>
        </r>
        <r>
          <rPr>
            <sz val="9"/>
            <color indexed="81"/>
            <rFont val="Tahoma"/>
            <family val="2"/>
          </rPr>
          <t xml:space="preserve">Fra iberica feeding stuff : 10.234,68€.
Transferencia realizada el 18/01/24
</t>
        </r>
      </text>
    </comment>
    <comment ref="AP84" authorId="0" shapeId="0" xr:uid="{FF8FC524-9A95-43AD-A1EF-7E39A5417565}">
      <text>
        <r>
          <rPr>
            <b/>
            <sz val="9"/>
            <color indexed="81"/>
            <rFont val="Tahoma"/>
            <family val="2"/>
          </rPr>
          <t xml:space="preserve">FACTURA 101 del 29/01/24 de NC:
</t>
        </r>
        <r>
          <rPr>
            <sz val="9"/>
            <color indexed="81"/>
            <rFont val="Tahoma"/>
            <family val="2"/>
          </rPr>
          <t>Fra iberica feeding stuff : 11.194,80€.
Compra que corresponde con las previsiones de aliemnto de Diciembre de pienso crecieminto y remate. 
11.194,80€: Transf. Caja Rural realizada el 22/08/24</t>
        </r>
      </text>
    </comment>
    <comment ref="BD84" authorId="2" shapeId="0" xr:uid="{4C79492E-B686-42F5-858F-0A6019CE78CA}">
      <text>
        <r>
          <rPr>
            <b/>
            <sz val="9"/>
            <color indexed="81"/>
            <rFont val="Tahoma"/>
            <family val="2"/>
          </rPr>
          <t>Maria:</t>
        </r>
        <r>
          <rPr>
            <sz val="9"/>
            <color indexed="81"/>
            <rFont val="Tahoma"/>
            <family val="2"/>
          </rPr>
          <t xml:space="preserve">
Fra La casa del ganadero del 03/06/25.
Varios: 968,00€. 
Transf. Caixa realizada el 20/06/25 </t>
        </r>
      </text>
    </comment>
    <comment ref="AI85" authorId="0" shapeId="0" xr:uid="{840C8346-9D00-4C58-8E53-8719ABC1E287}">
      <text>
        <r>
          <rPr>
            <b/>
            <sz val="9"/>
            <color indexed="81"/>
            <rFont val="Tahoma"/>
            <family val="2"/>
          </rPr>
          <t xml:space="preserve">FACTURA 99 del 18/12/23 de NC:
</t>
        </r>
        <r>
          <rPr>
            <sz val="9"/>
            <color indexed="81"/>
            <rFont val="Tahoma"/>
            <family val="2"/>
          </rPr>
          <t>Fra iberica feeding stuff : 9.671,83€.
Transferencia realizada el 18/01/24
--------------------------------------------------
Incluye prevision de lactances</t>
        </r>
      </text>
    </comment>
    <comment ref="AP85" authorId="0" shapeId="0" xr:uid="{822D6543-A3B1-4DC9-84B9-0032C0BBA265}">
      <text>
        <r>
          <rPr>
            <b/>
            <sz val="9"/>
            <color indexed="81"/>
            <rFont val="Tahoma"/>
            <family val="2"/>
          </rPr>
          <t xml:space="preserve">FACTURA 105 del 26/02/24 de NC:
</t>
        </r>
        <r>
          <rPr>
            <sz val="9"/>
            <color indexed="81"/>
            <rFont val="Tahoma"/>
            <family val="2"/>
          </rPr>
          <t xml:space="preserve">Fra iberica feeding stuff : 5.233,25€.
Compra que corresponde con las previsiones de alimento de Enero de pienso crecimiento (tacos vacas)
5.233,25€: Transf. Caixa realizada por el total 13.611,99€ el 22/08/24
-------------------------------
</t>
        </r>
        <r>
          <rPr>
            <b/>
            <sz val="9"/>
            <color indexed="81"/>
            <rFont val="Tahoma"/>
            <family val="2"/>
          </rPr>
          <t>FACTURA 102 del 29/01/24 de NC:</t>
        </r>
        <r>
          <rPr>
            <sz val="9"/>
            <color indexed="81"/>
            <rFont val="Tahoma"/>
            <family val="2"/>
          </rPr>
          <t xml:space="preserve">
Fra iberica feeding stuff : 10.214,42€.
Compra que corresponde con las previsiones de alimento de Diciembre de pienso crecimiento solo. 
8.000€: Transf. Caja Rural realizada el 22/08/24
2.214,42€: Transf. Caixa realizada por el total 13.611,99€ el 22/08/24</t>
        </r>
      </text>
    </comment>
    <comment ref="AV85" authorId="2" shapeId="0" xr:uid="{AEC8D19D-03D7-4B06-B144-31B32F30177A}">
      <text>
        <r>
          <rPr>
            <b/>
            <sz val="9"/>
            <color indexed="81"/>
            <rFont val="Tahoma"/>
            <family val="2"/>
          </rPr>
          <t>Maria:</t>
        </r>
        <r>
          <rPr>
            <sz val="9"/>
            <color indexed="81"/>
            <rFont val="Tahoma"/>
            <family val="2"/>
          </rPr>
          <t xml:space="preserve">
Alabran Nanta del 17/10/24.Harina vacas. 
Fra LA Casa del ganadero del 17/10/24. 
Transferencia realizada el 24/10/24.</t>
        </r>
      </text>
    </comment>
    <comment ref="BB85" authorId="2" shapeId="0" xr:uid="{A0EA3435-2074-4CC5-AED3-19E88D0E5420}">
      <text>
        <r>
          <rPr>
            <b/>
            <sz val="9"/>
            <color indexed="81"/>
            <rFont val="Tahoma"/>
            <family val="2"/>
          </rPr>
          <t>Maria:</t>
        </r>
        <r>
          <rPr>
            <sz val="9"/>
            <color indexed="81"/>
            <rFont val="Tahoma"/>
            <family val="2"/>
          </rPr>
          <t xml:space="preserve">
Fra Iberica Feeding Stuff del 01/03/25.
Pienso cebo vacas: 7.282,08€.
Transferencia Caixa realizada el 16/04/25
-------------------------------
Maria:
FACTURA 107 del 14/06/24 NC. 
Creciter
Por pago Fra Iberica Feeding del 26/04/24: 6.636,06€. 
Cargo:  
Realizar transf. Caixa: Antes del 23/10/24.
6.636,06€: Transf. Caixa realizada por el total 14.448,58€ el 16/04/25
-------------------------------------------</t>
        </r>
      </text>
    </comment>
    <comment ref="BC85" authorId="2" shapeId="0" xr:uid="{6E17E513-149F-4BD2-BB70-ADDE388D9C29}">
      <text>
        <r>
          <rPr>
            <b/>
            <sz val="9"/>
            <color indexed="81"/>
            <rFont val="Tahoma"/>
            <family val="2"/>
          </rPr>
          <t>Maria:</t>
        </r>
        <r>
          <rPr>
            <sz val="9"/>
            <color indexed="81"/>
            <rFont val="Tahoma"/>
            <family val="2"/>
          </rPr>
          <t xml:space="preserve">
PASAR LA COMPRA DE HARINA CEBO ADELANTE. </t>
        </r>
      </text>
    </comment>
    <comment ref="BF85" authorId="2" shapeId="0" xr:uid="{1CDCC6D3-3E6E-4BD2-A7CC-E3FFF9CBC492}">
      <text>
        <r>
          <rPr>
            <b/>
            <sz val="9"/>
            <color indexed="81"/>
            <rFont val="Tahoma"/>
            <family val="2"/>
          </rPr>
          <t>Maria:</t>
        </r>
        <r>
          <rPr>
            <sz val="9"/>
            <color indexed="81"/>
            <rFont val="Tahoma"/>
            <family val="2"/>
          </rPr>
          <t xml:space="preserve">
Fra Iberica feeding stuff del 02/05/25.
Pienso cebo: 7.452,63€. 
Vcmto: 60 días 
Transf. Caixa realizada el 04/08/25 
----------------------------------</t>
        </r>
      </text>
    </comment>
    <comment ref="BJ85" authorId="2" shapeId="0" xr:uid="{F31B442B-7DC8-4194-AF67-B9B2F9CEED43}">
      <text>
        <r>
          <rPr>
            <b/>
            <sz val="9"/>
            <color indexed="81"/>
            <rFont val="Tahoma"/>
            <family val="2"/>
          </rPr>
          <t>Maria:</t>
        </r>
        <r>
          <rPr>
            <sz val="9"/>
            <color indexed="81"/>
            <rFont val="Tahoma"/>
            <family val="2"/>
          </rPr>
          <t xml:space="preserve">
Fra Iberica feeding stuff del 16/07/25.
Pienso cebo: 6.873,19€. 
Transferencia el 24/09/25
----------------------------------
Fra La casa del ganadero del 08/09/25.
Harina: 6.801,70€. 
Transferencia realizada el 10/09/25.</t>
        </r>
      </text>
    </comment>
    <comment ref="BM85" authorId="2" shapeId="0" xr:uid="{F3223720-BAC9-42EB-A2F9-D1120157F949}">
      <text>
        <r>
          <rPr>
            <b/>
            <sz val="9"/>
            <color indexed="81"/>
            <rFont val="Tahoma"/>
            <family val="2"/>
          </rPr>
          <t>Maria:</t>
        </r>
        <r>
          <rPr>
            <sz val="9"/>
            <color indexed="81"/>
            <rFont val="Tahoma"/>
            <family val="2"/>
          </rPr>
          <t xml:space="preserve">
Fra Iberica feeding stuff del 14/10/25.
Pienso cebo: 6.957,14€.  
Transferencia realizada el 23/12/25
----------------------------------</t>
        </r>
      </text>
    </comment>
    <comment ref="BN85" authorId="2" shapeId="0" xr:uid="{63E915EA-9095-41DF-992C-CD251431D75D}">
      <text>
        <r>
          <rPr>
            <b/>
            <sz val="9"/>
            <color indexed="81"/>
            <rFont val="Tahoma"/>
            <family val="2"/>
          </rPr>
          <t>Maria:</t>
        </r>
        <r>
          <rPr>
            <sz val="9"/>
            <color indexed="81"/>
            <rFont val="Tahoma"/>
            <family val="2"/>
          </rPr>
          <t xml:space="preserve">
Fra Iberica feeding stuff del 27/11/25.
Pienso cebo: 7.239,34€. 
Pendiente transferencia. 
Transf. Caixa realizada el 27/01/26
------------------------------</t>
        </r>
      </text>
    </comment>
    <comment ref="BP85" authorId="2" shapeId="0" xr:uid="{8A9CBFEA-838C-41F2-8ACB-6D6FE0A21E9E}">
      <text>
        <r>
          <rPr>
            <b/>
            <sz val="9"/>
            <color indexed="81"/>
            <rFont val="Tahoma"/>
            <family val="2"/>
          </rPr>
          <t>Maria:</t>
        </r>
        <r>
          <rPr>
            <sz val="9"/>
            <color indexed="81"/>
            <rFont val="Tahoma"/>
            <family val="2"/>
          </rPr>
          <t xml:space="preserve">
Fra Iberica feeding stuff del 13/01/26.
Pienso cebo: 7.046,08€.  
Transferencia realizada el 23/03/26
----------------------------------</t>
        </r>
      </text>
    </comment>
    <comment ref="BR85" authorId="2" shapeId="0" xr:uid="{70797D26-D484-4855-BC54-BF013FCAC6CB}">
      <text>
        <r>
          <rPr>
            <b/>
            <sz val="9"/>
            <color indexed="81"/>
            <rFont val="Tahoma"/>
            <family val="2"/>
          </rPr>
          <t>Maria:</t>
        </r>
        <r>
          <rPr>
            <sz val="9"/>
            <color indexed="81"/>
            <rFont val="Tahoma"/>
            <family val="2"/>
          </rPr>
          <t xml:space="preserve">
Fra Iberica feeding stuff del 06/03/26.
Pienso cebo: 7.280,02€.  
Transferencia realizada el 22/05/26
-------------------------------------
Fra Ovipor del 05/05/26.
Porci madres: 12,64€.
Domiciliado: 13/05/26</t>
        </r>
      </text>
    </comment>
    <comment ref="BT85" authorId="2" shapeId="0" xr:uid="{D603DCEB-39CA-4E54-9F6D-378085A8B748}">
      <text>
        <r>
          <rPr>
            <b/>
            <sz val="9"/>
            <color indexed="81"/>
            <rFont val="Tahoma"/>
            <family val="2"/>
          </rPr>
          <t>Maria:</t>
        </r>
        <r>
          <rPr>
            <sz val="9"/>
            <color indexed="81"/>
            <rFont val="Tahoma"/>
            <family val="2"/>
          </rPr>
          <t xml:space="preserve">
Fra Iberica Feeding del 15/05/26.
Harina vacas: 7.587,44€.
Pendiente realizar transferencia. </t>
        </r>
      </text>
    </comment>
    <comment ref="AW86" authorId="2" shapeId="0" xr:uid="{0F9D2295-7D43-4479-9DE0-0342573EBF9C}">
      <text>
        <r>
          <rPr>
            <b/>
            <sz val="9"/>
            <color indexed="81"/>
            <rFont val="Tahoma"/>
            <family val="2"/>
          </rPr>
          <t>Maria:</t>
        </r>
        <r>
          <rPr>
            <sz val="9"/>
            <color indexed="81"/>
            <rFont val="Tahoma"/>
            <family val="2"/>
          </rPr>
          <t xml:space="preserve">
Albaran Nanta- </t>
        </r>
        <r>
          <rPr>
            <b/>
            <sz val="9"/>
            <color indexed="81"/>
            <rFont val="Tahoma"/>
            <family val="2"/>
          </rPr>
          <t>Fra La Casa del ganadero de 13/11/24</t>
        </r>
        <r>
          <rPr>
            <sz val="9"/>
            <color indexed="81"/>
            <rFont val="Tahoma"/>
            <family val="2"/>
          </rPr>
          <t>: 6.012,75€. 
Pendiente realizar transferncia. 
Transferencia Caixa realizada el 18/11/24</t>
        </r>
      </text>
    </comment>
    <comment ref="AY86" authorId="2" shapeId="0" xr:uid="{3299A524-22A4-427F-B225-40C181FD08B2}">
      <text>
        <r>
          <rPr>
            <b/>
            <sz val="9"/>
            <color indexed="81"/>
            <rFont val="Tahoma"/>
            <family val="2"/>
          </rPr>
          <t>Maria:</t>
        </r>
        <r>
          <rPr>
            <sz val="9"/>
            <color indexed="81"/>
            <rFont val="Tahoma"/>
            <family val="2"/>
          </rPr>
          <t xml:space="preserve">
Fra La casa del ganadero del 27/12/24.
mantenimiento: 1.423,37€. 
Transf. Caixa realizada el 28/01/25</t>
        </r>
      </text>
    </comment>
    <comment ref="BL86" authorId="2" shapeId="0" xr:uid="{0FBC92A3-369C-4106-9267-319D315C6123}">
      <text>
        <r>
          <rPr>
            <b/>
            <sz val="9"/>
            <color indexed="81"/>
            <rFont val="Tahoma"/>
            <family val="2"/>
          </rPr>
          <t>Maria:</t>
        </r>
        <r>
          <rPr>
            <sz val="9"/>
            <color indexed="81"/>
            <rFont val="Tahoma"/>
            <family val="2"/>
          </rPr>
          <t xml:space="preserve">
Fra La casa del gaandero del 11/11/25.
Tacos: 1.889,90€. 
Pendiente. 
Transferencia Caixa realizada el 21/11/25
</t>
        </r>
      </text>
    </comment>
    <comment ref="BM86" authorId="1" shapeId="0" xr:uid="{7B2DEEBF-1051-43E8-9FC4-512C1915305E}">
      <text>
        <r>
          <rPr>
            <sz val="9"/>
            <color indexed="81"/>
            <rFont val="Tahoma"/>
            <family val="2"/>
          </rPr>
          <t xml:space="preserve">
Fra la casa del gaandero del 28/11/25: 2.440,48€. 
Transferencia realizada el 04/12/25.
Compra a Nanta (vía casa del ganadero) recibida en noviembre, pasada a chat adminsitración, pendiente de factura y pago: 
6075kg x 0,349 Eur/Kg
--------------------------------------------------
</t>
        </r>
      </text>
    </comment>
    <comment ref="BN86" authorId="2" shapeId="0" xr:uid="{2D33C332-6F04-47A2-87CA-7B6498FD602D}">
      <text>
        <r>
          <rPr>
            <b/>
            <sz val="9"/>
            <color indexed="81"/>
            <rFont val="Tahoma"/>
            <family val="2"/>
          </rPr>
          <t>Maria:</t>
        </r>
        <r>
          <rPr>
            <sz val="9"/>
            <color indexed="81"/>
            <rFont val="Tahoma"/>
            <family val="2"/>
          </rPr>
          <t xml:space="preserve">
Fra Iberica Feeding del 28/11/25.
Taco vacas: 5.712,94€. 
Transf. Caixa realizada el 29/01/26</t>
        </r>
      </text>
    </comment>
    <comment ref="BP86" authorId="2" shapeId="0" xr:uid="{ADF234AC-843C-4A5B-81BB-90CC9ACACC98}">
      <text>
        <r>
          <rPr>
            <b/>
            <sz val="9"/>
            <color indexed="81"/>
            <rFont val="Tahoma"/>
            <family val="2"/>
          </rPr>
          <t>Maria:</t>
        </r>
        <r>
          <rPr>
            <sz val="9"/>
            <color indexed="81"/>
            <rFont val="Tahoma"/>
            <family val="2"/>
          </rPr>
          <t xml:space="preserve">
Fra Iberica Feeding del 15/01/25.
Taco vacas: 5.467,92€. 
Transferencia realizada el 23/03/26</t>
        </r>
      </text>
    </comment>
    <comment ref="AF88" authorId="3" shapeId="0" xr:uid="{1FE8CE40-BD63-4D3A-8039-3E89068B7CFA}">
      <text>
        <r>
          <rPr>
            <b/>
            <sz val="9"/>
            <color indexed="81"/>
            <rFont val="Tahoma"/>
            <family val="2"/>
          </rPr>
          <t xml:space="preserve">Estiercol:
</t>
        </r>
        <r>
          <rPr>
            <sz val="9"/>
            <color indexed="81"/>
            <rFont val="Tahoma"/>
            <family val="2"/>
          </rPr>
          <t>Repartidor subcontratado: 1000 Eur aprox. para 12 Has (Guijo N) - ref. año anterior 40 Eur/h, 25 h para 10 has.
Estiercol ya pagado 115 Ton aprox. pavo + 50 Ton aprox. vaca
Finalmente 1600 Eur</t>
        </r>
        <r>
          <rPr>
            <b/>
            <sz val="9"/>
            <color indexed="81"/>
            <rFont val="Tahoma"/>
            <family val="2"/>
          </rPr>
          <t xml:space="preserve">
------------------------------------------</t>
        </r>
        <r>
          <rPr>
            <sz val="9"/>
            <color indexed="81"/>
            <rFont val="Tahoma"/>
            <family val="2"/>
          </rPr>
          <t xml:space="preserve">
</t>
        </r>
        <r>
          <rPr>
            <b/>
            <sz val="9"/>
            <color indexed="81"/>
            <rFont val="Tahoma"/>
            <family val="2"/>
          </rPr>
          <t>Fra Jose Manuel Gonzalez del 27/09/23.</t>
        </r>
        <r>
          <rPr>
            <sz val="9"/>
            <color indexed="81"/>
            <rFont val="Tahoma"/>
            <family val="2"/>
          </rPr>
          <t xml:space="preserve">
Semillas: 108,00€.
Transferencia realizada el 04/10/23.
--------------------------------------------</t>
        </r>
      </text>
    </comment>
    <comment ref="AG88" authorId="3" shapeId="0" xr:uid="{2738A357-915A-4838-8A02-13B8C8A1CF3E}">
      <text>
        <r>
          <rPr>
            <sz val="9"/>
            <color indexed="81"/>
            <rFont val="Tahoma"/>
            <family val="2"/>
          </rPr>
          <t xml:space="preserve">
</t>
        </r>
        <r>
          <rPr>
            <b/>
            <sz val="9"/>
            <color indexed="81"/>
            <rFont val="Tahoma"/>
            <family val="2"/>
          </rPr>
          <t>Fra DR4 Andaluzia del 25/10/23.</t>
        </r>
        <r>
          <rPr>
            <sz val="9"/>
            <color indexed="81"/>
            <rFont val="Tahoma"/>
            <family val="2"/>
          </rPr>
          <t xml:space="preserve">
42.5 h de reparto de estiercol : 1.870,00€.
Transferencia realizada el 14/11/23.
---------------------------------------------------
</t>
        </r>
        <r>
          <rPr>
            <b/>
            <sz val="9"/>
            <color indexed="81"/>
            <rFont val="Tahoma"/>
            <family val="2"/>
          </rPr>
          <t>Fra Agencia Puente del 11/09/23.</t>
        </r>
        <r>
          <rPr>
            <sz val="9"/>
            <color indexed="81"/>
            <rFont val="Tahoma"/>
            <family val="2"/>
          </rPr>
          <t xml:space="preserve">
Transporte cal para siembre: 508,20€
Transferencia realizada el 07/11/23.
---------------------------------------------------
</t>
        </r>
      </text>
    </comment>
    <comment ref="AH88" authorId="0" shapeId="0" xr:uid="{124A14A1-7392-4EF1-849E-52EDE6FDBEDC}">
      <text>
        <r>
          <rPr>
            <sz val="9"/>
            <color indexed="81"/>
            <rFont val="Tahoma"/>
            <family val="2"/>
          </rPr>
          <t>Semilla:
110Has*200Kg/ha*0,84Eur/Kg 
(130 Has de siembra adicional con semilla del ejercicio anterior).
Total 240 Has a sembrar.
---------------------------------------------
Estiercol:
Repartidor subcontratado: 1000 Eur aprox. para 12 Has (Guijo N) - ref. año anterior 40 Eur/h, 25 h para 10 has.
Estiercol ya pagado 115 Ton aprox. pavo + 50 Ton aprox. vaca
Finalmente 1600 Eur
600 ur aprox. ptes de facturar de Estiercol de Antonio Manuel Gonzalez Cardoso</t>
        </r>
        <r>
          <rPr>
            <b/>
            <sz val="9"/>
            <color indexed="81"/>
            <rFont val="Tahoma"/>
            <family val="2"/>
          </rPr>
          <t xml:space="preserve">
---------------------------------------------------</t>
        </r>
        <r>
          <rPr>
            <sz val="9"/>
            <color indexed="81"/>
            <rFont val="Tahoma"/>
            <family val="2"/>
          </rPr>
          <t xml:space="preserve">
</t>
        </r>
        <r>
          <rPr>
            <b/>
            <sz val="9"/>
            <color indexed="81"/>
            <rFont val="Tahoma"/>
            <family val="2"/>
          </rPr>
          <t xml:space="preserve">FACTURA 97 del 18/12/23 de NC:
</t>
        </r>
        <r>
          <rPr>
            <sz val="9"/>
            <color indexed="81"/>
            <rFont val="Tahoma"/>
            <family val="2"/>
          </rPr>
          <t>Factura de Jesus tomas marcelo: 25.845,60€
Pndte realizar transferencia.
20.000€: Transferencia Caixa realizada el 20/12/23 
5.845,60€: Transferencia Caixa realizada por el total 16.931,25€ el 20/12/23</t>
        </r>
      </text>
    </comment>
    <comment ref="AI88" authorId="0" shapeId="0" xr:uid="{35F2E14B-05B0-4C1C-B85B-00C0B20D502B}">
      <text>
        <r>
          <rPr>
            <b/>
            <sz val="9"/>
            <color indexed="81"/>
            <rFont val="Tahoma"/>
            <family val="2"/>
          </rPr>
          <t>Fra Construcciones Cuaresma del 30/11/23.</t>
        </r>
        <r>
          <rPr>
            <sz val="9"/>
            <color indexed="81"/>
            <rFont val="Tahoma"/>
            <family val="2"/>
          </rPr>
          <t xml:space="preserve">
Rebujo: 360,10€.
Transferencia realizada el 11/01/24.  </t>
        </r>
      </text>
    </comment>
    <comment ref="AO88" authorId="3" shapeId="0" xr:uid="{C4F3269E-427E-46AD-B114-D5A6BF995AEC}">
      <text>
        <r>
          <rPr>
            <b/>
            <sz val="9"/>
            <color indexed="81"/>
            <rFont val="Tahoma"/>
            <family val="2"/>
          </rPr>
          <t xml:space="preserve">Antonio Manuel Gonzalez Cardoso </t>
        </r>
        <r>
          <rPr>
            <sz val="9"/>
            <color indexed="81"/>
            <rFont val="Tahoma"/>
            <family val="2"/>
          </rPr>
          <t>Estiercol
Fra del 01/07/24: 2.948,40€. 
Transf. Caixa realizada el 17/07/24</t>
        </r>
      </text>
    </comment>
    <comment ref="AP88" authorId="3" shapeId="0" xr:uid="{B386DE2D-EA81-41B1-BBDE-23D4EE2CE03C}">
      <text>
        <r>
          <rPr>
            <b/>
            <sz val="9"/>
            <color indexed="81"/>
            <rFont val="Tahoma"/>
            <family val="2"/>
          </rPr>
          <t xml:space="preserve">Antonio Manuel Gonzalez Cardoso </t>
        </r>
        <r>
          <rPr>
            <sz val="9"/>
            <color indexed="81"/>
            <rFont val="Tahoma"/>
            <family val="2"/>
          </rPr>
          <t>Estiercol
Fra del 04/07/24: 4.573,04€. 
Transf. Caixa a realizar
OK ALF 05/08/24
Transf. Caixa realizada el 22/08/24</t>
        </r>
      </text>
    </comment>
    <comment ref="AV88" authorId="3" shapeId="0" xr:uid="{3B18D7A8-E456-4F3D-98D0-A6101000F575}">
      <text>
        <r>
          <rPr>
            <b/>
            <sz val="9"/>
            <color indexed="81"/>
            <rFont val="Tahoma"/>
            <family val="2"/>
          </rPr>
          <t>Semilla:
220</t>
        </r>
        <r>
          <rPr>
            <sz val="9"/>
            <color indexed="81"/>
            <rFont val="Tahoma"/>
            <family val="2"/>
          </rPr>
          <t xml:space="preserve">Has*200Kg/ha*0,85Eur/Kg
</t>
        </r>
        <r>
          <rPr>
            <b/>
            <sz val="9"/>
            <color indexed="81"/>
            <rFont val="Tahoma"/>
            <family val="2"/>
          </rPr>
          <t xml:space="preserve">Estiercol:
</t>
        </r>
        <r>
          <rPr>
            <sz val="9"/>
            <color indexed="81"/>
            <rFont val="Tahoma"/>
            <family val="2"/>
          </rPr>
          <t xml:space="preserve">Repartidor subcontratado 40 Eur/ha *42,4h para 19,5 Has en 2023 = 1700.
Repartidor subcontratado 40 Eur/ha *65h para 23,5 Has en 2024 = 2600.
</t>
        </r>
        <r>
          <rPr>
            <b/>
            <sz val="9"/>
            <color indexed="81"/>
            <rFont val="Tahoma"/>
            <family val="2"/>
          </rPr>
          <t xml:space="preserve">Gasoil:
</t>
        </r>
        <r>
          <rPr>
            <sz val="9"/>
            <color indexed="81"/>
            <rFont val="Tahoma"/>
            <family val="2"/>
          </rPr>
          <t xml:space="preserve">en gastos generales
-------------------------------------------
</t>
        </r>
        <r>
          <rPr>
            <b/>
            <sz val="9"/>
            <color indexed="81"/>
            <rFont val="Tahoma"/>
            <family val="2"/>
          </rPr>
          <t>Fra DR4 Andaluzia del 20/09/24.</t>
        </r>
        <r>
          <rPr>
            <sz val="9"/>
            <color indexed="81"/>
            <rFont val="Tahoma"/>
            <family val="2"/>
          </rPr>
          <t xml:space="preserve">
Reparto de Estiercol: 2860,00€
Transferencia realizada el 17/10/24
----------------------------------------------
</t>
        </r>
      </text>
    </comment>
    <comment ref="AW88" authorId="2" shapeId="0" xr:uid="{265FDD15-9C08-4BB3-A08C-D15A00D74840}">
      <text>
        <r>
          <rPr>
            <b/>
            <sz val="9"/>
            <color indexed="81"/>
            <rFont val="Tahoma"/>
            <family val="2"/>
          </rPr>
          <t>Maria:</t>
        </r>
        <r>
          <rPr>
            <sz val="9"/>
            <color indexed="81"/>
            <rFont val="Tahoma"/>
            <family val="2"/>
          </rPr>
          <t xml:space="preserve">
</t>
        </r>
        <r>
          <rPr>
            <b/>
            <sz val="9"/>
            <color indexed="81"/>
            <rFont val="Tahoma"/>
            <family val="2"/>
          </rPr>
          <t>Fra Cereales mendez del 17/10/24.</t>
        </r>
        <r>
          <rPr>
            <sz val="9"/>
            <color indexed="81"/>
            <rFont val="Tahoma"/>
            <family val="2"/>
          </rPr>
          <t xml:space="preserve">
Mexcla siembra: 16.381,64€.
Transf. Caixa x el total 16.926,14€ realizada el 07/11/24
---------------------------------
</t>
        </r>
        <r>
          <rPr>
            <b/>
            <sz val="9"/>
            <color indexed="81"/>
            <rFont val="Tahoma"/>
            <family val="2"/>
          </rPr>
          <t>Fra Cereales mendez del 17/10/24</t>
        </r>
        <r>
          <rPr>
            <sz val="9"/>
            <color indexed="81"/>
            <rFont val="Tahoma"/>
            <family val="2"/>
          </rPr>
          <t>.
544,50€. 
Transf. Caixa x el total 16.926,14€ realizada el 07/11/24</t>
        </r>
      </text>
    </comment>
    <comment ref="AX88" authorId="2" shapeId="0" xr:uid="{30967CC8-CA4B-4739-B1B3-60E4379FEC29}">
      <text>
        <r>
          <rPr>
            <b/>
            <sz val="9"/>
            <color indexed="81"/>
            <rFont val="Tahoma"/>
            <family val="2"/>
          </rPr>
          <t>Maria:</t>
        </r>
        <r>
          <rPr>
            <sz val="9"/>
            <color indexed="81"/>
            <rFont val="Tahoma"/>
            <family val="2"/>
          </rPr>
          <t xml:space="preserve">
Fra Cereales mendez del 08/11/24.
Mexcla siembra: 12.439,68€.
Penditen realizar transferncia
Transf. Caixa x el total 12.984,18€ realizada el 12/12/24 
---------------------------------
</t>
        </r>
        <r>
          <rPr>
            <b/>
            <sz val="9"/>
            <color indexed="81"/>
            <rFont val="Tahoma"/>
            <family val="2"/>
          </rPr>
          <t>Fra Cereales mendez del 15/11/24.</t>
        </r>
        <r>
          <rPr>
            <sz val="9"/>
            <color indexed="81"/>
            <rFont val="Tahoma"/>
            <family val="2"/>
          </rPr>
          <t xml:space="preserve">
544,50€. 
Pendiente realizar transferencia.
Transf. Caixa x el total 12.984,18€ realizada el 12/12/24 </t>
        </r>
      </text>
    </comment>
    <comment ref="AZ88" authorId="4" shapeId="0" xr:uid="{5D5374E1-F67B-4B78-99CE-2AD5BDD2460A}">
      <text>
        <r>
          <rPr>
            <b/>
            <sz val="9"/>
            <color indexed="81"/>
            <rFont val="Tahoma"/>
            <family val="2"/>
          </rPr>
          <t xml:space="preserve">Fra Eurofins del 24/10/24.
</t>
        </r>
        <r>
          <rPr>
            <sz val="9"/>
            <color indexed="81"/>
            <rFont val="Tahoma"/>
            <family val="2"/>
          </rPr>
          <t>Análisis del suelo: 111,32€
11/02/25: OK ALF pagar ya
Transferencia realizada el 12/02/25</t>
        </r>
        <r>
          <rPr>
            <b/>
            <sz val="9"/>
            <color indexed="81"/>
            <rFont val="Tahoma"/>
            <family val="2"/>
          </rPr>
          <t xml:space="preserve">
-------------------------------------
</t>
        </r>
        <r>
          <rPr>
            <sz val="9"/>
            <color indexed="81"/>
            <rFont val="Tahoma"/>
            <family val="2"/>
          </rPr>
          <t xml:space="preserve">
</t>
        </r>
      </text>
    </comment>
    <comment ref="BD88" authorId="1" shapeId="0" xr:uid="{208B4840-D410-414E-AB50-DE7EEA137381}">
      <text>
        <r>
          <rPr>
            <sz val="9"/>
            <color indexed="81"/>
            <rFont val="Tahoma"/>
            <family val="2"/>
          </rPr>
          <t>ANTONIO MANUEL GONZÁLEZ CARDOSO
Estiercol/compos
262,32 Ton a 30€/ton 
7870,2 €
+10%iva
-2%IRPF
Fra del 11/06/25
Transf. Caixa realizada el 25/06/25</t>
        </r>
      </text>
    </comment>
    <comment ref="BF88" authorId="2" shapeId="0" xr:uid="{264E79BF-8673-4773-808E-98480AA0DB56}">
      <text>
        <r>
          <rPr>
            <b/>
            <sz val="9"/>
            <color indexed="81"/>
            <rFont val="Tahoma"/>
            <family val="2"/>
          </rPr>
          <t>Maria:</t>
        </r>
        <r>
          <rPr>
            <sz val="9"/>
            <color indexed="81"/>
            <rFont val="Tahoma"/>
            <family val="2"/>
          </rPr>
          <t xml:space="preserve">
Fra Eurofins del 25/06/25.
Análisis del suelo: 120,95€
26/06/25: OK ALF pagar a vencimiento el 25/07/25
Transferencia Caixa realizada el 01/08/25
---------------------------------
</t>
        </r>
      </text>
    </comment>
    <comment ref="BJ88" authorId="2" shapeId="0" xr:uid="{48976CCC-91F2-4C6F-A0F4-EA8F04D68A75}">
      <text>
        <r>
          <rPr>
            <b/>
            <sz val="9"/>
            <color indexed="81"/>
            <rFont val="Tahoma"/>
            <family val="2"/>
          </rPr>
          <t>Maria:</t>
        </r>
        <r>
          <rPr>
            <sz val="9"/>
            <color indexed="81"/>
            <rFont val="Tahoma"/>
            <family val="2"/>
          </rPr>
          <t xml:space="preserve">
Fra Forrajes canal de castilla del 12/09/25.
Semillas: 15.340,00€ 
Transferencia realizada el 22/09/25.</t>
        </r>
      </text>
    </comment>
    <comment ref="BL88" authorId="1" shapeId="0" xr:uid="{47FA59DA-8FC3-45F3-9FEB-CF44A5E4AF0B}">
      <text>
        <r>
          <rPr>
            <sz val="9"/>
            <color indexed="81"/>
            <rFont val="Tahoma"/>
            <family val="2"/>
          </rPr>
          <t>Fra Cereales Mendez del 17/10/25.
Guisantes+avena por un total de 6758,67€. 
Transderencia realizada el 07/11/25
Cantidad dividida entre celdas de leguminosa (Gisante) y cereal (Avena)
De esta cantidad que son 9,64 TON de avena a 225 Eur /ton, nos llevamos 3,64 TON a siembra, ya que se destinaron a este concepto.</t>
        </r>
      </text>
    </comment>
    <comment ref="BM88" authorId="1" shapeId="0" xr:uid="{6DD0265B-2578-41A4-99A8-39F44DE0D104}">
      <text>
        <r>
          <rPr>
            <b/>
            <sz val="9"/>
            <color indexed="81"/>
            <rFont val="Tahoma"/>
            <family val="2"/>
          </rPr>
          <t xml:space="preserve">Alfonso Carmona:
Reparto estiercol
5 dias
9 h/dia
45 Eur/h
</t>
        </r>
        <r>
          <rPr>
            <sz val="9"/>
            <color indexed="81"/>
            <rFont val="Tahoma"/>
            <family val="2"/>
          </rPr>
          <t>=(5*9*45)*1,21
2.450,25€: Fra 25007 (21/10/25)
Transf. Caixa realizada el 17/12/25</t>
        </r>
      </text>
    </comment>
    <comment ref="BP88" authorId="2" shapeId="0" xr:uid="{5ECD4658-CE3A-4733-AD8F-2B3F6BCDE2B9}">
      <text>
        <r>
          <rPr>
            <b/>
            <sz val="9"/>
            <color indexed="81"/>
            <rFont val="Tahoma"/>
            <family val="2"/>
          </rPr>
          <t>Maria:</t>
        </r>
        <r>
          <rPr>
            <sz val="9"/>
            <color indexed="81"/>
            <rFont val="Tahoma"/>
            <family val="2"/>
          </rPr>
          <t xml:space="preserve">
Fra Antonio Manuel Gónzalez Cardoso del 09/03/26.
Estiercol: 3.015,14€. 
Pendiente.
Transf. Caixa realizada el 30/03/26
------------------------------------------
Fra Antonio Manuel Gónzalez Cardoso del 18/03/26.
Estiercol: 2.952,94€. 
Pendente.
Transferencia Caixa realizada el 31/03/26
------------------------------------------</t>
        </r>
      </text>
    </comment>
    <comment ref="BJ89" authorId="0" shapeId="0" xr:uid="{E638675F-F434-440E-AC5F-FE8670D6734B}">
      <text>
        <r>
          <rPr>
            <sz val="9"/>
            <color indexed="81"/>
            <rFont val="Tahoma"/>
            <family val="2"/>
          </rPr>
          <t>Antiguo Seguro RC plus ultra. 
Seguro RC Occident. 
Cargado Caixa 3116: 22/05/24
Debe de llegar cargo a NA no a NC
665,87€: Póliza RC NA
Pendiente cargo cta
*HABLAR CON Ignacio molina</t>
        </r>
      </text>
    </comment>
    <comment ref="BM89" authorId="0" shapeId="0" xr:uid="{44E553B5-2C77-441B-9696-14C2B01B5572}">
      <text>
        <r>
          <rPr>
            <sz val="9"/>
            <color indexed="81"/>
            <rFont val="Tahoma"/>
            <family val="2"/>
          </rPr>
          <t>Antiguo Seguro RC plus ultra. 
Seguro RC Occident. 
Cargado Caixa 3116: 22/05/24
Debe de llegar cargo a NA no a NC
665,87€: Póliza RC NA
Pendiente cargo cta
*HABLAR CON Ignacio molina</t>
        </r>
      </text>
    </comment>
    <comment ref="BS89" authorId="0" shapeId="0" xr:uid="{F7D35BA3-5CDA-452D-BFFF-957C53092BE6}">
      <text>
        <r>
          <rPr>
            <sz val="9"/>
            <color indexed="81"/>
            <rFont val="Tahoma"/>
            <family val="2"/>
          </rPr>
          <t xml:space="preserve">Seguro RC plus ultra. </t>
        </r>
      </text>
    </comment>
    <comment ref="CG89" authorId="0" shapeId="0" xr:uid="{5380D5B0-DAB4-4A7A-A1E9-FDD36C4AEF69}">
      <text>
        <r>
          <rPr>
            <sz val="9"/>
            <color indexed="81"/>
            <rFont val="Tahoma"/>
            <family val="2"/>
          </rPr>
          <t xml:space="preserve">Seguro RC plus ultra. </t>
        </r>
      </text>
    </comment>
    <comment ref="CV89" authorId="0" shapeId="0" xr:uid="{A5B4FEC0-BE89-4894-9020-48C268FA6248}">
      <text>
        <r>
          <rPr>
            <sz val="9"/>
            <color indexed="81"/>
            <rFont val="Tahoma"/>
            <family val="2"/>
          </rPr>
          <t xml:space="preserve">Seguro RC plus ultra. </t>
        </r>
      </text>
    </comment>
    <comment ref="AM90" authorId="0" shapeId="0" xr:uid="{553220F8-1842-4BBA-A910-B2264A0E086C}">
      <text>
        <r>
          <rPr>
            <b/>
            <sz val="9"/>
            <color indexed="81"/>
            <rFont val="Tahoma"/>
            <family val="2"/>
          </rPr>
          <t>Liberti Seguro</t>
        </r>
        <r>
          <rPr>
            <sz val="9"/>
            <color indexed="81"/>
            <rFont val="Tahoma"/>
            <family val="2"/>
          </rPr>
          <t xml:space="preserve"> del 24/05/24 al 24/05/25. Seguro del TRACTOR 6320 matr: E9187BH
Cargado: 28/05/24.
</t>
        </r>
      </text>
    </comment>
    <comment ref="AU90" authorId="2" shapeId="0" xr:uid="{1E1DA807-C0C2-4735-B4A9-CA66EBFD5F35}">
      <text>
        <r>
          <rPr>
            <b/>
            <sz val="9"/>
            <color indexed="81"/>
            <rFont val="Tahoma"/>
            <family val="2"/>
          </rPr>
          <t>Maria:</t>
        </r>
        <r>
          <rPr>
            <sz val="9"/>
            <color indexed="81"/>
            <rFont val="Tahoma"/>
            <family val="2"/>
          </rPr>
          <t xml:space="preserve">
Seguro MITSUBISHI. 
Cargado en Caixa: 25/09/24
</t>
        </r>
      </text>
    </comment>
    <comment ref="BC90" authorId="2" shapeId="0" xr:uid="{DB814238-596B-4EE5-8E89-CC55EA16DE67}">
      <text>
        <r>
          <rPr>
            <b/>
            <sz val="9"/>
            <color indexed="81"/>
            <rFont val="Tahoma"/>
            <family val="2"/>
          </rPr>
          <t>Maria:</t>
        </r>
        <r>
          <rPr>
            <sz val="9"/>
            <color indexed="81"/>
            <rFont val="Tahoma"/>
            <family val="2"/>
          </rPr>
          <t xml:space="preserve">
Liberti Seguro del 24/05/25 al 24/05/26. Seguro del TRACTOR 6320 matr: E9187BH
Cargado: 26/05/25.
</t>
        </r>
      </text>
    </comment>
    <comment ref="BM90" authorId="2" shapeId="0" xr:uid="{CBCB4FDC-F1F2-4A2A-A7F6-3C2F90BA61FE}">
      <text>
        <r>
          <rPr>
            <b/>
            <sz val="9"/>
            <color indexed="81"/>
            <rFont val="Tahoma"/>
            <family val="2"/>
          </rPr>
          <t>Maria:</t>
        </r>
        <r>
          <rPr>
            <sz val="9"/>
            <color indexed="81"/>
            <rFont val="Tahoma"/>
            <family val="2"/>
          </rPr>
          <t xml:space="preserve">
Seguro auto Maphre Matrícula: 3554 JRW
Domiciliado: 18/12/25</t>
        </r>
      </text>
    </comment>
    <comment ref="BR90" authorId="2" shapeId="0" xr:uid="{B8C67EA0-8321-4A39-8554-0C6B4445BB3A}">
      <text>
        <r>
          <rPr>
            <b/>
            <sz val="9"/>
            <color indexed="81"/>
            <rFont val="Tahoma"/>
            <family val="2"/>
          </rPr>
          <t>Maria:</t>
        </r>
        <r>
          <rPr>
            <sz val="9"/>
            <color indexed="81"/>
            <rFont val="Tahoma"/>
            <family val="2"/>
          </rPr>
          <t xml:space="preserve">
Seguro TRACTOR. 258,31€. 
Domiciliado: 27/05/31. </t>
        </r>
      </text>
    </comment>
    <comment ref="AX91" authorId="2" shapeId="0" xr:uid="{7315EE4C-C560-419A-B835-21F51D5ACE3E}">
      <text>
        <r>
          <rPr>
            <b/>
            <sz val="9"/>
            <color indexed="81"/>
            <rFont val="Tahoma"/>
            <family val="2"/>
          </rPr>
          <t>Maria:</t>
        </r>
        <r>
          <rPr>
            <sz val="9"/>
            <color indexed="81"/>
            <rFont val="Tahoma"/>
            <family val="2"/>
          </rPr>
          <t xml:space="preserve">
Mapfre</t>
        </r>
      </text>
    </comment>
    <comment ref="BM91" authorId="2" shapeId="0" xr:uid="{808ABE55-B7F4-4747-B4AD-C4EAFE0BCB22}">
      <text>
        <r>
          <rPr>
            <b/>
            <sz val="9"/>
            <color indexed="81"/>
            <rFont val="Tahoma"/>
            <family val="2"/>
          </rPr>
          <t>Maria:</t>
        </r>
        <r>
          <rPr>
            <sz val="9"/>
            <color indexed="81"/>
            <rFont val="Tahoma"/>
            <family val="2"/>
          </rPr>
          <t xml:space="preserve">
Prima seguro convenio. 
Domiciliado caixa.  </t>
        </r>
      </text>
    </comment>
    <comment ref="BN91" authorId="2" shapeId="0" xr:uid="{3CCA54A3-649E-4252-9E4E-AD7EA0054F1C}">
      <text>
        <r>
          <rPr>
            <b/>
            <sz val="9"/>
            <color indexed="81"/>
            <rFont val="Tahoma"/>
            <family val="2"/>
          </rPr>
          <t>Maria:</t>
        </r>
        <r>
          <rPr>
            <sz val="9"/>
            <color indexed="81"/>
            <rFont val="Tahoma"/>
            <family val="2"/>
          </rPr>
          <t xml:space="preserve">
Prima seguro convenios: 69,37€.
Cargado: 01/01/26</t>
        </r>
      </text>
    </comment>
    <comment ref="BS91" authorId="0" shapeId="0" xr:uid="{9A49A12E-BFEA-4F5F-8AD1-E55B1A2E00ED}">
      <text>
        <r>
          <rPr>
            <sz val="9"/>
            <color theme="1"/>
            <rFont val="Tahoma"/>
            <family val="2"/>
          </rPr>
          <t xml:space="preserve">54,68 E: Prevision Generali Seguro
11/02/23-11/02/24
domiciliado en caja rural. </t>
        </r>
      </text>
    </comment>
    <comment ref="BT91" authorId="0" shapeId="0" xr:uid="{6AB016C6-0A81-4B7D-8BEE-4C97C2B9A3C5}">
      <text>
        <r>
          <rPr>
            <sz val="9"/>
            <color theme="1"/>
            <rFont val="Tahoma"/>
            <family val="2"/>
          </rPr>
          <t xml:space="preserve">54,68 E: Prevision Generali Seguro
11/02/23-11/02/24
domiciliado en caja rural. </t>
        </r>
      </text>
    </comment>
    <comment ref="CD91" authorId="0" shapeId="0" xr:uid="{3F934F56-0AA1-49FB-BA78-70C010FAC5A8}">
      <text>
        <r>
          <rPr>
            <sz val="9"/>
            <color theme="1"/>
            <rFont val="Tahoma"/>
            <family val="2"/>
          </rPr>
          <t xml:space="preserve">54,68 E: Prevision Generali Seguro
11/02/23-11/02/24
domiciliado en caja rural. </t>
        </r>
      </text>
    </comment>
    <comment ref="CS91" authorId="0" shapeId="0" xr:uid="{CBA86ACB-86B4-419E-96EF-CE3BAAEADB45}">
      <text>
        <r>
          <rPr>
            <sz val="9"/>
            <color theme="1"/>
            <rFont val="Tahoma"/>
            <family val="2"/>
          </rPr>
          <t xml:space="preserve">54,68 E: Prevision Generali Seguro
11/02/23-11/02/24
domiciliado en caja rural. </t>
        </r>
      </text>
    </comment>
    <comment ref="AG92" authorId="0" shapeId="0" xr:uid="{D8B440A9-5423-42A6-B458-583CF2F802AA}">
      <text>
        <r>
          <rPr>
            <sz val="9"/>
            <color indexed="81"/>
            <rFont val="Tahoma"/>
            <family val="2"/>
          </rPr>
          <t>Modelo 303 IVA de octubre (incluye dev. De meses anteriores) 
Caragdo: 20/11/23</t>
        </r>
      </text>
    </comment>
    <comment ref="AH92" authorId="0" shapeId="0" xr:uid="{5163C127-4DEB-4874-828B-77BA32149DAA}">
      <text>
        <r>
          <rPr>
            <sz val="9"/>
            <color indexed="81"/>
            <rFont val="Tahoma"/>
            <family val="2"/>
          </rPr>
          <t>Modelo 303 IVA de noviembre. Domiciliado el 20/12/23.
Cargado: 20/12/23</t>
        </r>
      </text>
    </comment>
    <comment ref="AL92" authorId="0" shapeId="0" xr:uid="{F44EFCA2-9F72-4202-AF55-C9F71B82CA7B}">
      <text>
        <r>
          <rPr>
            <sz val="9"/>
            <color indexed="81"/>
            <rFont val="Tahoma"/>
            <family val="2"/>
          </rPr>
          <t xml:space="preserve">MOD 303 Marzo 2024: 1.291,59€ a pagar.
Cargado Caixa: 22/04/24 </t>
        </r>
      </text>
    </comment>
    <comment ref="AM92" authorId="0" shapeId="0" xr:uid="{3D75EA83-8DF3-45E2-8794-07A0F96CD65A}">
      <text>
        <r>
          <rPr>
            <sz val="9"/>
            <color indexed="81"/>
            <rFont val="Tahoma"/>
            <family val="2"/>
          </rPr>
          <t>MOD 303 Abril: 
4.995,46 € a pagar. 
Cargado: 20/05/24</t>
        </r>
      </text>
    </comment>
    <comment ref="AZ92" authorId="2" shapeId="0" xr:uid="{C5D60793-A301-405B-BFC4-66598B926624}">
      <text>
        <r>
          <rPr>
            <b/>
            <sz val="9"/>
            <color indexed="81"/>
            <rFont val="Tahoma"/>
            <family val="2"/>
          </rPr>
          <t>Maria:</t>
        </r>
        <r>
          <rPr>
            <sz val="9"/>
            <color indexed="81"/>
            <rFont val="Tahoma"/>
            <family val="2"/>
          </rPr>
          <t xml:space="preserve">
A DEVOLVER POR HABERLO MESES ANTERIORES: 
- 1.291,59€ IVA de marzo 2024.</t>
        </r>
      </text>
    </comment>
    <comment ref="BA92" authorId="2" shapeId="0" xr:uid="{3827FC22-4400-4064-A1FA-869A73E47066}">
      <text>
        <r>
          <rPr>
            <b/>
            <sz val="9"/>
            <color indexed="81"/>
            <rFont val="Tahoma"/>
            <family val="2"/>
          </rPr>
          <t>Maria:</t>
        </r>
        <r>
          <rPr>
            <sz val="9"/>
            <color indexed="81"/>
            <rFont val="Tahoma"/>
            <family val="2"/>
          </rPr>
          <t xml:space="preserve">
Modelo 303 IVA Febrero. </t>
        </r>
      </text>
    </comment>
    <comment ref="BB92" authorId="2" shapeId="0" xr:uid="{53D8A741-C61B-495D-B7B4-E27BEFE362BC}">
      <text>
        <r>
          <rPr>
            <b/>
            <sz val="9"/>
            <color indexed="81"/>
            <rFont val="Tahoma"/>
            <family val="2"/>
          </rPr>
          <t>Maria:</t>
        </r>
        <r>
          <rPr>
            <sz val="9"/>
            <color indexed="81"/>
            <rFont val="Tahoma"/>
            <family val="2"/>
          </rPr>
          <t xml:space="preserve">
IVA de MARZO 2025: 419,06 a pagar. </t>
        </r>
      </text>
    </comment>
    <comment ref="BC92" authorId="2" shapeId="0" xr:uid="{478DB185-0212-4592-B4E8-98BAF0DEF2DF}">
      <text>
        <r>
          <rPr>
            <b/>
            <sz val="9"/>
            <color indexed="81"/>
            <rFont val="Tahoma"/>
            <family val="2"/>
          </rPr>
          <t>Maria:</t>
        </r>
        <r>
          <rPr>
            <sz val="9"/>
            <color indexed="81"/>
            <rFont val="Tahoma"/>
            <family val="2"/>
          </rPr>
          <t xml:space="preserve">
IVA de ABRIL 2025: 128,72 a pagar. </t>
        </r>
      </text>
    </comment>
    <comment ref="BE92" authorId="2" shapeId="0" xr:uid="{D3ED3F08-23C2-4650-B295-FA11528766BA}">
      <text>
        <r>
          <rPr>
            <b/>
            <sz val="9"/>
            <color indexed="81"/>
            <rFont val="Tahoma"/>
            <family val="2"/>
          </rPr>
          <t>Maria:</t>
        </r>
        <r>
          <rPr>
            <sz val="9"/>
            <color indexed="81"/>
            <rFont val="Tahoma"/>
            <family val="2"/>
          </rPr>
          <t xml:space="preserve">
IVA FEBRERO 2025: 2.511,12 a devolver
---------------------------
</t>
        </r>
      </text>
    </comment>
    <comment ref="BF92" authorId="2" shapeId="0" xr:uid="{8E44FCF3-3325-47D7-B614-80B6875DE7FD}">
      <text>
        <r>
          <rPr>
            <b/>
            <sz val="9"/>
            <color indexed="81"/>
            <rFont val="Tahoma"/>
            <family val="2"/>
          </rPr>
          <t>Maria:</t>
        </r>
        <r>
          <rPr>
            <sz val="9"/>
            <color indexed="81"/>
            <rFont val="Tahoma"/>
            <family val="2"/>
          </rPr>
          <t xml:space="preserve">
4º TRIM 2024: -6.730,35€ (devolver)
------------------------------</t>
        </r>
      </text>
    </comment>
    <comment ref="BJ92" authorId="2" shapeId="0" xr:uid="{5C0906A3-8B5F-4F4C-BE60-4BFEF842150A}">
      <text>
        <r>
          <rPr>
            <b/>
            <sz val="9"/>
            <color indexed="81"/>
            <rFont val="Tahoma"/>
            <family val="2"/>
          </rPr>
          <t>Maria:</t>
        </r>
        <r>
          <rPr>
            <sz val="9"/>
            <color indexed="81"/>
            <rFont val="Tahoma"/>
            <family val="2"/>
          </rPr>
          <t xml:space="preserve">
IVA agosto 2025: 4.638,02€ a pagar. 
CARGADO: 25/09/25</t>
        </r>
      </text>
    </comment>
    <comment ref="BL92" authorId="2" shapeId="0" xr:uid="{B772C391-8A45-4108-8303-6092EE497885}">
      <text>
        <r>
          <rPr>
            <b/>
            <sz val="9"/>
            <color indexed="81"/>
            <rFont val="Tahoma"/>
            <family val="2"/>
          </rPr>
          <t>Maria:</t>
        </r>
        <r>
          <rPr>
            <sz val="9"/>
            <color indexed="81"/>
            <rFont val="Tahoma"/>
            <family val="2"/>
          </rPr>
          <t xml:space="preserve">
IVA OCTUBRE 2025: 2.343,02 (a pagar). 
-------------------------------------------------------
IVA MAYO 2025: 1.117,61 (a devolver)
---------------------------
IVA JUNIO 2025: - 2.111,26€ (a devolver) 
-------------------------------------------------
IVA JULIO 2025: -1.752, 01€ (a devolver)</t>
        </r>
      </text>
    </comment>
    <comment ref="BM92" authorId="0" shapeId="0" xr:uid="{EB7095ED-F3E1-452C-9E4D-2CA1552AD296}">
      <text>
        <r>
          <rPr>
            <sz val="9"/>
            <color indexed="81"/>
            <rFont val="Tahoma"/>
            <family val="2"/>
          </rPr>
          <t xml:space="preserve">
IVA SEPTIEMBRE 2025: -2.969,99€ (a devolver)
Abonado Caixa: 20/12/25
----------------------------------------------------
</t>
        </r>
      </text>
    </comment>
    <comment ref="BO92" authorId="2" shapeId="0" xr:uid="{C0C9F82A-93E4-47B0-9550-B4231EE43898}">
      <text>
        <r>
          <rPr>
            <b/>
            <sz val="9"/>
            <color indexed="81"/>
            <rFont val="Tahoma"/>
            <family val="2"/>
          </rPr>
          <t>Maria:</t>
        </r>
        <r>
          <rPr>
            <sz val="9"/>
            <color indexed="81"/>
            <rFont val="Tahoma"/>
            <family val="2"/>
          </rPr>
          <t xml:space="preserve">
IVA ENERO 2026: 12,58€. 
--------------------------------------
IVA NOVIEMBRE 2025: -3.049,36 € (a devolver)</t>
        </r>
      </text>
    </comment>
    <comment ref="BP92" authorId="2" shapeId="0" xr:uid="{A512D32F-B800-416C-B532-A1315B96D69E}">
      <text>
        <r>
          <rPr>
            <b/>
            <sz val="9"/>
            <color indexed="81"/>
            <rFont val="Tahoma"/>
            <family val="2"/>
          </rPr>
          <t>Maria:</t>
        </r>
        <r>
          <rPr>
            <sz val="9"/>
            <color indexed="81"/>
            <rFont val="Tahoma"/>
            <family val="2"/>
          </rPr>
          <t xml:space="preserve">
IVA de FEBRERO: 1.159,40€. 
</t>
        </r>
      </text>
    </comment>
    <comment ref="BT92" authorId="0" shapeId="0" xr:uid="{3260C38A-BA6A-4EA3-B55E-B6EC9E7AD55A}">
      <text>
        <r>
          <rPr>
            <sz val="9"/>
            <color indexed="81"/>
            <rFont val="Tahoma"/>
            <family val="2"/>
          </rPr>
          <t>MOD 303 Diciembre: -580,30€ (a devolver)
-------------------------------------------------
A DEVOLVER POR HABERLO MESES ANTERIORES: 
- 4.995,15 € IVA de abril 2024.
---------------------------------------------------
IVA DICIEMBRE 2025: -1.457,15 € (a devolver)
----------------------------------------------------
IVA MARZO 2026: -224,93 € (a devolver)
----------------------------------------------------
IVA ABRIL 2026: -1.515,59 € (a devolver)
----------------------------------------------------</t>
        </r>
      </text>
    </comment>
    <comment ref="AF93" authorId="3" shapeId="0" xr:uid="{ABA55D19-C78B-478D-9DBE-5C770513D231}">
      <text>
        <r>
          <rPr>
            <sz val="9"/>
            <color indexed="81"/>
            <rFont val="Tahoma"/>
            <family val="2"/>
          </rPr>
          <t>MOD 111 3º TRIM 
Cargado el 20/10/23.</t>
        </r>
      </text>
    </comment>
    <comment ref="AI93" authorId="3" shapeId="0" xr:uid="{8E567991-EAD1-411E-AEB5-ED7BB8D36ADE}">
      <text>
        <r>
          <rPr>
            <b/>
            <sz val="9"/>
            <color indexed="81"/>
            <rFont val="Tahoma"/>
            <family val="2"/>
          </rPr>
          <t>alfonso:</t>
        </r>
        <r>
          <rPr>
            <sz val="9"/>
            <color indexed="81"/>
            <rFont val="Tahoma"/>
            <family val="2"/>
          </rPr>
          <t xml:space="preserve">
77,76 IRPF mensual nominas Fran, Mariano y Miguel, cargo trimestral
Cargado: 22/01/24</t>
        </r>
      </text>
    </comment>
    <comment ref="AL93" authorId="3" shapeId="0" xr:uid="{7F8C6D65-FBE5-41E2-BC9D-3D8A0B777C04}">
      <text>
        <r>
          <rPr>
            <b/>
            <sz val="9"/>
            <color indexed="81"/>
            <rFont val="Tahoma"/>
            <family val="2"/>
          </rPr>
          <t xml:space="preserve">MOD 111 1º TRIMESTRE
</t>
        </r>
        <r>
          <rPr>
            <sz val="9"/>
            <color indexed="81"/>
            <rFont val="Tahoma"/>
            <family val="2"/>
          </rPr>
          <t>Cargado: 22/04/24</t>
        </r>
      </text>
    </comment>
    <comment ref="AO93" authorId="3" shapeId="0" xr:uid="{9519BA5E-2648-489C-84A2-0ACA6E9C2991}">
      <text>
        <r>
          <rPr>
            <b/>
            <sz val="9"/>
            <color indexed="81"/>
            <rFont val="Tahoma"/>
            <family val="2"/>
          </rPr>
          <t>alfonso: 2º trim</t>
        </r>
        <r>
          <rPr>
            <sz val="9"/>
            <color indexed="81"/>
            <rFont val="Tahoma"/>
            <family val="2"/>
          </rPr>
          <t xml:space="preserve">
77,76 IRPF mensual nominas Fran, Mariano y Miguel, cargo trimestral</t>
        </r>
      </text>
    </comment>
    <comment ref="AV93" authorId="3" shapeId="0" xr:uid="{C0C9FFFB-5CE0-4EFB-9C89-46D869DB8120}">
      <text>
        <r>
          <rPr>
            <sz val="9"/>
            <color indexed="81"/>
            <rFont val="Tahoma"/>
            <family val="2"/>
          </rPr>
          <t>MOD 111 3º TRIM 
Cargado el .
Cargado: 21/10/24.</t>
        </r>
      </text>
    </comment>
    <comment ref="BB93" authorId="3" shapeId="0" xr:uid="{E8A58DFD-6E18-4347-80AB-978CDF8F794E}">
      <text>
        <r>
          <rPr>
            <sz val="9"/>
            <color indexed="81"/>
            <rFont val="Tahoma"/>
            <family val="2"/>
          </rPr>
          <t>MOD 111 2º TRIM 
Cargado el 21/04/25.</t>
        </r>
      </text>
    </comment>
    <comment ref="BE93" authorId="3" shapeId="0" xr:uid="{54553D13-C6B3-4B07-8B3E-53E4FE564EDD}">
      <text>
        <r>
          <rPr>
            <sz val="9"/>
            <color indexed="81"/>
            <rFont val="Tahoma"/>
            <family val="2"/>
          </rPr>
          <t>MOD 111 3º TRIM 
Cargado el 20/10/23.</t>
        </r>
      </text>
    </comment>
    <comment ref="BK93" authorId="3" shapeId="0" xr:uid="{F2D0F031-C24C-4CA9-8F88-78544A33951F}">
      <text>
        <r>
          <rPr>
            <sz val="9"/>
            <color indexed="81"/>
            <rFont val="Tahoma"/>
            <family val="2"/>
          </rPr>
          <t>MOD 111 3º TRIM 
Cargado el 20/10/23.</t>
        </r>
      </text>
    </comment>
    <comment ref="BN93" authorId="3" shapeId="0" xr:uid="{5C92D0DF-2A03-42E3-B8FC-4440BCD05426}">
      <text>
        <r>
          <rPr>
            <sz val="9"/>
            <color indexed="81"/>
            <rFont val="Tahoma"/>
            <family val="2"/>
          </rPr>
          <t>MOD 111 4º TRIM 
Cargado el 20/01/26.</t>
        </r>
      </text>
    </comment>
    <comment ref="BQ93" authorId="3" shapeId="0" xr:uid="{40522983-352C-42D3-9657-28CF837D6A4F}">
      <text>
        <r>
          <rPr>
            <sz val="9"/>
            <color indexed="81"/>
            <rFont val="Tahoma"/>
            <family val="2"/>
          </rPr>
          <t>MOD 111 1º TRIM 
Cargado el 20/04/23.</t>
        </r>
      </text>
    </comment>
    <comment ref="BT93" authorId="3" shapeId="0" xr:uid="{C32482BB-51D0-443F-B4D4-19472613F2CD}">
      <text>
        <r>
          <rPr>
            <sz val="9"/>
            <color indexed="81"/>
            <rFont val="Tahoma"/>
            <family val="2"/>
          </rPr>
          <t>MOD 111 3º TRIM 
Cargado el 20/10/23.</t>
        </r>
      </text>
    </comment>
    <comment ref="BZ93" authorId="3" shapeId="0" xr:uid="{D2FEFFE2-61AC-4FB1-8DB6-4F84DC9D583D}">
      <text>
        <r>
          <rPr>
            <sz val="9"/>
            <color indexed="81"/>
            <rFont val="Tahoma"/>
            <family val="2"/>
          </rPr>
          <t>MOD 111 3º TRIM 
Cargado el 20/10/23.</t>
        </r>
      </text>
    </comment>
    <comment ref="CC93" authorId="3" shapeId="0" xr:uid="{A62EB3F4-ECA2-4901-9077-1ED145FA364C}">
      <text>
        <r>
          <rPr>
            <sz val="9"/>
            <color indexed="81"/>
            <rFont val="Tahoma"/>
            <family val="2"/>
          </rPr>
          <t>MOD 111 3º TRIM 
Cargado el 20/10/23.</t>
        </r>
      </text>
    </comment>
    <comment ref="CF93" authorId="3" shapeId="0" xr:uid="{53F8C078-53FB-4093-9418-4239A1A75FE1}">
      <text>
        <r>
          <rPr>
            <sz val="9"/>
            <color indexed="81"/>
            <rFont val="Tahoma"/>
            <family val="2"/>
          </rPr>
          <t>MOD 111 3º TRIM 
Cargado el 20/10/23.</t>
        </r>
      </text>
    </comment>
    <comment ref="CI93" authorId="3" shapeId="0" xr:uid="{BD25AD2A-1444-4D49-A07E-16C28A195D1F}">
      <text>
        <r>
          <rPr>
            <sz val="9"/>
            <color indexed="81"/>
            <rFont val="Tahoma"/>
            <family val="2"/>
          </rPr>
          <t>MOD 111 3º TRIM 
Cargado el 20/10/23.</t>
        </r>
      </text>
    </comment>
    <comment ref="CO93" authorId="3" shapeId="0" xr:uid="{73AB2BB5-0B2D-461F-9214-B91005C91316}">
      <text>
        <r>
          <rPr>
            <sz val="9"/>
            <color indexed="81"/>
            <rFont val="Tahoma"/>
            <family val="2"/>
          </rPr>
          <t>MOD 111 3º TRIM 
Cargado el 20/10/23.</t>
        </r>
      </text>
    </comment>
    <comment ref="CR93" authorId="3" shapeId="0" xr:uid="{D5F7FFDD-5952-4D90-B085-4D7728DBCE61}">
      <text>
        <r>
          <rPr>
            <sz val="9"/>
            <color indexed="81"/>
            <rFont val="Tahoma"/>
            <family val="2"/>
          </rPr>
          <t>MOD 111 3º TRIM 
Cargado el 20/10/23.</t>
        </r>
      </text>
    </comment>
    <comment ref="CU93" authorId="3" shapeId="0" xr:uid="{2128D730-8EF6-4930-A75B-3B02C96C491A}">
      <text>
        <r>
          <rPr>
            <sz val="9"/>
            <color indexed="81"/>
            <rFont val="Tahoma"/>
            <family val="2"/>
          </rPr>
          <t>MOD 111 3º TRIM 
Cargado el 20/10/23.</t>
        </r>
      </text>
    </comment>
    <comment ref="CX93" authorId="3" shapeId="0" xr:uid="{E0D4FEA0-E01D-433C-AB4F-70026C3FD43F}">
      <text>
        <r>
          <rPr>
            <sz val="9"/>
            <color indexed="81"/>
            <rFont val="Tahoma"/>
            <family val="2"/>
          </rPr>
          <t>MOD 111 3º TRIM 
Cargado el 20/10/23.</t>
        </r>
      </text>
    </comment>
    <comment ref="BA94" authorId="2" shapeId="0" xr:uid="{101C2140-4F52-41B9-B780-DB3C0E90A818}">
      <text>
        <r>
          <rPr>
            <b/>
            <sz val="9"/>
            <color indexed="81"/>
            <rFont val="Tahoma"/>
            <family val="2"/>
          </rPr>
          <t>Maria:</t>
        </r>
        <r>
          <rPr>
            <sz val="9"/>
            <color indexed="81"/>
            <rFont val="Tahoma"/>
            <family val="2"/>
          </rPr>
          <t xml:space="preserve">
IS Ejercicio 2023-2024.
Cargado: 25/03/2025</t>
        </r>
      </text>
    </comment>
    <comment ref="BB94" authorId="4" shapeId="0" xr:uid="{19ACD627-21D4-4870-AE05-F3E93B4ACC3F}">
      <text>
        <r>
          <rPr>
            <b/>
            <sz val="9"/>
            <color indexed="81"/>
            <rFont val="Tahoma"/>
            <family val="2"/>
          </rPr>
          <t>1º pago a cuenta IS a pagar en abril</t>
        </r>
        <r>
          <rPr>
            <sz val="9"/>
            <color indexed="81"/>
            <rFont val="Tahoma"/>
            <family val="2"/>
          </rPr>
          <t xml:space="preserve">
</t>
        </r>
      </text>
    </comment>
    <comment ref="BK94" authorId="4" shapeId="0" xr:uid="{49CCD2D2-31D0-45F8-AC4B-34365811A06E}">
      <text>
        <r>
          <rPr>
            <b/>
            <sz val="9"/>
            <color indexed="81"/>
            <rFont val="Tahoma"/>
            <family val="2"/>
          </rPr>
          <t>2º pago a cuenta IS a pagar en octubre</t>
        </r>
        <r>
          <rPr>
            <sz val="9"/>
            <color indexed="81"/>
            <rFont val="Tahoma"/>
            <family val="2"/>
          </rPr>
          <t xml:space="preserve">
</t>
        </r>
      </text>
    </comment>
    <comment ref="BM94" authorId="4" shapeId="0" xr:uid="{21839AC8-B100-4BA8-97B3-6F55DE27A5CD}">
      <text>
        <r>
          <rPr>
            <b/>
            <sz val="9"/>
            <color indexed="81"/>
            <rFont val="Tahoma"/>
            <family val="2"/>
          </rPr>
          <t>3º pago a cuenta IS a pagar en diciembre</t>
        </r>
        <r>
          <rPr>
            <sz val="9"/>
            <color indexed="81"/>
            <rFont val="Tahoma"/>
            <family val="2"/>
          </rPr>
          <t xml:space="preserve">
</t>
        </r>
      </text>
    </comment>
    <comment ref="BQ94" authorId="2" shapeId="0" xr:uid="{F02F861F-788D-4B2C-ACA7-BEFCC0039AC0}">
      <text>
        <r>
          <rPr>
            <b/>
            <sz val="9"/>
            <color indexed="81"/>
            <rFont val="Tahoma"/>
            <family val="2"/>
          </rPr>
          <t>Maria:</t>
        </r>
        <r>
          <rPr>
            <sz val="9"/>
            <color indexed="81"/>
            <rFont val="Tahoma"/>
            <family val="2"/>
          </rPr>
          <t xml:space="preserve">
1º pago a cuenta IS. 
Cargado: 20/04/26</t>
        </r>
      </text>
    </comment>
    <comment ref="BR94" authorId="2" shapeId="0" xr:uid="{C8BBB903-7D00-4BF7-AE5B-8E5F804A58A0}">
      <text>
        <r>
          <rPr>
            <b/>
            <sz val="9"/>
            <color indexed="81"/>
            <rFont val="Tahoma"/>
            <family val="2"/>
          </rPr>
          <t>Maria:</t>
        </r>
        <r>
          <rPr>
            <sz val="9"/>
            <color indexed="81"/>
            <rFont val="Tahoma"/>
            <family val="2"/>
          </rPr>
          <t xml:space="preserve">
IS ejercicio 2024-2025.
Domiciliado: 20/05/26</t>
        </r>
      </text>
    </comment>
    <comment ref="B95" authorId="3" shapeId="0" xr:uid="{00000000-0006-0000-0500-0000CD000000}">
      <text>
        <r>
          <rPr>
            <b/>
            <sz val="9"/>
            <color indexed="81"/>
            <rFont val="Tahoma"/>
            <family val="2"/>
          </rPr>
          <t>alfonso:</t>
        </r>
        <r>
          <rPr>
            <sz val="9"/>
            <color indexed="81"/>
            <rFont val="Tahoma"/>
            <family val="2"/>
          </rPr>
          <t xml:space="preserve">
IBI, Registro mercantil, Impuesto vehiculos</t>
        </r>
      </text>
    </comment>
    <comment ref="Y95" authorId="0" shapeId="0" xr:uid="{E8B9CBCE-FBBF-4035-A9CE-058F0B3A69BC}">
      <text>
        <r>
          <rPr>
            <sz val="9"/>
            <color indexed="81"/>
            <rFont val="Tahoma"/>
            <family val="2"/>
          </rPr>
          <t>51,84€: MOD 600 
Cargado: 30/06/23.
----------------------------
105,90€: MOD 600 
Cargado: 30/06/23.</t>
        </r>
      </text>
    </comment>
    <comment ref="AF95" authorId="0" shapeId="0" xr:uid="{E8E7E6C0-D520-491A-9703-5F47051BDB48}">
      <text>
        <r>
          <rPr>
            <sz val="9"/>
            <color indexed="81"/>
            <rFont val="Tahoma"/>
            <family val="2"/>
          </rPr>
          <t xml:space="preserve">44,18€: MOD 600 
Transf. Caixa realizada a Daniel Cordero: 26/10/23.
----------------------------
</t>
        </r>
      </text>
    </comment>
    <comment ref="BS95" authorId="2" shapeId="0" xr:uid="{8D09407F-0676-4060-A6C1-1C0F4AA56218}">
      <text>
        <r>
          <rPr>
            <b/>
            <sz val="9"/>
            <color indexed="81"/>
            <rFont val="Tahoma"/>
            <family val="2"/>
          </rPr>
          <t>Maria:</t>
        </r>
        <r>
          <rPr>
            <sz val="9"/>
            <color indexed="81"/>
            <rFont val="Tahoma"/>
            <family val="2"/>
          </rPr>
          <t xml:space="preserve">
Fra Trivium del 10/04/26. 
Reparación tractor: 5.995,59€.
Pendiente transfer. 
------------------------------
Fra Veyrema del 25/05/26. 
Reparcion maquina: 372,68€
Pendiente transfer. 
------------------------------</t>
        </r>
      </text>
    </comment>
    <comment ref="AE96" authorId="0" shapeId="0" xr:uid="{43C20B85-4A8C-4705-A7ED-A82051FE01FE}">
      <text>
        <r>
          <rPr>
            <sz val="9"/>
            <color indexed="81"/>
            <rFont val="Tahoma"/>
            <family val="2"/>
          </rPr>
          <t>Pago 35,00Eur a Vitara Auto. Pendiente fra. 
Transferencia realizada el 20/09/23.
-----------------------------------------</t>
        </r>
      </text>
    </comment>
    <comment ref="AF96" authorId="0" shapeId="0" xr:uid="{AF05A40F-4A17-4893-8277-D3C7A2474C37}">
      <text>
        <r>
          <rPr>
            <b/>
            <sz val="9"/>
            <color indexed="81"/>
            <rFont val="Tahoma"/>
            <family val="2"/>
          </rPr>
          <t>Fra Rodamientos Blanco del 23/10/23.</t>
        </r>
        <r>
          <rPr>
            <sz val="9"/>
            <color indexed="81"/>
            <rFont val="Tahoma"/>
            <family val="2"/>
          </rPr>
          <t xml:space="preserve">
mantenimiento: 48,40€. 
Trasnferencia realizada el 30/10/23</t>
        </r>
      </text>
    </comment>
    <comment ref="AG96" authorId="0" shapeId="0" xr:uid="{D421F380-8088-4E6B-8351-9AC2EF2C027A}">
      <text>
        <r>
          <rPr>
            <b/>
            <sz val="9"/>
            <color indexed="81"/>
            <rFont val="Tahoma"/>
            <family val="2"/>
          </rPr>
          <t xml:space="preserve">Fra Luis Miguel del 26/09/23.
</t>
        </r>
        <r>
          <rPr>
            <sz val="9"/>
            <color indexed="81"/>
            <rFont val="Tahoma"/>
            <family val="2"/>
          </rPr>
          <t xml:space="preserve">Reparacion radiador tractor: 598,95€. 
Transferencia realizada el 03/11/23. 
---------------------------------------------------
Albaran de barcia. 
A pagar: 
- tubo de aceite y bisagras del tractor: 18€ + 52,94 €
-------------------------------------------------------------
</t>
        </r>
        <r>
          <rPr>
            <b/>
            <sz val="9"/>
            <color indexed="81"/>
            <rFont val="Tahoma"/>
            <family val="2"/>
          </rPr>
          <t>Fra Neumaticos Orihuela del 18/07/23.</t>
        </r>
        <r>
          <rPr>
            <sz val="9"/>
            <color indexed="81"/>
            <rFont val="Tahoma"/>
            <family val="2"/>
          </rPr>
          <t xml:space="preserve">
Varios: 556,96€.
Transfrencia realizada el 07/11/23.</t>
        </r>
      </text>
    </comment>
    <comment ref="AI96" authorId="0" shapeId="0" xr:uid="{CC40298E-C2AF-47DA-95E5-CDFDD2860B27}">
      <text>
        <r>
          <rPr>
            <b/>
            <sz val="9"/>
            <color indexed="81"/>
            <rFont val="Tahoma"/>
            <family val="2"/>
          </rPr>
          <t>Fra Victor Herrador Garcia del 05/01/24.</t>
        </r>
        <r>
          <rPr>
            <sz val="9"/>
            <color indexed="81"/>
            <rFont val="Tahoma"/>
            <family val="2"/>
          </rPr>
          <t xml:space="preserve">
Varios: 58,75€ 
Transferencia realizada el 08/01/24
--------------------------------------------------------</t>
        </r>
        <r>
          <rPr>
            <b/>
            <sz val="9"/>
            <color indexed="81"/>
            <rFont val="Tahoma"/>
            <family val="2"/>
          </rPr>
          <t xml:space="preserve">
Fra EcoHabitar del 13/12/23.</t>
        </r>
        <r>
          <rPr>
            <sz val="9"/>
            <color indexed="81"/>
            <rFont val="Tahoma"/>
            <family val="2"/>
          </rPr>
          <t xml:space="preserve">
60,66€. VISA 01/01/24.
--------------------------------------------------------
113,79: 32 sacos de cemento a Cuaresma escudero. 
</t>
        </r>
        <r>
          <rPr>
            <b/>
            <sz val="9"/>
            <color indexed="81"/>
            <rFont val="Tahoma"/>
            <family val="2"/>
          </rPr>
          <t>Fra Construcciones cuaresma del 31/12/23.</t>
        </r>
        <r>
          <rPr>
            <sz val="9"/>
            <color indexed="81"/>
            <rFont val="Tahoma"/>
            <family val="2"/>
          </rPr>
          <t xml:space="preserve">
Cemento: 150,55€. No coincide con el precio acordado pero OK ALF
Pendiente realizar transferencia. 
Transferencia Caixa realizada el 29/01/24
------------------------------------------------
96,00 + IVA: Parte de compra Pedro escudero: 6 boyas para bebederos. 
</t>
        </r>
        <r>
          <rPr>
            <b/>
            <sz val="9"/>
            <color indexed="81"/>
            <rFont val="Tahoma"/>
            <family val="2"/>
          </rPr>
          <t>Fra Pedro Escudero del 12/12/23.</t>
        </r>
        <r>
          <rPr>
            <sz val="9"/>
            <color indexed="81"/>
            <rFont val="Tahoma"/>
            <family val="2"/>
          </rPr>
          <t xml:space="preserve">
Boyas: 116,16€.
Pendiente realizar transferencia. 
Transferencia Caixa realizada el 29/01/24
--------------------------------------------------
</t>
        </r>
        <r>
          <rPr>
            <b/>
            <sz val="9"/>
            <color indexed="81"/>
            <rFont val="Tahoma"/>
            <family val="2"/>
          </rPr>
          <t>Fra Joaquin Capelo del 13/10/23</t>
        </r>
        <r>
          <rPr>
            <sz val="9"/>
            <color indexed="81"/>
            <rFont val="Tahoma"/>
            <family val="2"/>
          </rPr>
          <t xml:space="preserve">
Varios: 639,00€.
Transferencia realizada el 11/01/24.
-------------------------------------------------
</t>
        </r>
        <r>
          <rPr>
            <b/>
            <sz val="9"/>
            <color indexed="81"/>
            <rFont val="Tahoma"/>
            <family val="2"/>
          </rPr>
          <t>Fra Joaquin Capelo del 15/12/23</t>
        </r>
        <r>
          <rPr>
            <sz val="9"/>
            <color indexed="81"/>
            <rFont val="Tahoma"/>
            <family val="2"/>
          </rPr>
          <t xml:space="preserve">
Varios: 210,00€.
Transferencia realizada el 11/01/24.
-------------------------------------------------
</t>
        </r>
        <r>
          <rPr>
            <b/>
            <sz val="9"/>
            <color indexed="81"/>
            <rFont val="Tahoma"/>
            <family val="2"/>
          </rPr>
          <t>Fra SPEH del 29/12/23.</t>
        </r>
        <r>
          <rPr>
            <sz val="9"/>
            <color indexed="81"/>
            <rFont val="Tahoma"/>
            <family val="2"/>
          </rPr>
          <t xml:space="preserve">
LLaves: 29,60€. 
Transferencia realizada el 11/01/24.
-------------------------------------------------
</t>
        </r>
        <r>
          <rPr>
            <b/>
            <sz val="9"/>
            <color indexed="81"/>
            <rFont val="Tahoma"/>
            <family val="2"/>
          </rPr>
          <t>Fra La Casa del Ganadero del 28/12/23.</t>
        </r>
        <r>
          <rPr>
            <sz val="9"/>
            <color indexed="81"/>
            <rFont val="Tahoma"/>
            <family val="2"/>
          </rPr>
          <t xml:space="preserve">
Varios: 447,29€. 
Transferencia realizada el 11/01/24. 
-------------------------------------------------
</t>
        </r>
        <r>
          <rPr>
            <b/>
            <sz val="9"/>
            <color indexed="81"/>
            <rFont val="Tahoma"/>
            <family val="2"/>
          </rPr>
          <t>Pagos de caja:</t>
        </r>
        <r>
          <rPr>
            <sz val="9"/>
            <color indexed="81"/>
            <rFont val="Tahoma"/>
            <family val="2"/>
          </rPr>
          <t xml:space="preserve">
60 Vecino ayuda camion descarrilado
80 Puesta en Marcha Frontera I
50 Pistola impacto
80 Arreglo Frontera I escape y amortiguadores </t>
        </r>
      </text>
    </comment>
    <comment ref="AK96" authorId="4" shapeId="0" xr:uid="{1D37BCE9-B3D6-4325-92AA-F55D5ADBBBE0}">
      <text>
        <r>
          <rPr>
            <b/>
            <sz val="9"/>
            <color indexed="81"/>
            <rFont val="Tahoma"/>
            <family val="2"/>
          </rPr>
          <t xml:space="preserve">Fra Juan Luis Rivas del 01/02/24  
</t>
        </r>
        <r>
          <rPr>
            <sz val="9"/>
            <color indexed="81"/>
            <rFont val="Tahoma"/>
            <family val="2"/>
          </rPr>
          <t xml:space="preserve">Filtros y aceite Opel Frontera: 157,18€
05/02/24: Ok ALF para pagar
Realizar transferencia
</t>
        </r>
        <r>
          <rPr>
            <b/>
            <sz val="9"/>
            <color indexed="81"/>
            <rFont val="Tahoma"/>
            <family val="2"/>
          </rPr>
          <t xml:space="preserve">Fra Juan Luis Rivas del 01/02/24. </t>
        </r>
        <r>
          <rPr>
            <sz val="9"/>
            <color indexed="81"/>
            <rFont val="Tahoma"/>
            <family val="2"/>
          </rPr>
          <t xml:space="preserve">
Filtros y aceite Subaru: 167,34€
05/02/24: Ok ALF para pagar
Realizar transferencia
</t>
        </r>
        <r>
          <rPr>
            <b/>
            <sz val="9"/>
            <color indexed="81"/>
            <rFont val="Tahoma"/>
            <family val="2"/>
          </rPr>
          <t xml:space="preserve">Fra Juan Luis Rivas del 09/02/24. </t>
        </r>
        <r>
          <rPr>
            <sz val="9"/>
            <color indexed="81"/>
            <rFont val="Tahoma"/>
            <family val="2"/>
          </rPr>
          <t xml:space="preserve">
Filtros y aceite Clio: 597,37€
05/03/24: Pndte Ok ALF 
Realizar transferencia
Transferencia Caixa realizada por el total 921,89€ el 18/03/24
------------------------------------
</t>
        </r>
        <r>
          <rPr>
            <b/>
            <sz val="9"/>
            <color indexed="81"/>
            <rFont val="Tahoma"/>
            <family val="2"/>
          </rPr>
          <t>Barcia:</t>
        </r>
        <r>
          <rPr>
            <sz val="9"/>
            <color indexed="81"/>
            <rFont val="Tahoma"/>
            <family val="2"/>
          </rPr>
          <t xml:space="preserve">
Fra A/876 (23/10/23): 85,84€
Fra A/959 (26/11/23): 275,88€
Fra abono R234/20 (19/12/23): -108,90€
Fra: A/80 (31/01/24): 108,90€
361,72€: Transferencia Caixa realizada el 15/03/24
------------------------------------
</t>
        </r>
      </text>
    </comment>
    <comment ref="AL96" authorId="4" shapeId="0" xr:uid="{299B4D8F-DD9E-4C0B-8FC0-A291EF0A7A16}">
      <text>
        <r>
          <rPr>
            <b/>
            <sz val="9"/>
            <color indexed="81"/>
            <rFont val="Tahoma"/>
            <family val="2"/>
          </rPr>
          <t>Fra Sebastian Perez e hIjos del 29/02/24.</t>
        </r>
        <r>
          <rPr>
            <sz val="9"/>
            <color indexed="81"/>
            <rFont val="Tahoma"/>
            <family val="2"/>
          </rPr>
          <t xml:space="preserve">
VARIOS: 175,40
Pendiente realizar transferenia. 
Transferencia Caixa realizada el 25/04/24
--------------------------------------
</t>
        </r>
        <r>
          <rPr>
            <b/>
            <sz val="9"/>
            <color indexed="81"/>
            <rFont val="Tahoma"/>
            <family val="2"/>
          </rPr>
          <t>Fra Crisrueda del 29/02/24.</t>
        </r>
        <r>
          <rPr>
            <sz val="9"/>
            <color indexed="81"/>
            <rFont val="Tahoma"/>
            <family val="2"/>
          </rPr>
          <t xml:space="preserve">
Revision pre itv del clio del año pasado: 93,29€
Pendiente realizar transferenia. 
Transferencia Caixa realizada el 25/04/24
--------------------------------------------
</t>
        </r>
        <r>
          <rPr>
            <b/>
            <sz val="9"/>
            <color indexed="81"/>
            <rFont val="Tahoma"/>
            <family val="2"/>
          </rPr>
          <t>Fra Hnos Orta del 31/03/24</t>
        </r>
        <r>
          <rPr>
            <sz val="9"/>
            <color indexed="81"/>
            <rFont val="Tahoma"/>
            <family val="2"/>
          </rPr>
          <t xml:space="preserve">.
Aceite: 246,06€. 
Pendiente realizar transferenia.
Transferencia Caixa realizada el 25/04/24
----------------------------------------------
</t>
        </r>
        <r>
          <rPr>
            <b/>
            <sz val="9"/>
            <color indexed="81"/>
            <rFont val="Tahoma"/>
            <family val="2"/>
          </rPr>
          <t>Fra MAB. Maq. Agricola Barcia del 30/03/24.</t>
        </r>
        <r>
          <rPr>
            <sz val="9"/>
            <color indexed="81"/>
            <rFont val="Tahoma"/>
            <family val="2"/>
          </rPr>
          <t xml:space="preserve">
Reparacion tractor: 1.077,93€
Pendiente realizar transferenia.
Transferencia Caixa realizada el 25/04/24
----------------------------------------------</t>
        </r>
      </text>
    </comment>
    <comment ref="AM96" authorId="0" shapeId="0" xr:uid="{D7863B9C-F4A4-47BC-9366-B4A23D14815E}">
      <text>
        <r>
          <rPr>
            <b/>
            <sz val="9"/>
            <color indexed="81"/>
            <rFont val="Tahoma"/>
            <family val="2"/>
          </rPr>
          <t>Fra Casa del Ganadero del 24/05/24.</t>
        </r>
        <r>
          <rPr>
            <sz val="9"/>
            <color indexed="81"/>
            <rFont val="Tahoma"/>
            <family val="2"/>
          </rPr>
          <t xml:space="preserve">
Mantenimiento finca y maquinaria: 591,41€. 
Pendiente realizar transferencia. 
Transferencia realizada por el total 860,82€ el 29/05/24
-------------------------------
</t>
        </r>
        <r>
          <rPr>
            <b/>
            <sz val="9"/>
            <color indexed="81"/>
            <rFont val="Tahoma"/>
            <family val="2"/>
          </rPr>
          <t>Fra Mendía del 30/04/24</t>
        </r>
        <r>
          <rPr>
            <sz val="9"/>
            <color indexed="81"/>
            <rFont val="Tahoma"/>
            <family val="2"/>
          </rPr>
          <t xml:space="preserve">.
Malla para el empacado de las pacas: 535,30€.
Domiciliado en Cta Caixa 3116 Transferido a Nixal el 29/05/24
------------------------------
</t>
        </r>
        <r>
          <rPr>
            <b/>
            <sz val="9"/>
            <color indexed="81"/>
            <rFont val="Tahoma"/>
            <family val="2"/>
          </rPr>
          <t xml:space="preserve">Fra Juan Luis Rivas del 14/05/24  </t>
        </r>
        <r>
          <rPr>
            <sz val="9"/>
            <color indexed="81"/>
            <rFont val="Tahoma"/>
            <family val="2"/>
          </rPr>
          <t xml:space="preserve">
1.012,92€: Mantenimiento Opel Frontera II excepto batería que es del Subaru. 
28/05/24: Ok ALF para pagar
Realizar transferencia
Transferencia realizada el 29/05/24</t>
        </r>
      </text>
    </comment>
    <comment ref="AN96" authorId="0" shapeId="0" xr:uid="{D438BF60-8F31-484D-B48A-315BB59DA6E8}">
      <text>
        <r>
          <rPr>
            <b/>
            <sz val="9"/>
            <color indexed="81"/>
            <rFont val="Tahoma"/>
            <family val="2"/>
          </rPr>
          <t xml:space="preserve">Fra Hnos Orta, 30/04/24.
</t>
        </r>
        <r>
          <rPr>
            <sz val="9"/>
            <color indexed="81"/>
            <rFont val="Tahoma"/>
            <family val="2"/>
          </rPr>
          <t xml:space="preserve">Anticongelante: 31,80€.
Pendiente realizar transferencia. 
Transferencia Caixa realizada el 25/06/24
---------------------------
</t>
        </r>
        <r>
          <rPr>
            <b/>
            <sz val="9"/>
            <color indexed="81"/>
            <rFont val="Tahoma"/>
            <family val="2"/>
          </rPr>
          <t xml:space="preserve">Fra Sebastian Perez e hIjos del 31/05/24.
</t>
        </r>
        <r>
          <rPr>
            <sz val="9"/>
            <color indexed="81"/>
            <rFont val="Tahoma"/>
            <family val="2"/>
          </rPr>
          <t>VARIOS ferreteria: 16,46€
Vcmto: 30/06/24
Pendiente realizar transferenia. 
Transferencia Caixa realizada el 25/06/24</t>
        </r>
        <r>
          <rPr>
            <b/>
            <sz val="9"/>
            <color indexed="81"/>
            <rFont val="Tahoma"/>
            <family val="2"/>
          </rPr>
          <t xml:space="preserve">
--------------------------------
Fra Extimbar del 04/06/23.
</t>
        </r>
        <r>
          <rPr>
            <sz val="9"/>
            <color indexed="81"/>
            <rFont val="Tahoma"/>
            <family val="2"/>
          </rPr>
          <t>2 extintores: 82,28€
Transferencia Caixa realizada el 04/06/23</t>
        </r>
        <r>
          <rPr>
            <b/>
            <sz val="9"/>
            <color indexed="81"/>
            <rFont val="Tahoma"/>
            <family val="2"/>
          </rPr>
          <t xml:space="preserve">
------------------------
Fra Mendía del 10/06/24.
</t>
        </r>
        <r>
          <rPr>
            <sz val="9"/>
            <color indexed="81"/>
            <rFont val="Tahoma"/>
            <family val="2"/>
          </rPr>
          <t>Malla empacadora: 856,49€.
Solicitado eliminar domiciliación: OK 10/06/24
Pndte realizar transferencia 
Transferencia Caixa realizada el 25/06/24</t>
        </r>
        <r>
          <rPr>
            <b/>
            <sz val="9"/>
            <color indexed="81"/>
            <rFont val="Tahoma"/>
            <family val="2"/>
          </rPr>
          <t xml:space="preserve">
------------------------------
Ppto Alternativa Agricola del 17/06/24.- Fra del 26/06/24. 
</t>
        </r>
        <r>
          <rPr>
            <sz val="9"/>
            <color indexed="81"/>
            <rFont val="Tahoma"/>
            <family val="2"/>
          </rPr>
          <t xml:space="preserve">Pieza tractor cadenas: 119,83€.
Pndte realizar transferencia
Transferencia Caixa realizada el 25/06/24 
----------------------------------
</t>
        </r>
        <r>
          <rPr>
            <b/>
            <sz val="9"/>
            <color indexed="81"/>
            <rFont val="Tahoma"/>
            <family val="2"/>
          </rPr>
          <t>Fra Neumáticos Orihuela del 31/05/24.</t>
        </r>
        <r>
          <rPr>
            <sz val="9"/>
            <color indexed="81"/>
            <rFont val="Tahoma"/>
            <family val="2"/>
          </rPr>
          <t xml:space="preserve">
Cambio rueda tractor 6210 por pinchazo: 822,61€.
Pndte realizar transferencia 
Transferencia Caixa realizada el 25/06/24
-------------------------------
</t>
        </r>
        <r>
          <rPr>
            <b/>
            <sz val="9"/>
            <color indexed="81"/>
            <rFont val="Tahoma"/>
            <family val="2"/>
          </rPr>
          <t xml:space="preserve">Pagos de caja
</t>
        </r>
        <r>
          <rPr>
            <sz val="9"/>
            <color indexed="81"/>
            <rFont val="Tahoma"/>
            <family val="2"/>
          </rPr>
          <t>35 Cerreño por arreglo pieza desbrozadora
810 Macanico Arreglo Frontera
60 visita mecanico tractores</t>
        </r>
      </text>
    </comment>
    <comment ref="AO96" authorId="4" shapeId="0" xr:uid="{640468C5-4755-4228-9C04-5D64ABA39FBA}">
      <text>
        <r>
          <rPr>
            <b/>
            <sz val="9"/>
            <color indexed="81"/>
            <rFont val="Tahoma"/>
            <family val="2"/>
          </rPr>
          <t>Fra MAB. Maq. Agricola Barcia</t>
        </r>
        <r>
          <rPr>
            <sz val="9"/>
            <color indexed="81"/>
            <rFont val="Tahoma"/>
            <family val="2"/>
          </rPr>
          <t xml:space="preserve"> del 01/07/24.
Compra hembras y machos del sistema hidráulico tractor 6320: 263,65€
Pendiente realizar transferenia.
Transf. Caixa realizada el 17/07/24</t>
        </r>
        <r>
          <rPr>
            <b/>
            <sz val="9"/>
            <color indexed="81"/>
            <rFont val="Tahoma"/>
            <family val="2"/>
          </rPr>
          <t xml:space="preserve">
-------------------------
Fra SPEH del 29/06/24. 
</t>
        </r>
        <r>
          <rPr>
            <sz val="9"/>
            <color indexed="81"/>
            <rFont val="Tahoma"/>
            <family val="2"/>
          </rPr>
          <t xml:space="preserve">Varios: 4,40€
Pendiente realizar transferenia.
Transf. Caixa realizada el 17/07/24
-------------------------
</t>
        </r>
        <r>
          <rPr>
            <b/>
            <sz val="9"/>
            <color indexed="81"/>
            <rFont val="Tahoma"/>
            <family val="2"/>
          </rPr>
          <t>Fra La Casa del Ganadero del 28/06/24</t>
        </r>
        <r>
          <rPr>
            <sz val="9"/>
            <color indexed="81"/>
            <rFont val="Tahoma"/>
            <family val="2"/>
          </rPr>
          <t>.
Varios:1.833,27€
Pendiente realizar transferenia.
Transf. Caixa realizada el 17/07/24
-------------------------</t>
        </r>
        <r>
          <rPr>
            <b/>
            <sz val="9"/>
            <color indexed="81"/>
            <rFont val="Tahoma"/>
            <family val="2"/>
          </rPr>
          <t xml:space="preserve">
Fra Pedro escudero del 22/03/24.</t>
        </r>
        <r>
          <rPr>
            <sz val="9"/>
            <color indexed="81"/>
            <rFont val="Tahoma"/>
            <family val="2"/>
          </rPr>
          <t xml:space="preserve">
Varios: 363,00€. 
Transferencia realizada el 12/07/24.
-------------------------</t>
        </r>
      </text>
    </comment>
    <comment ref="AU96" authorId="2" shapeId="0" xr:uid="{3EA7C72F-7120-4727-BC09-511BD6351B08}">
      <text>
        <r>
          <rPr>
            <b/>
            <sz val="9"/>
            <color indexed="81"/>
            <rFont val="Tahoma"/>
            <family val="2"/>
          </rPr>
          <t>Maria:</t>
        </r>
        <r>
          <rPr>
            <sz val="9"/>
            <color indexed="81"/>
            <rFont val="Tahoma"/>
            <family val="2"/>
          </rPr>
          <t xml:space="preserve">
Fra Barcia del 23/07/24.
Manteniemiento finca: 105,27€.
Pendiente realizar transferencia. 
Transf. Caixa realizada el 27/09/24  
-----------
140 de caja para arreglo palier clio</t>
        </r>
      </text>
    </comment>
    <comment ref="AV96" authorId="4" shapeId="0" xr:uid="{033A4335-09A6-45F4-A9B3-9935B6921A9C}">
      <text>
        <r>
          <rPr>
            <b/>
            <sz val="9"/>
            <color indexed="81"/>
            <rFont val="Tahoma"/>
            <family val="2"/>
          </rPr>
          <t xml:space="preserve">Fra Clasus-Auto del 27/09/24.
</t>
        </r>
        <r>
          <rPr>
            <sz val="9"/>
            <color indexed="81"/>
            <rFont val="Tahoma"/>
            <family val="2"/>
          </rPr>
          <t xml:space="preserve">Mantenimiento maquinaria: Rueda opel frontera I.: 87€.
Transf. Caixa realizada el 03/10/24 
-----------------------------------------
</t>
        </r>
        <r>
          <rPr>
            <b/>
            <sz val="9"/>
            <color indexed="81"/>
            <rFont val="Tahoma"/>
            <family val="2"/>
          </rPr>
          <t>Fra terrymovil del 11/10/24.</t>
        </r>
        <r>
          <rPr>
            <sz val="9"/>
            <color indexed="81"/>
            <rFont val="Tahoma"/>
            <family val="2"/>
          </rPr>
          <t xml:space="preserve">: 1.095,43€ 
Transferencia realizada el 11/10/24.
------------------------------------------
</t>
        </r>
        <r>
          <rPr>
            <b/>
            <sz val="9"/>
            <color indexed="81"/>
            <rFont val="Tahoma"/>
            <family val="2"/>
          </rPr>
          <t>462,29€: AUTORECAMBIOS COLON S.L.</t>
        </r>
        <r>
          <rPr>
            <sz val="9"/>
            <color indexed="81"/>
            <rFont val="Tahoma"/>
            <family val="2"/>
          </rPr>
          <t xml:space="preserve">
Factura del 25/10/24. 
Transferencia realizada el 25/10/24.
----------------
300 de caja para compra cepo y bascula a Sebastian vecino</t>
        </r>
      </text>
    </comment>
    <comment ref="AW96" authorId="4" shapeId="0" xr:uid="{536B2816-6599-4A5E-BB3A-442947B3710C}">
      <text>
        <r>
          <rPr>
            <b/>
            <sz val="9"/>
            <color indexed="81"/>
            <rFont val="Tahoma"/>
            <family val="2"/>
          </rPr>
          <t>Oferta Suministros Eléctricos Coto del 07/11/24
Pndte fra</t>
        </r>
        <r>
          <rPr>
            <sz val="9"/>
            <color indexed="81"/>
            <rFont val="Tahoma"/>
            <family val="2"/>
          </rPr>
          <t xml:space="preserve">
Iluminación para la nave de La Corte: 435,01€
Transf. Caixa realizada el 07/11/24
------------------------------------
</t>
        </r>
        <r>
          <rPr>
            <b/>
            <sz val="9"/>
            <color indexed="81"/>
            <rFont val="Tahoma"/>
            <family val="2"/>
          </rPr>
          <t xml:space="preserve">AUTORECAMBIOS COLON S.L.
</t>
        </r>
        <r>
          <rPr>
            <sz val="9"/>
            <color indexed="81"/>
            <rFont val="Tahoma"/>
            <family val="2"/>
          </rPr>
          <t xml:space="preserve">Factura del 11/11/24.
580€: Radiador tractor 6210
Transferencia realizada el 11/11/24.
----------------------------------
</t>
        </r>
        <r>
          <rPr>
            <b/>
            <sz val="9"/>
            <color indexed="81"/>
            <rFont val="Tahoma"/>
            <family val="2"/>
          </rPr>
          <t>AUTORECAMBIOS COLON S.L.</t>
        </r>
        <r>
          <rPr>
            <sz val="9"/>
            <color indexed="81"/>
            <rFont val="Tahoma"/>
            <family val="2"/>
          </rPr>
          <t xml:space="preserve">
Factura del 15/11/24.
35,51€: Rodamiento Opel Frontera
Transferencia realizada el 14/11/24.
--------------------------
150 entran en caja de venta Clio al chatarrero
50 salen de caja de arreglos bomba gasoil tractor</t>
        </r>
      </text>
    </comment>
    <comment ref="AX96" authorId="4" shapeId="0" xr:uid="{D990756A-67DB-4229-8238-345CFE1BF6C4}">
      <text>
        <r>
          <rPr>
            <b/>
            <sz val="9"/>
            <color indexed="81"/>
            <rFont val="Tahoma"/>
            <family val="2"/>
          </rPr>
          <t>AUTORECAMBIOS COLON S.L.</t>
        </r>
        <r>
          <rPr>
            <sz val="9"/>
            <color indexed="81"/>
            <rFont val="Tahoma"/>
            <family val="2"/>
          </rPr>
          <t xml:space="preserve">
Fra del 02/12/24.
35,51€: Rodamiento Opel Frontera
Transferencia realizada el 02/12/24.
-------------------------------------------
Fra Talleres Aljarafe 23/12/24: 1.373,35€.
Transferencia realizada el 20/12/24</t>
        </r>
      </text>
    </comment>
    <comment ref="AY96" authorId="2" shapeId="0" xr:uid="{1C96D2E6-7D73-4F07-935F-05BAEF04CCD4}">
      <text>
        <r>
          <rPr>
            <b/>
            <sz val="9"/>
            <color indexed="81"/>
            <rFont val="Tahoma"/>
            <family val="2"/>
          </rPr>
          <t>Maria:</t>
        </r>
        <r>
          <rPr>
            <sz val="9"/>
            <color indexed="81"/>
            <rFont val="Tahoma"/>
            <family val="2"/>
          </rPr>
          <t xml:space="preserve">
Fra La casa del ganadero del 27/12/24.
mantenimiento: 1.423,37€. 
Transf. Caixa realizada el 28/01/25
-----------------------------------------
Fra Talleres Aljarafe 09/01/25: 425,12€.
Transferencia realizada el 20/12/24
---------------------------------------
Fra Clasus-Auto del 30/01/25.
Mantenimiento maquinaria: Neumáticos todoterreno campo: 264€.
Transf. Caixa realizada el 31/01/25
-------------------------------------
Fra Neumáticos Ntra.Sra. de la Peña,C.B. del 31/01/25.
Mantenimiento maquinaria: Camara de aire y parches: 112,72€.
Transf. Caixa realizada el 31/01/25
---------------------------------------
Fra Oficinas ISSA del 31/01/25.
Taquillas: 298,87€.
Transf. Caixa realizada el 31/01/25
----------------
10 a Marianito por gastos varios, de caja</t>
        </r>
      </text>
    </comment>
    <comment ref="AZ96" authorId="4" shapeId="0" xr:uid="{C5D4A31A-E5D8-4A20-AF2B-6EE3473236D9}">
      <text>
        <r>
          <rPr>
            <b/>
            <sz val="9"/>
            <color indexed="81"/>
            <rFont val="Tahoma"/>
            <family val="2"/>
          </rPr>
          <t xml:space="preserve">AUTORECAMBIOS COLON 
</t>
        </r>
        <r>
          <rPr>
            <sz val="9"/>
            <color indexed="81"/>
            <rFont val="Tahoma"/>
            <family val="2"/>
          </rPr>
          <t>Factura del 19/02/25.
44€: Rodamiento Opel Frontera l
Transferencia realizada el 19/02/25.</t>
        </r>
      </text>
    </comment>
    <comment ref="BA96" authorId="2" shapeId="0" xr:uid="{1D94FEEC-EAA5-4ADE-B127-27FDA2E2605E}">
      <text>
        <r>
          <rPr>
            <b/>
            <sz val="9"/>
            <color indexed="81"/>
            <rFont val="Tahoma"/>
            <family val="2"/>
          </rPr>
          <t>Fra Neumáticos Ntra.Sra. de la Peña,C.B. del 24/03/25.</t>
        </r>
        <r>
          <rPr>
            <sz val="9"/>
            <color indexed="81"/>
            <rFont val="Tahoma"/>
            <family val="2"/>
          </rPr>
          <t xml:space="preserve">
Mantenimiento maquinaria: Reparación pinchazos tractor: 110,11€.
Transf. Caixa realizada a ALF el 27/03/25</t>
        </r>
      </text>
    </comment>
    <comment ref="BB96" authorId="2" shapeId="0" xr:uid="{65D854EF-22C6-444A-8FEE-03567C2D12A1}">
      <text>
        <r>
          <rPr>
            <b/>
            <sz val="9"/>
            <color indexed="81"/>
            <rFont val="Tahoma"/>
            <family val="2"/>
          </rPr>
          <t>Maria:</t>
        </r>
        <r>
          <rPr>
            <sz val="9"/>
            <color indexed="81"/>
            <rFont val="Tahoma"/>
            <family val="2"/>
          </rPr>
          <t xml:space="preserve">
</t>
        </r>
        <r>
          <rPr>
            <b/>
            <sz val="9"/>
            <color indexed="81"/>
            <rFont val="Tahoma"/>
            <family val="2"/>
          </rPr>
          <t>Fra Hnos orta del 28/02/25.
Varios: 496,24€</t>
        </r>
        <r>
          <rPr>
            <sz val="9"/>
            <color indexed="81"/>
            <rFont val="Tahoma"/>
            <family val="2"/>
          </rPr>
          <t xml:space="preserve">
Pendiente realizar transferencia. 
Transferencia Caixa realizada el 16/04/25 
-------------------------------------
</t>
        </r>
        <r>
          <rPr>
            <b/>
            <sz val="9"/>
            <color indexed="81"/>
            <rFont val="Tahoma"/>
            <family val="2"/>
          </rPr>
          <t>Fra Neumáticos Ntra.Sra. de la Peña,C.B. del 31/03/25.</t>
        </r>
        <r>
          <rPr>
            <sz val="9"/>
            <color indexed="81"/>
            <rFont val="Tahoma"/>
            <family val="2"/>
          </rPr>
          <t xml:space="preserve">
Mantenimiento maquinaria: Reparación pinchazos tractor: 54,45€.
Transf. Caixa realizada a ALF el 02/04/25
-------------------------------------
</t>
        </r>
        <r>
          <rPr>
            <b/>
            <sz val="9"/>
            <color indexed="81"/>
            <rFont val="Tahoma"/>
            <family val="2"/>
          </rPr>
          <t>Fra Hierros y Aluminios Toribio del 04/10/24: 847€</t>
        </r>
        <r>
          <rPr>
            <sz val="9"/>
            <color indexed="81"/>
            <rFont val="Tahoma"/>
            <family val="2"/>
          </rPr>
          <t xml:space="preserve">
Transf. Caixa realizada el 02/04/25
-----------------------------------
</t>
        </r>
        <r>
          <rPr>
            <b/>
            <sz val="9"/>
            <color indexed="81"/>
            <rFont val="Tahoma"/>
            <family val="2"/>
          </rPr>
          <t>Fra Nº 3 Pedro Escudero del 04/03/25: Bebederos cochinos 392,04€</t>
        </r>
        <r>
          <rPr>
            <sz val="9"/>
            <color indexed="81"/>
            <rFont val="Tahoma"/>
            <family val="2"/>
          </rPr>
          <t xml:space="preserve">
Transf. Caixa realizada el 02/04/25
------------------------------------
</t>
        </r>
        <r>
          <rPr>
            <b/>
            <sz val="9"/>
            <color indexed="81"/>
            <rFont val="Tahoma"/>
            <family val="2"/>
          </rPr>
          <t xml:space="preserve">Fra Veyrema del 25/03/25: </t>
        </r>
        <r>
          <rPr>
            <sz val="9"/>
            <color indexed="81"/>
            <rFont val="Tahoma"/>
            <family val="2"/>
          </rPr>
          <t>589,34€
Transf. Caixa realizada el 16/04/25</t>
        </r>
      </text>
    </comment>
    <comment ref="BC96" authorId="4" shapeId="0" xr:uid="{CB72D1F5-8597-4B63-8F43-71753A0154BF}">
      <text>
        <r>
          <rPr>
            <b/>
            <sz val="9"/>
            <color indexed="81"/>
            <rFont val="Tahoma"/>
            <family val="2"/>
          </rPr>
          <t xml:space="preserve">Fra Talleres S. Fernández del 09/01/25: 425,12€.
</t>
        </r>
        <r>
          <rPr>
            <sz val="9"/>
            <color indexed="81"/>
            <rFont val="Tahoma"/>
            <family val="2"/>
          </rPr>
          <t xml:space="preserve">Pndte transferencia    
Transferencia Caixa x el total 567,90€ realizada el 12/05/25            </t>
        </r>
        <r>
          <rPr>
            <b/>
            <sz val="9"/>
            <color indexed="81"/>
            <rFont val="Tahoma"/>
            <family val="2"/>
          </rPr>
          <t xml:space="preserve">-----------------------------
Fra Talleres S. Fernández del 31/03/25: 142,78€.
</t>
        </r>
        <r>
          <rPr>
            <sz val="9"/>
            <color indexed="81"/>
            <rFont val="Tahoma"/>
            <family val="2"/>
          </rPr>
          <t xml:space="preserve">Pndte transferencia   Transferencia Caixa x el total 567,90€ realizada el 12/05/25
-----------------------------------
</t>
        </r>
        <r>
          <rPr>
            <b/>
            <sz val="9"/>
            <color indexed="81"/>
            <rFont val="Tahoma"/>
            <family val="2"/>
          </rPr>
          <t xml:space="preserve">AUTORECAMBIOS COLON </t>
        </r>
        <r>
          <rPr>
            <sz val="9"/>
            <color indexed="81"/>
            <rFont val="Tahoma"/>
            <family val="2"/>
          </rPr>
          <t xml:space="preserve">
Fra del 14/05/25.
124,63€: Bateria
Transferencia realizada el 13/05/25.
---------------------------------
</t>
        </r>
        <r>
          <rPr>
            <b/>
            <sz val="9"/>
            <color indexed="81"/>
            <rFont val="Tahoma"/>
            <family val="2"/>
          </rPr>
          <t xml:space="preserve">Fra Neumáticos Ntra.Sra. de la Peña,C.B. del 28/05/25 </t>
        </r>
        <r>
          <rPr>
            <sz val="9"/>
            <color indexed="81"/>
            <rFont val="Tahoma"/>
            <family val="2"/>
          </rPr>
          <t xml:space="preserve">
Mantenimiento maquinaria: Reparación pinchazos tractor: 60,50€.
Transf. Caixa realizada por ALF el 28/05/25
-------------------------------------
</t>
        </r>
        <r>
          <rPr>
            <b/>
            <sz val="9"/>
            <color indexed="81"/>
            <rFont val="Tahoma"/>
            <family val="2"/>
          </rPr>
          <t>Antonio Mecanico por repaso empacadora.</t>
        </r>
        <r>
          <rPr>
            <sz val="9"/>
            <color indexed="81"/>
            <rFont val="Tahoma"/>
            <family val="2"/>
          </rPr>
          <t xml:space="preserve">
+120 extra de caja</t>
        </r>
      </text>
    </comment>
    <comment ref="BD96" authorId="2" shapeId="0" xr:uid="{86AD1431-E3E5-48AD-91DB-7800422AFBFA}">
      <text>
        <r>
          <rPr>
            <b/>
            <sz val="9"/>
            <color indexed="81"/>
            <rFont val="Tahoma"/>
            <family val="2"/>
          </rPr>
          <t>Maria:</t>
        </r>
        <r>
          <rPr>
            <sz val="9"/>
            <color indexed="81"/>
            <rFont val="Tahoma"/>
            <family val="2"/>
          </rPr>
          <t xml:space="preserve">
Fra La casa del ganadero del 03/06/25.
Varios: 2.327,36€. 
Transf. Caixa realizada el 20/06/25 
Antonio Mecanico por tractor 6210 y deposito gasoil: 130 de caja
Manolo Ruiz por vallado que separa de Lucia a medias: 1091 de caja</t>
        </r>
      </text>
    </comment>
    <comment ref="BE96" authorId="2" shapeId="0" xr:uid="{471BABCF-EDB6-46F8-BA9B-CBB93B8C4F2A}">
      <text>
        <r>
          <rPr>
            <b/>
            <sz val="9"/>
            <color indexed="81"/>
            <rFont val="Tahoma"/>
            <family val="2"/>
          </rPr>
          <t>Maria:</t>
        </r>
        <r>
          <rPr>
            <sz val="9"/>
            <color indexed="81"/>
            <rFont val="Tahoma"/>
            <family val="2"/>
          </rPr>
          <t xml:space="preserve">
Fra TODO CAMPO del 01/07/25.
Varios: 79,90€. 
Transferencia realizada el 02/07/25.
-------------------------------
Fra Construcciones cuaresmas del 02/07/25.
Varios obras: 249,54€. 
Pendiente realizar transferencia.
-------------------------------
Fra Construcciones cuaresmas del 22/07/25.
Varios obras: 439,90€. 
Pendiente realizar transferencia.</t>
        </r>
      </text>
    </comment>
    <comment ref="BF96" authorId="2" shapeId="0" xr:uid="{F99867D7-FA70-4A9C-BAF3-C9F5B435A5C6}">
      <text>
        <r>
          <rPr>
            <sz val="9"/>
            <color indexed="81"/>
            <rFont val="Tahoma"/>
            <family val="2"/>
          </rPr>
          <t>Fra Construcciones cuaresmas del 22/07/25.
Varios obras: 439,90€. 
Transf. Caixa realizada el 04/08/25 
---------------------------------
Fra Días Épicos del 18/08/25.
Reparacion tractor 6230: 525,95€. 
Transferencia realizada el 29/08/25
------------------------
A Antonio mecanico y portugues por M.O. valvulas 6230: 
470 DE CAJA
-------------------
A Antonio mecanico por arreglo 3210:
90 DE CAJA</t>
        </r>
      </text>
    </comment>
    <comment ref="BJ96" authorId="2" shapeId="0" xr:uid="{C602E99C-23A8-4701-8BB6-58AF2292CC72}">
      <text>
        <r>
          <rPr>
            <b/>
            <sz val="9"/>
            <color indexed="81"/>
            <rFont val="Tahoma"/>
            <family val="2"/>
          </rPr>
          <t>Maria:</t>
        </r>
        <r>
          <rPr>
            <sz val="9"/>
            <color indexed="81"/>
            <rFont val="Tahoma"/>
            <family val="2"/>
          </rPr>
          <t xml:space="preserve">
Fra Construcciones cuaresma del 02/07/25 (recibida el 03/09 con fecha correcta de 2025).
Varios obras: 249,54€. 
Transferencia realizada el 03/09/25
-------------------------------
Jaime mecánico arreglo pick up (bomba agua, pastillas freno, rodamiento rueda, anticongelante, liquido frenos y brazos suspensión) ticket archivado: 740 DE CAJA
--------------------------
Cubierta remolque y arreglo de la otra a cuñado Mariano: 120 de caja
-----------------------
Jaime Mecanico por arreglo Frontera. 980 de caja</t>
        </r>
      </text>
    </comment>
    <comment ref="BK96" authorId="2" shapeId="0" xr:uid="{A94BC264-C324-48EB-A6A9-9B5CE98DE0A4}">
      <text>
        <r>
          <rPr>
            <b/>
            <sz val="9"/>
            <color indexed="81"/>
            <rFont val="Tahoma"/>
            <family val="2"/>
          </rPr>
          <t>Maria:</t>
        </r>
        <r>
          <rPr>
            <sz val="9"/>
            <color indexed="81"/>
            <rFont val="Tahoma"/>
            <family val="2"/>
          </rPr>
          <t xml:space="preserve">
Fra la casa del ganadero del 08/09/25. 
Varios: 340,16€.  
Transf. Caixa realizada el 15/10/25
------------------------------
Fra Talleres S. Fernandez del 30/05/25.
Mantemiento: 382,48€.  
Transf. Caixa realizada el 15/10/25
------------------------------
Fra Maq. Garcia Agricola del 15/09/25.
Bomba alimentación y motor arranque Tractor 6230: 465,85€.  
Transf. Caixa realizada el 15/10/25
------------------------------
Fra Neumaticos Orihuela del 22/09/25.
Tractor: 3.515,87€ 
Transf. Caixa realizada el 15/10/25
------------------------------
Fra Victor herrador del 25/09/25.
Varios: 150,81€. 
Transf. Caixa realizada el 09/10/25
------------------------------
Fra Juan Luis Rivas del 03/10/25.
Reparación: 432,42€.  
Transf. Caixa realizada el 15/10/25
------------------------------</t>
        </r>
      </text>
    </comment>
    <comment ref="BL96" authorId="2" shapeId="0" xr:uid="{AA470B22-53F1-49FF-B9B8-98B2278DAD6B}">
      <text>
        <r>
          <rPr>
            <b/>
            <sz val="9"/>
            <color indexed="81"/>
            <rFont val="Tahoma"/>
            <family val="2"/>
          </rPr>
          <t>Maria:</t>
        </r>
        <r>
          <rPr>
            <sz val="9"/>
            <color indexed="81"/>
            <rFont val="Tahoma"/>
            <family val="2"/>
          </rPr>
          <t xml:space="preserve">
Fra Victor Herrador del 03/11/25.
Mantenimiento: 370,66€.
Transferencia Caixa realizada el 21/11/25
-------------------------------------------
Fra Joaquin capelo del 28/11/24.
Mantenimiento: 335,00€
Transferencia Caixa realizada el 05/11/25
-------------------------------------------
Fra Miguel Ángel Gómez del 17/10/25.
Cubiertas y montaje ruedas del remolque: 157,30€.
Transferencia Caixa realizada el 18/11/25</t>
        </r>
      </text>
    </comment>
    <comment ref="BM96" authorId="2" shapeId="0" xr:uid="{7E8E97B9-7FFD-4F8A-9E83-4E984BB643AD}">
      <text>
        <r>
          <rPr>
            <b/>
            <sz val="9"/>
            <color indexed="81"/>
            <rFont val="Tahoma"/>
            <family val="2"/>
          </rPr>
          <t>Maria:</t>
        </r>
        <r>
          <rPr>
            <sz val="9"/>
            <color indexed="81"/>
            <rFont val="Tahoma"/>
            <family val="2"/>
          </rPr>
          <t xml:space="preserve">
Fra La Casa del ganadero del 28/11/25.
Varios: 3.314,03€. 
Transferencia realizada el 04/12/25
---------------------------------
Fra La Casa del ganadero del 18/10/25.
Varios: 638,20€. 
Transferencia realizada el 04/12/25
---------------------------------
Fra Marvea del 25/09/25.
Pegamento pinchazos: 32,73€.
Pagado por ALF
Realizar transferencia a ALF
Transferencia realizada el 23/12/25</t>
        </r>
      </text>
    </comment>
    <comment ref="BN96" authorId="2" shapeId="0" xr:uid="{29373288-BECD-44F2-B73A-4E0D8BB80C66}">
      <text>
        <r>
          <rPr>
            <b/>
            <sz val="9"/>
            <color indexed="81"/>
            <rFont val="Tahoma"/>
            <family val="2"/>
          </rPr>
          <t>Maria:</t>
        </r>
        <r>
          <rPr>
            <sz val="9"/>
            <color indexed="81"/>
            <rFont val="Tahoma"/>
            <family val="2"/>
          </rPr>
          <t xml:space="preserve">
Fra La Casa del ganadero del 29/12/25.
Varios: 76,50€. 
Pendiente
Transf. Caixa realizada el 27/01/26
---------------------------------
</t>
        </r>
      </text>
    </comment>
    <comment ref="BP96" authorId="2" shapeId="0" xr:uid="{8FDD7A4B-6BBD-4503-B3A0-75C07F9296AA}">
      <text>
        <r>
          <rPr>
            <b/>
            <sz val="9"/>
            <color indexed="81"/>
            <rFont val="Tahoma"/>
            <family val="2"/>
          </rPr>
          <t>Maria:</t>
        </r>
        <r>
          <rPr>
            <sz val="9"/>
            <color indexed="81"/>
            <rFont val="Tahoma"/>
            <family val="2"/>
          </rPr>
          <t xml:space="preserve">
Fra Barcia del 16/03/26. 
Manteniemiento: 121,00€.
Pendiente transfer. 
Transferencia Caixa realizada el 31/03/26
-------------------------------------
</t>
        </r>
      </text>
    </comment>
    <comment ref="BQ96" authorId="2" shapeId="0" xr:uid="{99B01E2A-F2F9-4DFA-895C-CE16D5839CC4}">
      <text>
        <r>
          <rPr>
            <b/>
            <sz val="9"/>
            <color indexed="81"/>
            <rFont val="Tahoma"/>
            <family val="2"/>
          </rPr>
          <t>Maria:</t>
        </r>
        <r>
          <rPr>
            <sz val="9"/>
            <color indexed="81"/>
            <rFont val="Tahoma"/>
            <family val="2"/>
          </rPr>
          <t xml:space="preserve">
Fra La casa del ganadero del 31/03/26.
374,13€.
Pendiente transfer. 
Transf. realizada el 29/04/26</t>
        </r>
      </text>
    </comment>
    <comment ref="BR96" authorId="2" shapeId="0" xr:uid="{6FE54318-4CF3-47B1-8268-38F904CD4A35}">
      <text>
        <r>
          <rPr>
            <b/>
            <sz val="9"/>
            <color indexed="81"/>
            <rFont val="Tahoma"/>
            <family val="2"/>
          </rPr>
          <t>Maria:</t>
        </r>
        <r>
          <rPr>
            <sz val="9"/>
            <color indexed="81"/>
            <rFont val="Tahoma"/>
            <family val="2"/>
          </rPr>
          <t xml:space="preserve">
</t>
        </r>
        <r>
          <rPr>
            <b/>
            <sz val="9"/>
            <color indexed="81"/>
            <rFont val="Tahoma"/>
            <family val="2"/>
          </rPr>
          <t>Fra Victor herrador del 20/05/26.</t>
        </r>
        <r>
          <rPr>
            <sz val="9"/>
            <color indexed="81"/>
            <rFont val="Tahoma"/>
            <family val="2"/>
          </rPr>
          <t xml:space="preserve">
Varios: 512,24€. 
Transf. Caixa realizada el 22/05/26
----------------------------------
</t>
        </r>
        <r>
          <rPr>
            <b/>
            <sz val="9"/>
            <color indexed="81"/>
            <rFont val="Tahoma"/>
            <family val="2"/>
          </rPr>
          <t>Fra Auto Recambios Huelva del 06/05/26.</t>
        </r>
        <r>
          <rPr>
            <sz val="9"/>
            <color indexed="81"/>
            <rFont val="Tahoma"/>
            <family val="2"/>
          </rPr>
          <t xml:space="preserve">
362,94€: Pieza coche Nissam Pick Up
Transf. Caixa realizada el 06/05/26
------------------------------------
</t>
        </r>
        <r>
          <rPr>
            <b/>
            <sz val="9"/>
            <color indexed="81"/>
            <rFont val="Tahoma"/>
            <family val="2"/>
          </rPr>
          <t>Fra Auto Recambios Huelva del 25/05/26.</t>
        </r>
        <r>
          <rPr>
            <sz val="9"/>
            <color indexed="81"/>
            <rFont val="Tahoma"/>
            <family val="2"/>
          </rPr>
          <t xml:space="preserve">
26,46€: Pieza recambio coche Nissam Pick Up
Transf. Caixa realizada el 25/05/26
------------------------------------
</t>
        </r>
        <r>
          <rPr>
            <b/>
            <sz val="9"/>
            <color indexed="81"/>
            <rFont val="Tahoma"/>
            <family val="2"/>
          </rPr>
          <t>Fra pedro escudero del 12/04/26</t>
        </r>
        <r>
          <rPr>
            <sz val="9"/>
            <color indexed="81"/>
            <rFont val="Tahoma"/>
            <family val="2"/>
          </rPr>
          <t xml:space="preserve">
mantenimiento: 1.078,11€
Transf. Caixa realizada el 29/05/26
</t>
        </r>
      </text>
    </comment>
    <comment ref="BS96" authorId="2" shapeId="0" xr:uid="{06F9F7EC-8469-4C14-ABFD-82376B82045A}">
      <text>
        <r>
          <rPr>
            <b/>
            <sz val="9"/>
            <color indexed="81"/>
            <rFont val="Tahoma"/>
            <family val="2"/>
          </rPr>
          <t>Maria:</t>
        </r>
        <r>
          <rPr>
            <sz val="9"/>
            <color indexed="81"/>
            <rFont val="Tahoma"/>
            <family val="2"/>
          </rPr>
          <t xml:space="preserve">
Fra Auto Recambios Huelva del 04/06/26.
228,97€: Pieza coche Nissam Pick Up
Transf. Caixa realizada el 02/06/26
----------------------------------------------
Fra Victor herrador del 02/06/26.
Varios: 52,54€. 
Pednt transfer. </t>
        </r>
      </text>
    </comment>
    <comment ref="B97" authorId="3" shapeId="0" xr:uid="{00000000-0006-0000-0500-0000EA000000}">
      <text>
        <r>
          <rPr>
            <b/>
            <sz val="9"/>
            <color indexed="81"/>
            <rFont val="Tahoma"/>
            <family val="2"/>
          </rPr>
          <t>Cada vez que se rellena, el 50% nos facturan a Molino y el otro a Antonio.</t>
        </r>
      </text>
    </comment>
    <comment ref="AH97" authorId="0" shapeId="0" xr:uid="{BE690E81-3988-4CE0-B75A-C61DC3D7AC7D}">
      <text>
        <r>
          <rPr>
            <b/>
            <sz val="9"/>
            <color indexed="81"/>
            <rFont val="Tahoma"/>
            <family val="2"/>
          </rPr>
          <t xml:space="preserve">Fra Hnos Orta del 23/10/23.
</t>
        </r>
        <r>
          <rPr>
            <sz val="9"/>
            <color indexed="81"/>
            <rFont val="Tahoma"/>
            <family val="2"/>
          </rPr>
          <t>Gasoleo B: 2.108,48€.
Pendiente realizar transferencia. 
Transferencia Caixa realizada el 20/12/23</t>
        </r>
      </text>
    </comment>
    <comment ref="AI97" authorId="0" shapeId="0" xr:uid="{F04E3CDE-3232-4F50-8815-6104564BA31F}">
      <text>
        <r>
          <rPr>
            <b/>
            <sz val="9"/>
            <color indexed="81"/>
            <rFont val="Tahoma"/>
            <family val="2"/>
          </rPr>
          <t xml:space="preserve">Fra Hnos Orta del 16/01/24.
</t>
        </r>
        <r>
          <rPr>
            <sz val="9"/>
            <color indexed="81"/>
            <rFont val="Tahoma"/>
            <family val="2"/>
          </rPr>
          <t>Gasoleo B: 1.024,00€.
Pendiente realizar transferencia. 
Transferencia realizada el 29/01/24.</t>
        </r>
      </text>
    </comment>
    <comment ref="AL97" authorId="0" shapeId="0" xr:uid="{26B5277D-2AC0-447B-B991-9144F9C3F420}">
      <text>
        <r>
          <rPr>
            <sz val="9"/>
            <color indexed="81"/>
            <rFont val="Tahoma"/>
            <family val="2"/>
          </rPr>
          <t>Fra Hnos Orta del 01/03/24: 530,50 €
Transferencia Caixa realizada el 25/04/24</t>
        </r>
      </text>
    </comment>
    <comment ref="AO97" authorId="0" shapeId="0" xr:uid="{D70D690D-B009-4C8B-9C9D-FDF4465B8646}">
      <text>
        <r>
          <rPr>
            <sz val="9"/>
            <color indexed="81"/>
            <rFont val="Tahoma"/>
            <family val="2"/>
          </rPr>
          <t>Albaran Hnos Orta: 1.015€.</t>
        </r>
        <r>
          <rPr>
            <b/>
            <sz val="9"/>
            <color indexed="81"/>
            <rFont val="Tahoma"/>
            <family val="2"/>
          </rPr>
          <t xml:space="preserve">
Fra Hnos Orta del 02/07/24.
</t>
        </r>
        <r>
          <rPr>
            <sz val="9"/>
            <color indexed="81"/>
            <rFont val="Tahoma"/>
            <family val="2"/>
          </rPr>
          <t xml:space="preserve">Gasoleo B: 1.015,00€.
Pendiente realizar transferencia.
Transf. Caixa realizada el 17/07/24 
-----------------------------------
</t>
        </r>
        <r>
          <rPr>
            <b/>
            <sz val="9"/>
            <color indexed="81"/>
            <rFont val="Tahoma"/>
            <family val="2"/>
          </rPr>
          <t>Fra Hnos Orta del 08/04/24.</t>
        </r>
        <r>
          <rPr>
            <sz val="9"/>
            <color indexed="81"/>
            <rFont val="Tahoma"/>
            <family val="2"/>
          </rPr>
          <t xml:space="preserve">
Gasoleo B: 2.128,00€.
Pendiente realizar transferencia.
Transf. Caixa realizada el 17/07/24</t>
        </r>
      </text>
    </comment>
    <comment ref="AU97" authorId="2" shapeId="0" xr:uid="{9ACA70B6-6B76-4E40-AA67-380FF39A3E79}">
      <text>
        <r>
          <rPr>
            <b/>
            <sz val="9"/>
            <color indexed="81"/>
            <rFont val="Tahoma"/>
            <family val="2"/>
          </rPr>
          <t>Maria:</t>
        </r>
        <r>
          <rPr>
            <sz val="9"/>
            <color indexed="81"/>
            <rFont val="Tahoma"/>
            <family val="2"/>
          </rPr>
          <t xml:space="preserve">
Fra del 11/09/24.
Gasoleo B: 1.700,00€. 
Pendiente realizar transferencia. 
Transf. Caixa realizada el 27/09/24  </t>
        </r>
      </text>
    </comment>
    <comment ref="AX97" authorId="2" shapeId="0" xr:uid="{16175F8B-6F86-4006-BE6E-5939B46FCB15}">
      <text>
        <r>
          <rPr>
            <b/>
            <sz val="9"/>
            <color indexed="81"/>
            <rFont val="Tahoma"/>
            <family val="2"/>
          </rPr>
          <t>Maria:</t>
        </r>
        <r>
          <rPr>
            <sz val="9"/>
            <color indexed="81"/>
            <rFont val="Tahoma"/>
            <family val="2"/>
          </rPr>
          <t xml:space="preserve">
Fra H.nos Orta del 08/10/24.
Pendiente realizar trasnferencia. 
Transf. Caixa realizada el 18/12/24</t>
        </r>
      </text>
    </comment>
    <comment ref="BD97" authorId="2" shapeId="0" xr:uid="{201BB7DA-B8CB-4F1F-828B-7F3E6889766C}">
      <text>
        <r>
          <rPr>
            <b/>
            <sz val="9"/>
            <color indexed="81"/>
            <rFont val="Tahoma"/>
            <family val="2"/>
          </rPr>
          <t>Maria:</t>
        </r>
        <r>
          <rPr>
            <sz val="9"/>
            <color indexed="81"/>
            <rFont val="Tahoma"/>
            <family val="2"/>
          </rPr>
          <t xml:space="preserve">
Fra Hnos Orta del 04/06/25: 1.272,00€
Transf. Caixa realizada el 20/06/25</t>
        </r>
      </text>
    </comment>
    <comment ref="BF97" authorId="2" shapeId="0" xr:uid="{4D61DFCC-719F-40C3-A6D4-FB2ED000410F}">
      <text>
        <r>
          <rPr>
            <b/>
            <sz val="9"/>
            <color indexed="81"/>
            <rFont val="Tahoma"/>
            <family val="2"/>
          </rPr>
          <t>Maria:</t>
        </r>
        <r>
          <rPr>
            <sz val="9"/>
            <color indexed="81"/>
            <rFont val="Tahoma"/>
            <family val="2"/>
          </rPr>
          <t xml:space="preserve">
Fra Hnos Orta del 18/06/25: 2.126,50€
Pendiente realizar transferencia. 
Transferencia Caixa realizada el 01/08/25</t>
        </r>
      </text>
    </comment>
    <comment ref="BL97" authorId="2" shapeId="0" xr:uid="{4A6508D4-3E4C-4D35-88FC-F2B6E2FB2A7B}">
      <text>
        <r>
          <rPr>
            <b/>
            <sz val="9"/>
            <color indexed="81"/>
            <rFont val="Tahoma"/>
            <family val="2"/>
          </rPr>
          <t>Maria:</t>
        </r>
        <r>
          <rPr>
            <sz val="9"/>
            <color indexed="81"/>
            <rFont val="Tahoma"/>
            <family val="2"/>
          </rPr>
          <t xml:space="preserve">
Fra Hnos ORTA DEL 13/11/25.
Gasoleo: 1.884,00€. 
Pendiente. 
Transferencia Caixa realizada el 21/11/25</t>
        </r>
      </text>
    </comment>
    <comment ref="BP97" authorId="2" shapeId="0" xr:uid="{D1DA1C65-8C84-4B91-8B19-20AAD1778DE6}">
      <text>
        <r>
          <rPr>
            <b/>
            <sz val="9"/>
            <color indexed="81"/>
            <rFont val="Tahoma"/>
            <family val="2"/>
          </rPr>
          <t>Maria:</t>
        </r>
        <r>
          <rPr>
            <sz val="9"/>
            <color indexed="81"/>
            <rFont val="Tahoma"/>
            <family val="2"/>
          </rPr>
          <t xml:space="preserve">
Fra Hnos Orta del 04/03/26.
gasoil: 1.047,00€. 
Trasnferencia
Transferencia Caixa realizada el 31/03/26</t>
        </r>
      </text>
    </comment>
    <comment ref="BS97" authorId="2" shapeId="0" xr:uid="{027833FD-E4C8-4A5C-B494-300A54414DD2}">
      <text>
        <r>
          <rPr>
            <b/>
            <sz val="9"/>
            <color indexed="81"/>
            <rFont val="Tahoma"/>
            <family val="2"/>
          </rPr>
          <t>Maria:</t>
        </r>
        <r>
          <rPr>
            <sz val="9"/>
            <color indexed="81"/>
            <rFont val="Tahoma"/>
            <family val="2"/>
          </rPr>
          <t xml:space="preserve">
Fra Hnos ORTA del 02/06/26: 3.174,00€.
Pdnt transfer. </t>
        </r>
      </text>
    </comment>
    <comment ref="B98" authorId="3" shapeId="0" xr:uid="{00000000-0006-0000-0500-0000F3000000}">
      <text>
        <r>
          <rPr>
            <b/>
            <sz val="9"/>
            <color indexed="81"/>
            <rFont val="Tahoma"/>
            <family val="2"/>
          </rPr>
          <t>Cada 3 o 4 meses se suman los litros consumidos (que se anotan al echar), y desde Molino le pedimos a Hnos Horata que rellene esos litros y nos los facture a Molino, como pago a Antonio, quedando al día este concepto</t>
        </r>
      </text>
    </comment>
    <comment ref="AE98" authorId="0" shapeId="0" xr:uid="{E38E62AF-F734-4A61-BF9E-FCFC16C92C8F}">
      <text>
        <r>
          <rPr>
            <sz val="9"/>
            <color indexed="81"/>
            <rFont val="Tahoma"/>
            <family val="2"/>
          </rPr>
          <t>Fra Maria Luisa Lopez del 23/09/23.
Gasoil: 99,99€. 
Fra E.S Rosal de la Frontera 06/09/23. 
Gasolina: 20,00€
Transferencia realizada el 29/09/23 a Miguel</t>
        </r>
      </text>
    </comment>
    <comment ref="AF98" authorId="0" shapeId="0" xr:uid="{01860A15-201A-4ACE-813F-008B2A4431EC}">
      <text>
        <r>
          <rPr>
            <sz val="9"/>
            <color indexed="81"/>
            <rFont val="Tahoma"/>
            <family val="2"/>
          </rPr>
          <t xml:space="preserve">
Trnasferencias a </t>
        </r>
        <r>
          <rPr>
            <b/>
            <sz val="9"/>
            <color indexed="81"/>
            <rFont val="Tahoma"/>
            <family val="2"/>
          </rPr>
          <t>MIGUEL ANGEL</t>
        </r>
        <r>
          <rPr>
            <sz val="9"/>
            <color indexed="81"/>
            <rFont val="Tahoma"/>
            <family val="2"/>
          </rPr>
          <t xml:space="preserve">
Fra Maria Luisa Lopez del 05/10/23.
Gasoil: 50,00€. 
Fra Maria Luisa Lopez del 25/10/23.
Gasoil: 50,00€. 
Transferencia realizada el 30/10/23.
---------------------------------------------------
Transferencias a </t>
        </r>
        <r>
          <rPr>
            <b/>
            <sz val="9"/>
            <color indexed="81"/>
            <rFont val="Tahoma"/>
            <family val="2"/>
          </rPr>
          <t>FRAN</t>
        </r>
        <r>
          <rPr>
            <sz val="9"/>
            <color indexed="81"/>
            <rFont val="Tahoma"/>
            <family val="2"/>
          </rPr>
          <t xml:space="preserve"> 
Fra E.S Rosal de la Frontera del 03/10/23.
Gasolina: 81,01€. 
Fra E.S Rosal de la Frontera del 22/10/23.
Gasolina: 10,00€. 
Transferencia realizada el 30/10/23.
---------------------------------------------
Transferncias a </t>
        </r>
        <r>
          <rPr>
            <b/>
            <sz val="9"/>
            <color indexed="81"/>
            <rFont val="Tahoma"/>
            <family val="2"/>
          </rPr>
          <t>MARIANO</t>
        </r>
        <r>
          <rPr>
            <sz val="9"/>
            <color indexed="81"/>
            <rFont val="Tahoma"/>
            <family val="2"/>
          </rPr>
          <t xml:space="preserve">
Fra E.S Santa Barbara de casa.
Gasolina: 67,40€. 
Transferencia realizada el 30/10/23.</t>
        </r>
      </text>
    </comment>
    <comment ref="AG98" authorId="0" shapeId="0" xr:uid="{2C28D8FF-0A50-45E3-8EAF-22BA7339DAC3}">
      <text>
        <r>
          <rPr>
            <b/>
            <sz val="9"/>
            <color indexed="81"/>
            <rFont val="Tahoma"/>
            <family val="2"/>
          </rPr>
          <t xml:space="preserve">Fra Fuel Andevalo del 31/10/23.
</t>
        </r>
        <r>
          <rPr>
            <sz val="9"/>
            <color indexed="81"/>
            <rFont val="Tahoma"/>
            <family val="2"/>
          </rPr>
          <t xml:space="preserve">Butano:79,01€. 
Transferencia realizada el 07/11/23.
------------------------------------------------------
Transferencias a </t>
        </r>
        <r>
          <rPr>
            <b/>
            <sz val="9"/>
            <color indexed="81"/>
            <rFont val="Tahoma"/>
            <family val="2"/>
          </rPr>
          <t>FRAN</t>
        </r>
        <r>
          <rPr>
            <sz val="9"/>
            <color indexed="81"/>
            <rFont val="Tahoma"/>
            <family val="2"/>
          </rPr>
          <t xml:space="preserve"> 
Fra E.S Rosal de la Frontera del 31/10/23.
Gasolina: 76,46€. 
Pendiente realizar transferncia.
Transferencia realizada el 29/11/23.
----------------------------------------------------</t>
        </r>
      </text>
    </comment>
    <comment ref="AH98" authorId="0" shapeId="0" xr:uid="{95FE9E7E-1B24-4B5D-96AD-FDC530EF33B2}">
      <text>
        <r>
          <rPr>
            <sz val="9"/>
            <color indexed="81"/>
            <rFont val="Tahoma"/>
            <family val="2"/>
          </rPr>
          <t xml:space="preserve">
Transferencias a </t>
        </r>
        <r>
          <rPr>
            <b/>
            <sz val="9"/>
            <color indexed="81"/>
            <rFont val="Tahoma"/>
            <family val="2"/>
          </rPr>
          <t>FRAN</t>
        </r>
        <r>
          <rPr>
            <sz val="9"/>
            <color indexed="81"/>
            <rFont val="Tahoma"/>
            <family val="2"/>
          </rPr>
          <t xml:space="preserve"> 
Fra E.S Rosal de la Frontera del 03/12/23.
Gasolina: 48,50€. 
Pendiente realizar transferencia.
Transferencia Caixa realizada el 28/12/23
----------------------------------</t>
        </r>
      </text>
    </comment>
    <comment ref="AI98" authorId="0" shapeId="0" xr:uid="{42937032-6045-4507-9FAF-7FD768F4E004}">
      <text>
        <r>
          <rPr>
            <b/>
            <sz val="9"/>
            <color indexed="81"/>
            <rFont val="Tahoma"/>
            <family val="2"/>
          </rPr>
          <t xml:space="preserve">Fra Fuel Andevalo del 31/12/23.
</t>
        </r>
        <r>
          <rPr>
            <sz val="9"/>
            <color indexed="81"/>
            <rFont val="Tahoma"/>
            <family val="2"/>
          </rPr>
          <t xml:space="preserve">Gasolina: 193,48€. 
Transferencia realizada el 11/01/24. 
---------------------------------
</t>
        </r>
        <r>
          <rPr>
            <b/>
            <sz val="9"/>
            <color indexed="81"/>
            <rFont val="Tahoma"/>
            <family val="2"/>
          </rPr>
          <t>Transferencia a MARIANO</t>
        </r>
        <r>
          <rPr>
            <sz val="9"/>
            <color indexed="81"/>
            <rFont val="Tahoma"/>
            <family val="2"/>
          </rPr>
          <t xml:space="preserve">
Fra E.S Santa Barbara de casa el 03/01/24.
Gasolina para generador: 20€. 
Transferencia realizada el 29/01/24.</t>
        </r>
      </text>
    </comment>
    <comment ref="AJ98" authorId="0" shapeId="0" xr:uid="{0797DA79-012B-4369-8408-BA4444A7FA4F}">
      <text>
        <r>
          <rPr>
            <sz val="9"/>
            <color indexed="81"/>
            <rFont val="Tahoma"/>
            <family val="2"/>
          </rPr>
          <t xml:space="preserve">
Transferencias a </t>
        </r>
        <r>
          <rPr>
            <b/>
            <sz val="9"/>
            <color indexed="81"/>
            <rFont val="Tahoma"/>
            <family val="2"/>
          </rPr>
          <t>FRAN</t>
        </r>
        <r>
          <rPr>
            <sz val="9"/>
            <color indexed="81"/>
            <rFont val="Tahoma"/>
            <family val="2"/>
          </rPr>
          <t xml:space="preserve"> 
Fra E.S Rosal de la Frontera del 29/01/24.
Gasolina: 48,50€. 
Pendiente realizar transferencia.
Transferencia Caixa realizada el 29/02/24
----------------------------------
Transferencia a </t>
        </r>
        <r>
          <rPr>
            <b/>
            <sz val="9"/>
            <color indexed="81"/>
            <rFont val="Tahoma"/>
            <family val="2"/>
          </rPr>
          <t>MARIANO</t>
        </r>
        <r>
          <rPr>
            <sz val="9"/>
            <color indexed="81"/>
            <rFont val="Tahoma"/>
            <family val="2"/>
          </rPr>
          <t xml:space="preserve">
Fra E.S Santa Barbara de casa el 19/02/24.
Gasolina para generador: 18€. 
Transferencia realizada el 29/02/24.</t>
        </r>
      </text>
    </comment>
    <comment ref="AK98" authorId="0" shapeId="0" xr:uid="{51EE2ADF-CF85-47AC-AA06-67CF532B7E83}">
      <text>
        <r>
          <rPr>
            <b/>
            <sz val="9"/>
            <color indexed="81"/>
            <rFont val="Tahoma"/>
            <family val="2"/>
          </rPr>
          <t xml:space="preserve">Fra Solred del 29/02/24.
</t>
        </r>
        <r>
          <rPr>
            <sz val="9"/>
            <color indexed="81"/>
            <rFont val="Tahoma"/>
            <family val="2"/>
          </rPr>
          <t>Gasolina: 84,79€
Cargado: 01/03/24</t>
        </r>
      </text>
    </comment>
    <comment ref="AL98" authorId="0" shapeId="0" xr:uid="{86291189-CE84-4B5F-8074-6CF3EA813B16}">
      <text>
        <r>
          <rPr>
            <b/>
            <sz val="9"/>
            <color indexed="81"/>
            <rFont val="Tahoma"/>
            <family val="2"/>
          </rPr>
          <t xml:space="preserve">Fra Solred del 31/03/24.
</t>
        </r>
        <r>
          <rPr>
            <sz val="9"/>
            <color indexed="81"/>
            <rFont val="Tahoma"/>
            <family val="2"/>
          </rPr>
          <t>Gasolina: 229,08€
Cargado: 01/04/24</t>
        </r>
        <r>
          <rPr>
            <b/>
            <sz val="9"/>
            <color indexed="81"/>
            <rFont val="Tahoma"/>
            <family val="2"/>
          </rPr>
          <t xml:space="preserve">
-----------------------
Fra Fuel Andevalo del 31/01/24.
</t>
        </r>
        <r>
          <rPr>
            <sz val="9"/>
            <color indexed="81"/>
            <rFont val="Tahoma"/>
            <family val="2"/>
          </rPr>
          <t>Gasolina: 249,95€. 
Realizar transferencia 
Transferencia Caixa por el total 577,36€ realizada el 25/04/24</t>
        </r>
        <r>
          <rPr>
            <b/>
            <sz val="9"/>
            <color indexed="81"/>
            <rFont val="Tahoma"/>
            <family val="2"/>
          </rPr>
          <t xml:space="preserve">
---------------------------------
Fra Fuel Andevalo del 31/03/24.
</t>
        </r>
        <r>
          <rPr>
            <sz val="9"/>
            <color indexed="81"/>
            <rFont val="Tahoma"/>
            <family val="2"/>
          </rPr>
          <t xml:space="preserve">Gasolina: 327,41€. 
Realizar transferencia
Transferencia Caixa por el total 577,36€ realizada el 25/04/24
----------------------------------------------
</t>
        </r>
        <r>
          <rPr>
            <b/>
            <sz val="9"/>
            <color indexed="81"/>
            <rFont val="Tahoma"/>
            <family val="2"/>
          </rPr>
          <t xml:space="preserve">Transferencias a FRAN:
Fra Galp del 01/03/24.
</t>
        </r>
        <r>
          <rPr>
            <sz val="9"/>
            <color indexed="81"/>
            <rFont val="Tahoma"/>
            <family val="2"/>
          </rPr>
          <t xml:space="preserve">Gasolina: 50,01€. 
</t>
        </r>
        <r>
          <rPr>
            <b/>
            <sz val="9"/>
            <color indexed="81"/>
            <rFont val="Tahoma"/>
            <family val="2"/>
          </rPr>
          <t>Ticket Mª Luisa Lopez Marquez de</t>
        </r>
        <r>
          <rPr>
            <sz val="9"/>
            <color indexed="81"/>
            <rFont val="Tahoma"/>
            <family val="2"/>
          </rPr>
          <t>l</t>
        </r>
        <r>
          <rPr>
            <b/>
            <sz val="9"/>
            <color indexed="81"/>
            <rFont val="Tahoma"/>
            <family val="2"/>
          </rPr>
          <t xml:space="preserve"> 20/03/24.</t>
        </r>
        <r>
          <rPr>
            <sz val="9"/>
            <color indexed="81"/>
            <rFont val="Tahoma"/>
            <family val="2"/>
          </rPr>
          <t xml:space="preserve">
Anticongelante: 17,85€.
</t>
        </r>
        <r>
          <rPr>
            <b/>
            <sz val="9"/>
            <color indexed="81"/>
            <rFont val="Tahoma"/>
            <family val="2"/>
          </rPr>
          <t>Fra E.S Rosal de la Frontera del 14/03/24.</t>
        </r>
        <r>
          <rPr>
            <sz val="9"/>
            <color indexed="81"/>
            <rFont val="Tahoma"/>
            <family val="2"/>
          </rPr>
          <t xml:space="preserve">
Gasolina: 40€.
</t>
        </r>
        <r>
          <rPr>
            <b/>
            <sz val="9"/>
            <color indexed="81"/>
            <rFont val="Tahoma"/>
            <family val="2"/>
          </rPr>
          <t>Fra E.S Rosal de la Frontera del 01/04/24.</t>
        </r>
        <r>
          <rPr>
            <sz val="9"/>
            <color indexed="81"/>
            <rFont val="Tahoma"/>
            <family val="2"/>
          </rPr>
          <t xml:space="preserve">
Gasolina: 50€.
157,86€: Transferencia Caixa realizada el 02/04/24
</t>
        </r>
      </text>
    </comment>
    <comment ref="AM98" authorId="0" shapeId="0" xr:uid="{823ACD14-F59C-4A23-B3CD-E766A6AFF4FC}">
      <text>
        <r>
          <rPr>
            <b/>
            <sz val="9"/>
            <color indexed="81"/>
            <rFont val="Tahoma"/>
            <family val="2"/>
          </rPr>
          <t xml:space="preserve">Fra Fuel Andevalo del 30/04/24.
</t>
        </r>
        <r>
          <rPr>
            <sz val="9"/>
            <color indexed="81"/>
            <rFont val="Tahoma"/>
            <family val="2"/>
          </rPr>
          <t xml:space="preserve">Gasolina: 64,71€. 
Realizar transferencia 
</t>
        </r>
        <r>
          <rPr>
            <b/>
            <sz val="9"/>
            <color indexed="81"/>
            <rFont val="Tahoma"/>
            <family val="2"/>
          </rPr>
          <t xml:space="preserve">
---------------------------------
Fra Solred del 30/04/24.
</t>
        </r>
        <r>
          <rPr>
            <sz val="9"/>
            <color indexed="81"/>
            <rFont val="Tahoma"/>
            <family val="2"/>
          </rPr>
          <t>Gasolina: 100,47€. 
Cargado: VISA 01/05/24.</t>
        </r>
      </text>
    </comment>
    <comment ref="AN98" authorId="0" shapeId="0" xr:uid="{203777D1-3A33-4686-812E-13B7591D9571}">
      <text>
        <r>
          <rPr>
            <b/>
            <sz val="9"/>
            <color indexed="81"/>
            <rFont val="Tahoma"/>
            <family val="2"/>
          </rPr>
          <t xml:space="preserve">Fra Solred del 31/05/24.
</t>
        </r>
        <r>
          <rPr>
            <sz val="9"/>
            <color indexed="81"/>
            <rFont val="Tahoma"/>
            <family val="2"/>
          </rPr>
          <t>Gasolina: 136,35€. 
Gasolina: 94,58€. 
Cargado: VISA 01/05/24.
--------------------------------
Transferencia a FRAN 
Fra E.S Rosal de la Frontera del 29/05/24.
Gasolina: 50€. 
Pendiente realizar transferencia.
Transferencia realizada el 28/06/24.</t>
        </r>
      </text>
    </comment>
    <comment ref="AO98" authorId="0" shapeId="0" xr:uid="{04D8F6B6-13F7-4B87-8CE5-33AE19CEB4E1}">
      <text>
        <r>
          <rPr>
            <b/>
            <sz val="9"/>
            <color indexed="81"/>
            <rFont val="Tahoma"/>
            <family val="2"/>
          </rPr>
          <t xml:space="preserve">Fra Solred del 31/05/24.
</t>
        </r>
        <r>
          <rPr>
            <sz val="9"/>
            <color indexed="81"/>
            <rFont val="Tahoma"/>
            <family val="2"/>
          </rPr>
          <t>Gasolina: 83,14€. 
Cargado: VISA 01/07/24.</t>
        </r>
      </text>
    </comment>
    <comment ref="AP98" authorId="2" shapeId="0" xr:uid="{FCFBA915-9E72-4301-8332-69133E690A2D}">
      <text>
        <r>
          <rPr>
            <b/>
            <sz val="9"/>
            <color indexed="81"/>
            <rFont val="Tahoma"/>
            <family val="2"/>
          </rPr>
          <t xml:space="preserve">Fra solred del 31/07/24.
</t>
        </r>
        <r>
          <rPr>
            <sz val="9"/>
            <color indexed="81"/>
            <rFont val="Tahoma"/>
            <family val="2"/>
          </rPr>
          <t xml:space="preserve">Cargado: VISA 01/08/24.
-------------------------------
</t>
        </r>
        <r>
          <rPr>
            <b/>
            <sz val="9"/>
            <color indexed="81"/>
            <rFont val="Tahoma"/>
            <family val="2"/>
          </rPr>
          <t>Fra Fuel Andevalo del 31/07/24.</t>
        </r>
        <r>
          <rPr>
            <sz val="9"/>
            <color indexed="81"/>
            <rFont val="Tahoma"/>
            <family val="2"/>
          </rPr>
          <t xml:space="preserve">
Gasolina y butano: 323,02€. 
</t>
        </r>
        <r>
          <rPr>
            <b/>
            <sz val="9"/>
            <color indexed="81"/>
            <rFont val="Tahoma"/>
            <family val="2"/>
          </rPr>
          <t>Fra Fuel Andevalo del 31/05/24.</t>
        </r>
        <r>
          <rPr>
            <sz val="9"/>
            <color indexed="81"/>
            <rFont val="Tahoma"/>
            <family val="2"/>
          </rPr>
          <t xml:space="preserve">
Gasolina y butano: 462,77€. 
Transferencia x el total 785,79€ el 22/08/24
</t>
        </r>
      </text>
    </comment>
    <comment ref="AU98" authorId="2" shapeId="0" xr:uid="{230342C3-41B3-4E03-AC50-9B81360B8447}">
      <text>
        <r>
          <rPr>
            <b/>
            <sz val="9"/>
            <color indexed="81"/>
            <rFont val="Tahoma"/>
            <family val="2"/>
          </rPr>
          <t xml:space="preserve">E.S Trigueros- pendiente factura :96,49€.
</t>
        </r>
      </text>
    </comment>
    <comment ref="AV98" authorId="2" shapeId="0" xr:uid="{D7B5E5FB-9650-49BF-BCDC-D3BA884073DA}">
      <text>
        <r>
          <rPr>
            <b/>
            <sz val="9"/>
            <color indexed="81"/>
            <rFont val="Tahoma"/>
            <family val="2"/>
          </rPr>
          <t xml:space="preserve">Fra Solred del 31/08/24.
</t>
        </r>
        <r>
          <rPr>
            <sz val="9"/>
            <color indexed="81"/>
            <rFont val="Tahoma"/>
            <family val="2"/>
          </rPr>
          <t>184,62.
VISA: 01/10/24
Fra Solred de Septiembre del _. 
VISA:01/10/24
-------------------------------</t>
        </r>
        <r>
          <rPr>
            <b/>
            <sz val="9"/>
            <color indexed="81"/>
            <rFont val="Tahoma"/>
            <family val="2"/>
          </rPr>
          <t xml:space="preserve">
Fra Fuel Andevalo del 31/08/24.</t>
        </r>
        <r>
          <rPr>
            <sz val="9"/>
            <color indexed="81"/>
            <rFont val="Tahoma"/>
            <family val="2"/>
          </rPr>
          <t xml:space="preserve">
gasolina: 39,00€. 
Pendiente realizar trasnferencia. 
Transferencia realizada el 17/10/24
----------------------------------------------
</t>
        </r>
        <r>
          <rPr>
            <b/>
            <sz val="9"/>
            <color indexed="81"/>
            <rFont val="Tahoma"/>
            <family val="2"/>
          </rPr>
          <t>Facturas Fuel Andevalo del 30/09/24.</t>
        </r>
        <r>
          <rPr>
            <sz val="9"/>
            <color indexed="81"/>
            <rFont val="Tahoma"/>
            <family val="2"/>
          </rPr>
          <t xml:space="preserve"> 
Gasolina: 36€.
Gasolina: 106,20€
Gasolina: 84,74€
Pendiente realizar trasnferencia. 
Transferencia realizada el 17/10/24
-------------------------------------------
</t>
        </r>
        <r>
          <rPr>
            <b/>
            <sz val="9"/>
            <color indexed="81"/>
            <rFont val="Tahoma"/>
            <family val="2"/>
          </rPr>
          <t>Transferencia a Felix:</t>
        </r>
        <r>
          <rPr>
            <sz val="9"/>
            <color indexed="81"/>
            <rFont val="Tahoma"/>
            <family val="2"/>
          </rPr>
          <t xml:space="preserve">
Fra Mª Luisa Lopez Marquez del 23/10/24.
Gasolina: 64€.
64€: Transferencia Caixa realizada el 30/10/24
</t>
        </r>
      </text>
    </comment>
    <comment ref="AW98" authorId="2" shapeId="0" xr:uid="{F825858B-A867-4106-BBEC-6EB8EC44EF7D}">
      <text>
        <r>
          <rPr>
            <b/>
            <sz val="9"/>
            <color indexed="81"/>
            <rFont val="Tahoma"/>
            <family val="2"/>
          </rPr>
          <t>Maria:</t>
        </r>
        <r>
          <rPr>
            <sz val="9"/>
            <color indexed="81"/>
            <rFont val="Tahoma"/>
            <family val="2"/>
          </rPr>
          <t xml:space="preserve">
</t>
        </r>
        <r>
          <rPr>
            <b/>
            <sz val="9"/>
            <color indexed="81"/>
            <rFont val="Tahoma"/>
            <family val="2"/>
          </rPr>
          <t xml:space="preserve">Fra Solred del 30/09/24. </t>
        </r>
        <r>
          <rPr>
            <sz val="9"/>
            <color indexed="81"/>
            <rFont val="Tahoma"/>
            <family val="2"/>
          </rPr>
          <t xml:space="preserve">
Gasolina: 85,13€. 
Tienda: 2,79€. 
</t>
        </r>
        <r>
          <rPr>
            <b/>
            <sz val="9"/>
            <color indexed="81"/>
            <rFont val="Tahoma"/>
            <family val="2"/>
          </rPr>
          <t>Fra Solred del 31/10/24.</t>
        </r>
        <r>
          <rPr>
            <sz val="9"/>
            <color indexed="81"/>
            <rFont val="Tahoma"/>
            <family val="2"/>
          </rPr>
          <t xml:space="preserve">
Gasolina: 134,73€. 
Cargado: 01/11/24
--------------------------------
</t>
        </r>
        <r>
          <rPr>
            <sz val="9"/>
            <color indexed="81"/>
            <rFont val="Tahoma"/>
            <family val="2"/>
          </rPr>
          <t xml:space="preserve">
</t>
        </r>
        <r>
          <rPr>
            <b/>
            <sz val="9"/>
            <color indexed="81"/>
            <rFont val="Tahoma"/>
            <family val="2"/>
          </rPr>
          <t>Transferencia a Felix:</t>
        </r>
        <r>
          <rPr>
            <sz val="9"/>
            <color indexed="81"/>
            <rFont val="Tahoma"/>
            <family val="2"/>
          </rPr>
          <t xml:space="preserve">
Fra Mª Luisa Lopez Marquez del 20/11/24.
Gasolina: 70€.
70€: Transferencia Caixa realizada el 27/11/24
-----------------------------
</t>
        </r>
        <r>
          <rPr>
            <b/>
            <sz val="9"/>
            <color indexed="81"/>
            <rFont val="Tahoma"/>
            <family val="2"/>
          </rPr>
          <t>Transferencia a Fran:</t>
        </r>
        <r>
          <rPr>
            <sz val="9"/>
            <color indexed="81"/>
            <rFont val="Tahoma"/>
            <family val="2"/>
          </rPr>
          <t xml:space="preserve">
Fra Mª Luisa Lopez Marquez del 01/11/24: Gasolina: 74€.
Fra Mª Luisa Lopez Marquez del 13/11/24.
Gasolina: 50€.
124€: Transferencia Caixa realizada el 27/11/24</t>
        </r>
      </text>
    </comment>
    <comment ref="AX98" authorId="2" shapeId="0" xr:uid="{65FA5985-1417-4A2A-962C-7FFD71ED0D03}">
      <text>
        <r>
          <rPr>
            <b/>
            <sz val="9"/>
            <color indexed="81"/>
            <rFont val="Tahoma"/>
            <family val="2"/>
          </rPr>
          <t>Maria:</t>
        </r>
        <r>
          <rPr>
            <sz val="9"/>
            <color indexed="81"/>
            <rFont val="Tahoma"/>
            <family val="2"/>
          </rPr>
          <t xml:space="preserve">
Fra Fuel Andevalo del 31/10/24.
Gasolina: 207,43€
Pendiente realizar transferencia. 
Transf. Caixa realizada el 18/12/24
---------------------------------
Fra Solred del 31/10/24.
Gasolina: 85,13€. 
Tienda: 2,79€
-----------------------------------------
Fra Solred del 30/11/24.
Gasolina: 72,50€. 
Gasolina: 53,57€. 
Gasolina: 86,47€
-----------------------------------------</t>
        </r>
      </text>
    </comment>
    <comment ref="AY98" authorId="2" shapeId="0" xr:uid="{F104AC40-2966-495E-BD94-F53CB0C419C0}">
      <text>
        <r>
          <rPr>
            <b/>
            <sz val="9"/>
            <color indexed="81"/>
            <rFont val="Tahoma"/>
            <family val="2"/>
          </rPr>
          <t>Maria:</t>
        </r>
        <r>
          <rPr>
            <sz val="9"/>
            <color indexed="81"/>
            <rFont val="Tahoma"/>
            <family val="2"/>
          </rPr>
          <t xml:space="preserve">
Fra Solred del 30/11/24.
Gasolina: 74,46€. 
---------------------------
Fra Solred del 31/12/24.
Gasolina: 80,53€.
--------------------------
Fra Fuel andevalo 31/12/24.
110,73€
Pendiente realizar transferencia. 
Transferencia Caixa realizada el 29/01/25</t>
        </r>
      </text>
    </comment>
    <comment ref="AZ98" authorId="2" shapeId="0" xr:uid="{4A9065B0-5752-407E-83D2-D3D48E387D93}">
      <text>
        <r>
          <rPr>
            <b/>
            <sz val="9"/>
            <color indexed="81"/>
            <rFont val="Tahoma"/>
            <family val="2"/>
          </rPr>
          <t>Maria:</t>
        </r>
        <r>
          <rPr>
            <sz val="9"/>
            <color indexed="81"/>
            <rFont val="Tahoma"/>
            <family val="2"/>
          </rPr>
          <t xml:space="preserve">
Fra Solred del 31/01/2025.
Gasolina: 90,93€.
--------------------------
</t>
        </r>
        <r>
          <rPr>
            <b/>
            <sz val="9"/>
            <color indexed="81"/>
            <rFont val="Tahoma"/>
            <family val="2"/>
          </rPr>
          <t>Transferencia a Jose Mari:</t>
        </r>
        <r>
          <rPr>
            <sz val="9"/>
            <color indexed="81"/>
            <rFont val="Tahoma"/>
            <family val="2"/>
          </rPr>
          <t xml:space="preserve">
Fra Mª Luisa Lopez Marquez del 04/02/25.
Gasolina: 73€.
73€: Transferencia Caixa realizada el 25/02/25</t>
        </r>
      </text>
    </comment>
    <comment ref="BA98" authorId="2" shapeId="0" xr:uid="{C024ABD8-58E0-452D-BBF4-B734D479197E}">
      <text>
        <r>
          <rPr>
            <b/>
            <sz val="9"/>
            <color indexed="81"/>
            <rFont val="Tahoma"/>
            <family val="2"/>
          </rPr>
          <t>Maria:</t>
        </r>
        <r>
          <rPr>
            <sz val="9"/>
            <color indexed="81"/>
            <rFont val="Tahoma"/>
            <family val="2"/>
          </rPr>
          <t xml:space="preserve">
</t>
        </r>
        <r>
          <rPr>
            <b/>
            <sz val="9"/>
            <color indexed="81"/>
            <rFont val="Tahoma"/>
            <family val="2"/>
          </rPr>
          <t>Fra Fuel andevalo 31/01/25.</t>
        </r>
        <r>
          <rPr>
            <sz val="9"/>
            <color indexed="81"/>
            <rFont val="Tahoma"/>
            <family val="2"/>
          </rPr>
          <t xml:space="preserve">
91,21€ 
Transferencia Caixa realizada el 04/03/25
--------------------------------
Fra Solred del 31/01/25. 
Gasolina: 96,94€. 
--------------------------------
Fra Solred del 28/02/2025.
Gasolina: 95,06€. 
Gasolina: 95,72€. 
-----------------------------------
Transferencia a Jaime:
Fra Mª Luisa Lopez del 27/02/25.
Gasolina: 80,01€.
Fra Mª Luisa Lopez del 09/03/25.
Gasolina: 50€.
Fra Monchul Lopez del 18/03/25.
Gasolina: 70€.
200,01€: Transferencia Caixa realizada el 27/03/25</t>
        </r>
      </text>
    </comment>
    <comment ref="BB98" authorId="2" shapeId="0" xr:uid="{4956BD0F-C706-485A-941B-ED8C9D9C5FBE}">
      <text>
        <r>
          <rPr>
            <b/>
            <sz val="9"/>
            <color indexed="81"/>
            <rFont val="Tahoma"/>
            <family val="2"/>
          </rPr>
          <t>Maria:</t>
        </r>
        <r>
          <rPr>
            <sz val="9"/>
            <color indexed="81"/>
            <rFont val="Tahoma"/>
            <family val="2"/>
          </rPr>
          <t xml:space="preserve">
Fra Solred del 28/02/2025.
Gasolina: 81,42€. 
---------------------------------------
Fra Fuel andevalo 28/02/25.
84,41€
Pendiente realizar transferencia.
Transferencia Caixa realizada el 16/04/25 
--------------------------
Transferencia a Jaime:
Fra Monchul Lopez del 28/03/25.
Gasolina: 66,01€.
Fra Monchul Lopez del 19/04/25.
Gasolina: 55€.
121,01€: Transferencia Caixa realizada el 28/04/25
-----------------------------------
Transferencia a Jose Mari:
Fra Monchul Lopez del 01/04/25.
Gasolina: 74€.
Fra Monchul Lopez del 13/04/25.
Gasolina: 58€.
Fra Monchul Lopez del 25/04/25.
Gasolina: 70€.
202€: Transferencia Caixa realizada el 28/04/25</t>
        </r>
      </text>
    </comment>
    <comment ref="BC98" authorId="2" shapeId="0" xr:uid="{E2F7BC3A-BE67-4F16-9C16-13526989441E}">
      <text>
        <r>
          <rPr>
            <sz val="9"/>
            <color indexed="81"/>
            <rFont val="Tahoma"/>
            <family val="2"/>
          </rPr>
          <t>Fra Fuel andevalo OS- 116 del 31/03/25: 118€
Transferencia Caixa realizada el 18/05/25
---------------------------------------
Fra Fuel andevalo OS- 115 del 31/03/25: 79,95€
Transferencia Caixa realizada el 18/05/25
--------------------------
Fra Fuel andevalo OS- 171 del 30/04/25: 55€
Transferencia Caixa realizada el 18/05/25
--------------------------
Fra Fuel andevalo OS- 170 del 30/04/25: 56,10€
Transferencia Caixa realizada el 18/05/25
--------------------------
Fra Fuel andevalo OS- 169 del 30/04/25: 92,01€
Transferencia Caixa realizada el
18/05/25
-----------------------------
Fra Solred del 31/03/25.
Gasolina: 90,01€
Cargado: 01/05/25.
--------------------------
Transferencia a Jaime:
Fra Monchul Lopez del 29/04/25.
Gasolina: 55€.
Fra Monchul Lopez del 13/05/25.
Gasolina: 60€.
115€: Transferencia Caixa realizada el 28/05/25
-----------------------------------
Transferencia a Jose Mari:
Fra Monchul Lopez del 09/05/25.
Gasolina: 71€.
Fra Monchul Lopez del 22/05/25.
Gasolina: 71,01€.
142,01€: Transferencia Caixa realizada el 28/05/25
--------------------------------------
Transferencia a Mariano:
Ticket Victorecambios del 26/05/25.
Aceite motor y generador: 48,87€.
48,87€: Transferencia Caixa realizada el 28/05/25</t>
        </r>
      </text>
    </comment>
    <comment ref="BD98" authorId="4" shapeId="0" xr:uid="{CF66DFA1-BBA2-4AE1-8D85-A7E72A1660DA}">
      <text>
        <r>
          <rPr>
            <b/>
            <sz val="9"/>
            <color indexed="81"/>
            <rFont val="Tahoma"/>
            <family val="2"/>
          </rPr>
          <t>Fra Fuel andevalo OS- 213 del 31/05/25: 109,44€</t>
        </r>
        <r>
          <rPr>
            <sz val="9"/>
            <color indexed="81"/>
            <rFont val="Tahoma"/>
            <family val="2"/>
          </rPr>
          <t xml:space="preserve">
Transf. Caixa realizada el 20/06/25</t>
        </r>
        <r>
          <rPr>
            <b/>
            <sz val="9"/>
            <color indexed="81"/>
            <rFont val="Tahoma"/>
            <family val="2"/>
          </rPr>
          <t xml:space="preserve">
---------------------------
Fra Solred del 30/04/25.
</t>
        </r>
        <r>
          <rPr>
            <sz val="9"/>
            <color indexed="81"/>
            <rFont val="Tahoma"/>
            <family val="2"/>
          </rPr>
          <t xml:space="preserve">Gasolina: 72,93.
Domiciliado: 01/06/25
-----------------------------------
</t>
        </r>
        <r>
          <rPr>
            <b/>
            <sz val="9"/>
            <color indexed="81"/>
            <rFont val="Tahoma"/>
            <family val="2"/>
          </rPr>
          <t>Transferencia a Jaime:</t>
        </r>
        <r>
          <rPr>
            <sz val="9"/>
            <color indexed="81"/>
            <rFont val="Tahoma"/>
            <family val="2"/>
          </rPr>
          <t xml:space="preserve">
Fra Monchul Lopez del 12/06/25.
Gasolina: 60,01€.
Fra Monchul Lopez del 29/05/25.
Gasolina: 70,01€.
130,02€: Transferencia Caixa realizada el 25/06/25
-----------------------------------
</t>
        </r>
        <r>
          <rPr>
            <b/>
            <sz val="9"/>
            <color indexed="81"/>
            <rFont val="Tahoma"/>
            <family val="2"/>
          </rPr>
          <t>Transferencia a Jose Mari:</t>
        </r>
        <r>
          <rPr>
            <sz val="9"/>
            <color indexed="81"/>
            <rFont val="Tahoma"/>
            <family val="2"/>
          </rPr>
          <t xml:space="preserve">
Fra Rosal de la Frontera del 18/06/25.
Gasolina: 68,01€.
68,01€: Transferencia Caixa realizada el 25/06/25</t>
        </r>
      </text>
    </comment>
    <comment ref="BE98" authorId="2" shapeId="0" xr:uid="{76A5930F-713E-49DE-8E3C-33270316246A}">
      <text>
        <r>
          <rPr>
            <b/>
            <sz val="9"/>
            <color indexed="81"/>
            <rFont val="Tahoma"/>
            <family val="2"/>
          </rPr>
          <t>Maria:</t>
        </r>
        <r>
          <rPr>
            <sz val="9"/>
            <color indexed="81"/>
            <rFont val="Tahoma"/>
            <family val="2"/>
          </rPr>
          <t xml:space="preserve">
Fra Solredl del 31/05/25.
Gasolina: 75,69€.
Cargado: 01/07/25
-----------------------------------
Transferencia a Jaime:
Fra Monchul Lopez del 27/06/25.
Gasolina: 70€.
Fra Monchul Lopez del 12/07/25.
Gasolina: 70€.
140€: Transferencia Caixa realizada el 28/07/25
-----------------------------------
Transferencia a Jose Mari:
Fra Rosal de la Frontera del 21/07/25.
Gasolina: 66,01€.
Fra Monchul Lopez del 02/07/25.
Gasolina: 72,01€.
138,02€: Transferencia Caixa realizada el 28/07/25</t>
        </r>
      </text>
    </comment>
    <comment ref="BF98" authorId="2" shapeId="0" xr:uid="{69E12375-2203-4E0F-8B22-13FE5121B1EE}">
      <text>
        <r>
          <rPr>
            <b/>
            <sz val="9"/>
            <color indexed="81"/>
            <rFont val="Tahoma"/>
            <family val="2"/>
          </rPr>
          <t>Maria:</t>
        </r>
        <r>
          <rPr>
            <sz val="9"/>
            <color indexed="81"/>
            <rFont val="Tahoma"/>
            <family val="2"/>
          </rPr>
          <t xml:space="preserve">
Fra Fuel andevalo OS- 252 del 30/06/25: 226,04€
Transferencia Caixa realizada el 01/08/25
-----------------------------------
</t>
        </r>
        <r>
          <rPr>
            <b/>
            <sz val="9"/>
            <color indexed="81"/>
            <rFont val="Tahoma"/>
            <family val="2"/>
          </rPr>
          <t>Transferencia a Jaime:</t>
        </r>
        <r>
          <rPr>
            <sz val="9"/>
            <color indexed="81"/>
            <rFont val="Tahoma"/>
            <family val="2"/>
          </rPr>
          <t xml:space="preserve">
Fra Monchul Lopez del 30/07/25.
Gasolina: 70€.
Fra Monchul Lopez del 13/08/25.
Gasolina: 68,97€.
138,97€: Transferencia Caixa realizada el 27/08/25
-----------------------------
Fra Solred del 31/07/25.
Gasolina: 88,20€. 
Gasolina: 51,55€. 
Cargado VISA: 01/08/25
----------------------------
</t>
        </r>
        <r>
          <rPr>
            <b/>
            <sz val="9"/>
            <color indexed="81"/>
            <rFont val="Tahoma"/>
            <family val="2"/>
          </rPr>
          <t>Fra Fuel Andevalo:</t>
        </r>
        <r>
          <rPr>
            <sz val="9"/>
            <color indexed="81"/>
            <rFont val="Tahoma"/>
            <family val="2"/>
          </rPr>
          <t xml:space="preserve"> OS- 297 del 31/07/25: 114,29€
Transferencia Caixa realizada el 29/08/25
----------------------------
</t>
        </r>
        <r>
          <rPr>
            <b/>
            <sz val="9"/>
            <color indexed="81"/>
            <rFont val="Tahoma"/>
            <family val="2"/>
          </rPr>
          <t>Fra Fuel Andevalo:</t>
        </r>
        <r>
          <rPr>
            <sz val="9"/>
            <color indexed="81"/>
            <rFont val="Tahoma"/>
            <family val="2"/>
          </rPr>
          <t xml:space="preserve"> OS- 298 del 31/07/25: 74€
Transferencia Caixa realizada el 29/08/25</t>
        </r>
      </text>
    </comment>
    <comment ref="BJ98" authorId="2" shapeId="0" xr:uid="{B7152C22-5D11-46C1-AE85-54A20B35727A}">
      <text>
        <r>
          <rPr>
            <sz val="9"/>
            <color indexed="81"/>
            <rFont val="Tahoma"/>
            <family val="2"/>
          </rPr>
          <t xml:space="preserve">Fra Solred del 31/08/25: 87,70€
Cargado: 01/09/25
--------------------------
Rosa: 
</t>
        </r>
        <r>
          <rPr>
            <b/>
            <sz val="9"/>
            <color indexed="81"/>
            <rFont val="Tahoma"/>
            <family val="2"/>
          </rPr>
          <t>Transferencia a Jaime:</t>
        </r>
        <r>
          <rPr>
            <sz val="9"/>
            <color indexed="81"/>
            <rFont val="Tahoma"/>
            <family val="2"/>
          </rPr>
          <t xml:space="preserve">
Fra Monchul Lopez del 27/08/25.
Gasolina: 50€.
Fra Monchul Lopez del 27/08/25.
Gasolina: 20€.
Fra Monchul Lopez del 05/09/25.
Gasolina: 70€.
Fra Monchul Lopez del 15/09/25.
Gasolina: 66€.
Fra Monchul Lopez del 25/09/25.
Gasolina: 70€.
276€: Transferencia Caixa realizada el 29/09/25
</t>
        </r>
        <r>
          <rPr>
            <b/>
            <sz val="9"/>
            <color indexed="81"/>
            <rFont val="Tahoma"/>
            <family val="2"/>
          </rPr>
          <t>Transferencia a Mariano:</t>
        </r>
        <r>
          <rPr>
            <sz val="9"/>
            <color indexed="81"/>
            <rFont val="Tahoma"/>
            <family val="2"/>
          </rPr>
          <t xml:space="preserve">
Fra Monchul Lopez del 25/09/25.
Gasolina: 47,01€.
47,01€: Transferencia Caixa realizada el 29/09/25</t>
        </r>
      </text>
    </comment>
    <comment ref="BK98" authorId="2" shapeId="0" xr:uid="{184BBFA3-2B7E-435C-B40E-E9EF959807FA}">
      <text>
        <r>
          <rPr>
            <b/>
            <sz val="9"/>
            <color indexed="81"/>
            <rFont val="Tahoma"/>
            <family val="2"/>
          </rPr>
          <t xml:space="preserve">Fra Solred del 31/08/25: </t>
        </r>
        <r>
          <rPr>
            <sz val="9"/>
            <color indexed="81"/>
            <rFont val="Tahoma"/>
            <family val="2"/>
          </rPr>
          <t>90,00€
Cargado: 01/10/25</t>
        </r>
        <r>
          <rPr>
            <b/>
            <sz val="9"/>
            <color indexed="81"/>
            <rFont val="Tahoma"/>
            <family val="2"/>
          </rPr>
          <t xml:space="preserve">
--------------------------</t>
        </r>
        <r>
          <rPr>
            <sz val="9"/>
            <color indexed="81"/>
            <rFont val="Tahoma"/>
            <family val="2"/>
          </rPr>
          <t xml:space="preserve">
Rosa:
</t>
        </r>
        <r>
          <rPr>
            <b/>
            <sz val="9"/>
            <color indexed="81"/>
            <rFont val="Tahoma"/>
            <family val="2"/>
          </rPr>
          <t>Transferencia a Jaime:</t>
        </r>
        <r>
          <rPr>
            <sz val="9"/>
            <color indexed="81"/>
            <rFont val="Tahoma"/>
            <family val="2"/>
          </rPr>
          <t xml:space="preserve">
Fra Monchul Lopez del 09/10/25.
Gasolina: 70€.
Fra Monchul Lopez del 23/10/25.
Gasolina: 50€.
120€: Transferencia Caixa realizada el 29/10/25</t>
        </r>
      </text>
    </comment>
    <comment ref="BL98" authorId="2" shapeId="0" xr:uid="{DD220AD9-C84F-4503-A8C6-712262213626}">
      <text>
        <r>
          <rPr>
            <sz val="9"/>
            <color indexed="81"/>
            <rFont val="Tahoma"/>
            <family val="2"/>
          </rPr>
          <t xml:space="preserve">Fra Fuel Andevalo del 30/09/25.
gasolina: 274,44€
Transferencia Caixa realizada el 21/11/25
-----------------------------------
Fra Fuel Andevalo del 30/09/25.
gasolina: 106,33
Transferencia Caixa realizada el 21/11/25
-----------------------------------
Fra Fuel Andevalo del 31/10/25.
gasolina: 50,00€
Transferencia Caixa realizada el 21/11/25
-----------------------------------
Fra Fuel Andevalo del 31/10/25.
gasolina: 84,92€
Transferencia Caixa realizada el 21/11/25
-----------------------------------
Fra Fuel Andevalo del 31/10/25.
gasolina: 96,58€
Transferencia Caixa realizada el 21/11/25
--------------------------------------
Transferencia a Jaime:
Fra Monchul Lopez del 02/11/25.
Gasolina: 76,01€.
Fra Monchul Lopez del 12/11/25.
Gasolina: 65€.
Fra Monchul Lopez del 23/11/25.
Gasolina: 66€.
207,01€: Transferencia Caixa realizada el 28/11/25
</t>
        </r>
      </text>
    </comment>
    <comment ref="BM98" authorId="2" shapeId="0" xr:uid="{85D1B7D2-1763-4CA6-B847-BF11BDFA3823}">
      <text>
        <r>
          <rPr>
            <sz val="9"/>
            <color indexed="81"/>
            <rFont val="Tahoma"/>
            <family val="2"/>
          </rPr>
          <t>Fra Fuel Andevalo del 27/11/25.
Gasolina: 168,76€. 
Transferencia pendiente. 
Transferencia realizada el 23/12/25
----------------------------------------
Fra Solred del 31/10/25: 91,83€
Cargado VISA 01/12/25
--------------------------------------
Transferencia a Jaime:
Fra Monchul Lopez del 04/12/25.
Gasolina: 65€.
Fra Monchul Lopez del 14/12/25.
Gasolina: 60,01€.
Fra Monchul Lopez del 25/12/25.
Gasolina: 50€.
175,01€: Transferencia Caixa realizada el 31/12/25</t>
        </r>
      </text>
    </comment>
    <comment ref="BN98" authorId="4" shapeId="0" xr:uid="{B59C0B66-7F5D-4CBF-9D0F-FA5888B36193}">
      <text>
        <r>
          <rPr>
            <sz val="9"/>
            <color indexed="81"/>
            <rFont val="Tahoma"/>
            <family val="2"/>
          </rPr>
          <t>Fra 540 Fuel Andevalo del 31/12/25.
Gasolina 23/12: 0€. 
---------------------------------------------
Fra Fuel Andevalo 541 del 31/12/25.
Gasolina 23/12: 134€. 
Transf. Caixa realizada el 27/01/26
----------------------------------------
Fra Fuel Andevalo 542 del 31/12/25.
Gasolina 31/12: 88,01€. 
Transf. Caixa realizada el 27/01/26 
------------------------------------
Fra 543 Fuel Andevalo del 31/12/25.
Gasolina 17/12: 87€. 
Transf. Caixa realizada el 27/01/26 
--------------------------------------
Fra Solred del 30/11/25: 90,49€
Cargado VISA 01/01/26
--------------------------------------
Fra Solred del 31/12/25: 85,11€
Cargado VISA 01/01/26
--------------------------------------
Fra Solred del 31/12/25: 80,03€
Cargado VISA 01/01/26
--------------------------------------
Transferencia a Jaime:
Fra Monchul Lopez del 06/01/26.
Gasolina: 50€.
Fra Monchul Lopez del 24/01/26.
Gasolina: 50€.
100€: Transferencia Caixa realizada el 30/01/26
-----------------------------------
Transferencia a Jhonathan:
Fra Monchul Lopez del 26/01/26.
Gasolina: 59,80€.
59,80€: Transferencia Caixa realizada el 30/01/26</t>
        </r>
      </text>
    </comment>
    <comment ref="BO98" authorId="4" shapeId="0" xr:uid="{B15F7758-43AC-44E3-8D9E-22A0C39BF0C1}">
      <text>
        <r>
          <rPr>
            <sz val="9"/>
            <color indexed="81"/>
            <rFont val="Tahoma"/>
            <family val="2"/>
          </rPr>
          <t xml:space="preserve">Transferencia a Jaime:
Fra Monchul Lopez del 02/02/26.
Gasolina: 60€.
Fra Monchul Lopez del 12/02/26.
Gasolina: 65,01€.
125,01€: Transferencia Caixa realizada el 27/02/26
-----------------------------------
Transferencia a Jhonathan:
Fra Monchul Lopez del 05/02/26.
Gasolina: 64€.
64€: Transferencia Caixa realizada el 27/02/26
</t>
        </r>
      </text>
    </comment>
    <comment ref="BP98" authorId="4" shapeId="0" xr:uid="{4CEC86CB-0CE7-4867-A950-6232B10C4528}">
      <text>
        <r>
          <rPr>
            <sz val="9"/>
            <color indexed="81"/>
            <rFont val="Tahoma"/>
            <family val="2"/>
          </rPr>
          <t xml:space="preserve">Transferencia a Jaime:
Fra Monchul Lopez del 01/03/26.
Gasolina: 62,01€.
Fra Monchul Lopez del 08/03/26.
Gasolina: 70,01€.
Fra Monchul Lopez del 18/03/26.
Gasolina: 90,01€.
Fra Monchul Lopez del 30/03/26.
Gasolina: 20€.
242,03€: Transferencia Caixa realizada el 31/03/26
-----------------------------------
Fra Solred de 28/02/26.
Gasolina: 85,92€.
Gasolina: 87,12€ 
Cargado: VISA 01/03/26
</t>
        </r>
      </text>
    </comment>
    <comment ref="BQ98" authorId="2" shapeId="0" xr:uid="{5D15AAC6-1415-4C4A-8B1B-8FEF0DB2D688}">
      <text>
        <r>
          <rPr>
            <b/>
            <sz val="9"/>
            <color indexed="81"/>
            <rFont val="Tahoma"/>
            <family val="2"/>
          </rPr>
          <t>Maria:</t>
        </r>
        <r>
          <rPr>
            <sz val="9"/>
            <color indexed="81"/>
            <rFont val="Tahoma"/>
            <family val="2"/>
          </rPr>
          <t xml:space="preserve">
Fra fuel andevalo del 31/03/26.
Gasolina: 112,30€. 
Pendiente transfer. 
Transf. realizada el 29/04/26
------------------------
Fra FUEL Andevalo del 31/01/26.
Gasolina:78,00€. 
Pendiente transfer. 
Transf. realizada el 29/04/26
--------------------------
Transferencia a Jaime:
Fra Monchul Lopez del 02/04/26.
Gasolina: 81€.
Fra Monchul Lopez del 10/04/26.
Gasolina: 80,01€.
Fra Monchul Lopez del 20/04/26.
Gasolina: 80€.
241,01€: Transferencia Caixa realizada el 27/04/26</t>
        </r>
      </text>
    </comment>
    <comment ref="BR98" authorId="2" shapeId="0" xr:uid="{FE329D6E-F81A-40BC-9314-8ADA4BDEE5D7}">
      <text>
        <r>
          <rPr>
            <b/>
            <sz val="9"/>
            <color indexed="81"/>
            <rFont val="Tahoma"/>
            <family val="2"/>
          </rPr>
          <t>Maria:</t>
        </r>
        <r>
          <rPr>
            <sz val="9"/>
            <color indexed="81"/>
            <rFont val="Tahoma"/>
            <family val="2"/>
          </rPr>
          <t xml:space="preserve">
Fra Fuel Andevalo del 30/04/26.
Gasolina: 129,01€.
Fra Fuel Andevalo del 30/04/26.
Gasolina: 103,11€.
Pendt transfer. 
232,12€: Transf. Caixa realizada el 22/05/26
---------------------------------------
Transferencia a Jaime:
Fra Monchul Lopez del 01/05/26.
Gasolina: 80,01€.
Fra Monchul Lopez del 19/05/26.
Gasolina: 50€.
Fra Monchul Lopez del 25/05/26.
Gasolina: 50€.
180,01€: Transferencia Caixa realizada el </t>
        </r>
      </text>
    </comment>
    <comment ref="BS98" authorId="2" shapeId="0" xr:uid="{848AE322-CC15-443B-BF0E-84E53CF44D1C}">
      <text>
        <r>
          <rPr>
            <b/>
            <sz val="9"/>
            <color indexed="81"/>
            <rFont val="Tahoma"/>
            <charset val="1"/>
          </rPr>
          <t>Maria:</t>
        </r>
        <r>
          <rPr>
            <sz val="9"/>
            <color indexed="81"/>
            <rFont val="Tahoma"/>
            <charset val="1"/>
          </rPr>
          <t xml:space="preserve">
Fra Fuel Andevalo del 31/05/26: 119,81€. 
Pendete transfer. 
----------------------------------</t>
        </r>
      </text>
    </comment>
    <comment ref="BY98" authorId="2" shapeId="0" xr:uid="{A8DA3B24-C5C6-4186-B942-6F1DB7DFCA61}">
      <text>
        <r>
          <rPr>
            <b/>
            <sz val="9"/>
            <color indexed="81"/>
            <rFont val="Tahoma"/>
            <family val="2"/>
          </rPr>
          <t xml:space="preserve">Fra Solred del :96,49€.
--------------------------
Fra Fuel Andevalo del 31/08/24.
</t>
        </r>
        <r>
          <rPr>
            <sz val="9"/>
            <color indexed="81"/>
            <rFont val="Tahoma"/>
            <family val="2"/>
          </rPr>
          <t xml:space="preserve">gasolina: 39,00€,
</t>
        </r>
      </text>
    </comment>
    <comment ref="CN98" authorId="2" shapeId="0" xr:uid="{451E00DF-727A-4E1B-B493-F51ED6E3C312}">
      <text>
        <r>
          <rPr>
            <b/>
            <sz val="9"/>
            <color indexed="81"/>
            <rFont val="Tahoma"/>
            <family val="2"/>
          </rPr>
          <t xml:space="preserve">Fra Solred del :96,49€.
--------------------------
Fra Fuel Andevalo del 31/08/24.
</t>
        </r>
        <r>
          <rPr>
            <sz val="9"/>
            <color indexed="81"/>
            <rFont val="Tahoma"/>
            <family val="2"/>
          </rPr>
          <t xml:space="preserve">gasolina: 39,00€,
</t>
        </r>
      </text>
    </comment>
    <comment ref="B99" authorId="3" shapeId="0" xr:uid="{03D46818-C10C-483D-8007-59C4A423ED1A}">
      <text>
        <r>
          <rPr>
            <b/>
            <sz val="9"/>
            <color indexed="81"/>
            <rFont val="Tahoma"/>
            <family val="2"/>
          </rPr>
          <t xml:space="preserve">Finca Sebastian -Nene- q linda con Cerreño:
</t>
        </r>
        <r>
          <rPr>
            <sz val="9"/>
            <color indexed="81"/>
            <rFont val="Tahoma"/>
            <family val="2"/>
          </rPr>
          <t xml:space="preserve">Firmado abril 2023 a sept 2027 documento informal. Intentar hacer contarto formal.
15 Has x 30 Eur/Ha y año.
Pagos cada Septiembre transfer.
---------------------
</t>
        </r>
        <r>
          <rPr>
            <b/>
            <sz val="9"/>
            <color indexed="81"/>
            <rFont val="Tahoma"/>
            <family val="2"/>
          </rPr>
          <t xml:space="preserve">Julio Pica - cuñado Sebastian Nene- Linda con Corchas. (Alquilaba los pastos de Manolo Ruiz)
</t>
        </r>
        <r>
          <rPr>
            <sz val="9"/>
            <color indexed="81"/>
            <rFont val="Tahoma"/>
            <family val="2"/>
          </rPr>
          <t xml:space="preserve">Apalabrado mayo 2023 a ago 2027 sin documentar. Intentar hacer contarto formal.
32 Eur/ha x 50 has = 1600 Eur/año.
Pagos cada Septiembre efectivo.
--------------------
Fincas estrechas q no lindan:
</t>
        </r>
        <r>
          <rPr>
            <b/>
            <sz val="9"/>
            <color indexed="81"/>
            <rFont val="Tahoma"/>
            <family val="2"/>
          </rPr>
          <t xml:space="preserve">CHOTO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RUBILLO
</t>
        </r>
        <r>
          <rPr>
            <sz val="9"/>
            <color indexed="81"/>
            <rFont val="Tahoma"/>
            <family val="2"/>
          </rPr>
          <t xml:space="preserve">Apalabrado año a año, sin compromiso temporal.
300 Eur/año a pagar en oct de cada año efectivo, excepto cada x años que le labramos en lugar de los 300. Ultima labranza en 2022-23
</t>
        </r>
        <r>
          <rPr>
            <b/>
            <sz val="9"/>
            <color indexed="81"/>
            <rFont val="Tahoma"/>
            <family val="2"/>
          </rPr>
          <t xml:space="preserve">MARIANO
</t>
        </r>
        <r>
          <rPr>
            <sz val="9"/>
            <color indexed="81"/>
            <rFont val="Tahoma"/>
            <family val="2"/>
          </rPr>
          <t xml:space="preserve">Apalabrado año a año, sin compromiso temporal.
300 Eur/año a pagar en dic de cada año efectivo.
-----------------------
</t>
        </r>
      </text>
    </comment>
    <comment ref="AE99" authorId="3" shapeId="0" xr:uid="{CBD74B94-EEB2-410D-B65E-B93B6F4626C1}">
      <text>
        <r>
          <rPr>
            <b/>
            <sz val="9"/>
            <color indexed="81"/>
            <rFont val="Tahoma"/>
            <family val="2"/>
          </rPr>
          <t>Alquiler finca Julio Pica</t>
        </r>
        <r>
          <rPr>
            <sz val="9"/>
            <color indexed="81"/>
            <rFont val="Tahoma"/>
            <family val="2"/>
          </rPr>
          <t xml:space="preserve">
- Del 1/7/23 a 31/8/23: 1600/12x2meses= 266,67 Eur
- Del 1/9/23 a 31/8/24: 1600 Eur
Pagar a ALFONSO por 1.870,00€.
Transferencia realizada el 21/09/23.</t>
        </r>
      </text>
    </comment>
    <comment ref="AG99" authorId="3" shapeId="0" xr:uid="{E9BE1F58-4CD1-43EA-A300-8BA0D337A8E0}">
      <text>
        <r>
          <rPr>
            <b/>
            <sz val="9"/>
            <color indexed="81"/>
            <rFont val="Tahoma"/>
            <family val="2"/>
          </rPr>
          <t>alfonso:</t>
        </r>
        <r>
          <rPr>
            <sz val="9"/>
            <color indexed="81"/>
            <rFont val="Tahoma"/>
            <family val="2"/>
          </rPr>
          <t xml:space="preserve">
Finca Sebastian, linda con Cerreño. 
15 Has x 30 Eur/Ha
225 Eur de abril a agosto 2023
450 Eur de sept 2023 a agosto 2024 
Transferencia realzada el 07/11/23
-------------------------------------------
Concepto Alquiler finca Julio del 1/5/23 a 30/6/23: 1600/12x2meses= 270 Eur
Transfrencia realizada el 14/11/23.</t>
        </r>
      </text>
    </comment>
    <comment ref="AI99" authorId="1" shapeId="0" xr:uid="{7A9C3C26-2D2F-48CA-B88B-989DEFE29B76}">
      <text>
        <r>
          <rPr>
            <b/>
            <sz val="9"/>
            <color indexed="81"/>
            <rFont val="Tahoma"/>
            <family val="2"/>
          </rPr>
          <t>Pago de caja 300 + 300 por alquier fincas Rubillo y Mariano</t>
        </r>
      </text>
    </comment>
    <comment ref="AP99" authorId="3" shapeId="0" xr:uid="{AB18EF9E-A5D0-409B-B497-142EEC1033F9}">
      <text>
        <r>
          <rPr>
            <sz val="9"/>
            <color indexed="81"/>
            <rFont val="Tahoma"/>
            <family val="2"/>
          </rPr>
          <t>Alquiler finca Julio
- Del 1/9/24 a 31/8/25: 2.000 Eur
OK ALF 30/08/24
Transferencia realizada el 30/08/24</t>
        </r>
      </text>
    </comment>
    <comment ref="AU99" authorId="1" shapeId="0" xr:uid="{298BF8A8-5C7B-40E3-85D4-A300B10236A5}">
      <text>
        <r>
          <rPr>
            <b/>
            <sz val="9"/>
            <color indexed="81"/>
            <rFont val="Tahoma"/>
            <family val="2"/>
          </rPr>
          <t>Cobro de caja 300 por realquiler finca alquilada del choto a vecino Javi</t>
        </r>
      </text>
    </comment>
    <comment ref="AV99" authorId="3" shapeId="0" xr:uid="{BF0FB106-E95E-487E-9514-7B7E1F7E7C46}">
      <text>
        <r>
          <rPr>
            <b/>
            <sz val="9"/>
            <color indexed="81"/>
            <rFont val="Tahoma"/>
            <family val="2"/>
          </rPr>
          <t>alfonso:</t>
        </r>
        <r>
          <rPr>
            <sz val="9"/>
            <color indexed="81"/>
            <rFont val="Tahoma"/>
            <family val="2"/>
          </rPr>
          <t xml:space="preserve">
Finca Sebastian, linda con Cerreño. 
15 Has x 32Eur/ha. 
450 Eur de sept 2024 a agosto 2025 
Transferencia realizada el 11/10/24. </t>
        </r>
      </text>
    </comment>
    <comment ref="AY99" authorId="1" shapeId="0" xr:uid="{D7014CBE-D259-4228-9101-0FAEA440893A}">
      <text>
        <r>
          <rPr>
            <sz val="9"/>
            <color indexed="81"/>
            <rFont val="Tahoma"/>
            <family val="2"/>
          </rPr>
          <t>600 de caja a Mariano por alquiler fincas Marianito</t>
        </r>
      </text>
    </comment>
    <comment ref="BJ99" authorId="3" shapeId="0" xr:uid="{FDD7425B-2CCC-4F06-B29F-9BC5B49C7A9F}">
      <text>
        <r>
          <rPr>
            <sz val="9"/>
            <color indexed="81"/>
            <rFont val="Tahoma"/>
            <family val="2"/>
          </rPr>
          <t xml:space="preserve">Alquiler finca Julio
- Del 1/9/25 a 31/8/26: 2.000 Eur
Info ALF 27/08/25: quiero antes ver con Alberto el contrato de arrendamiento
Transferencia realizada el 02/09/25 </t>
        </r>
      </text>
    </comment>
    <comment ref="BK99" authorId="3" shapeId="0" xr:uid="{1CD068D6-5727-436B-A679-3A8DD929611C}">
      <text>
        <r>
          <rPr>
            <b/>
            <sz val="9"/>
            <color indexed="81"/>
            <rFont val="Tahoma"/>
            <family val="2"/>
          </rPr>
          <t>alfonso:</t>
        </r>
        <r>
          <rPr>
            <sz val="9"/>
            <color indexed="81"/>
            <rFont val="Tahoma"/>
            <family val="2"/>
          </rPr>
          <t xml:space="preserve">
Finca Sebastian, linda con Cerreño. 
15 Has x 32Eur/ha. 
450 Eur de sept 2025 a agosto 2026 
Transf. Caixa realizada el 17/10/25
</t>
        </r>
      </text>
    </comment>
    <comment ref="BU99" authorId="3" shapeId="0" xr:uid="{B9FDFCFB-B339-4AD0-A921-1FDD4E428450}">
      <text>
        <r>
          <rPr>
            <sz val="9"/>
            <color indexed="81"/>
            <rFont val="Tahoma"/>
            <family val="2"/>
          </rPr>
          <t xml:space="preserve">Alquiler finca Julio
- Del 1/9/24 a 31/8/25: 2.000 Eur
</t>
        </r>
      </text>
    </comment>
    <comment ref="BZ99" authorId="3" shapeId="0" xr:uid="{E54F015A-B99C-4B70-8AE7-E3CDEF0F86B9}">
      <text>
        <r>
          <rPr>
            <b/>
            <sz val="9"/>
            <color indexed="81"/>
            <rFont val="Tahoma"/>
            <family val="2"/>
          </rPr>
          <t>alfonso:</t>
        </r>
        <r>
          <rPr>
            <sz val="9"/>
            <color indexed="81"/>
            <rFont val="Tahoma"/>
            <family val="2"/>
          </rPr>
          <t xml:space="preserve">
Finca Sebastian, linda con Cerreño. 
15 Has x 32Eur/ha. 
450 Eur de sept 2025 a agosto 2026 
</t>
        </r>
      </text>
    </comment>
    <comment ref="CJ99" authorId="3" shapeId="0" xr:uid="{E8DB7B5F-A84A-4D43-B3E5-EF6BBEC49ED4}">
      <text>
        <r>
          <rPr>
            <sz val="9"/>
            <color indexed="81"/>
            <rFont val="Tahoma"/>
            <family val="2"/>
          </rPr>
          <t xml:space="preserve">Alquiler finca Julio
- Del 1/9/24 a 31/8/25: 2.000 Eur
</t>
        </r>
      </text>
    </comment>
    <comment ref="CO99" authorId="3" shapeId="0" xr:uid="{06C8E64A-83E7-484B-9D03-95422058143E}">
      <text>
        <r>
          <rPr>
            <b/>
            <sz val="9"/>
            <color indexed="81"/>
            <rFont val="Tahoma"/>
            <family val="2"/>
          </rPr>
          <t>alfonso:</t>
        </r>
        <r>
          <rPr>
            <sz val="9"/>
            <color indexed="81"/>
            <rFont val="Tahoma"/>
            <family val="2"/>
          </rPr>
          <t xml:space="preserve">
Finca Sebastian, linda con Cerreño. 
15 Has x 32Eur/ha. 
450 Eur de sept 2025 a agosto 2026 
</t>
        </r>
      </text>
    </comment>
    <comment ref="CY99" authorId="3" shapeId="0" xr:uid="{D23857CB-3C77-4F97-98EF-622CF6D5E708}">
      <text>
        <r>
          <rPr>
            <sz val="9"/>
            <color indexed="81"/>
            <rFont val="Tahoma"/>
            <family val="2"/>
          </rPr>
          <t xml:space="preserve">Alquiler finca Julio
- Del 1/9/24 a 31/8/25: 2.000 Eur
</t>
        </r>
      </text>
    </comment>
    <comment ref="DB99" authorId="3" shapeId="0" xr:uid="{B3D740F0-08CD-43D8-882C-2555CFA84642}">
      <text>
        <r>
          <rPr>
            <sz val="9"/>
            <color indexed="81"/>
            <rFont val="Tahoma"/>
            <family val="2"/>
          </rPr>
          <t>prevision alquiler de parte expropiada de la Junta de Andalucía que no terminan de cobrar. 240 Eur/año.
Cuota de 2021:  240 Eur.
Cuota de 2022:  240 Eur.
Cuota de 2023:  240 Eur.
Cuota de 2024:  240 Eur.
Cuota de 2025:  240 Eur.
Cuota de 2026:  240 Eur.
Cuota de 2027:  240 Eur.
------------------------------------------</t>
        </r>
      </text>
    </comment>
    <comment ref="B100" authorId="3" shapeId="0" xr:uid="{6C877A97-FAA2-45DB-8AA5-A59F257D5708}">
      <text>
        <r>
          <rPr>
            <sz val="9"/>
            <color indexed="81"/>
            <rFont val="Tahoma"/>
            <family val="2"/>
          </rPr>
          <t xml:space="preserve">Limpiadora, Manolito refo, registros Ana Mari…
Gurumelos, Jara, Caza…
Gurumelos 2026 (2660 Eur)
Gibraleón en Julio: 400x2pers =800
San Juan I en Corchas: 350x3pers =1050
San Juan II en Corte: 270x3pers =810 
</t>
        </r>
      </text>
    </comment>
    <comment ref="AI100" authorId="1" shapeId="0" xr:uid="{04CEC858-2258-47B4-9121-0B28DFD41766}">
      <text>
        <r>
          <rPr>
            <sz val="9"/>
            <color indexed="81"/>
            <rFont val="Tahoma"/>
            <family val="2"/>
          </rPr>
          <t>2100 entran en caja por venta recogida a Gurumeleros 2024</t>
        </r>
      </text>
    </comment>
    <comment ref="AJ100" authorId="1" shapeId="0" xr:uid="{77830BBC-CC10-48DB-8373-4243A15CDFEB}">
      <text>
        <r>
          <rPr>
            <b/>
            <sz val="9"/>
            <color indexed="81"/>
            <rFont val="Tahoma"/>
            <family val="2"/>
          </rPr>
          <t>Salarios febrero reforestacion en contratacion directa. 
Manuel Jimenez 800 Eur en efectivo de caja el 29/2/24</t>
        </r>
        <r>
          <rPr>
            <sz val="9"/>
            <color indexed="81"/>
            <rFont val="Tahoma"/>
            <family val="2"/>
          </rPr>
          <t xml:space="preserve">
</t>
        </r>
      </text>
    </comment>
    <comment ref="AK100" authorId="1" shapeId="0" xr:uid="{A24B6108-F170-424D-BE42-B416079E548E}">
      <text>
        <r>
          <rPr>
            <b/>
            <sz val="9"/>
            <color indexed="81"/>
            <rFont val="Tahoma"/>
            <family val="2"/>
          </rPr>
          <t>Salarios marzo reforestacion en contratacion directa. 
Manuel Jimenez 675 Eur en efectivo de caja el 26/3/24</t>
        </r>
        <r>
          <rPr>
            <sz val="9"/>
            <color indexed="81"/>
            <rFont val="Tahoma"/>
            <family val="2"/>
          </rPr>
          <t xml:space="preserve">
</t>
        </r>
      </text>
    </comment>
    <comment ref="AL100" authorId="1" shapeId="0" xr:uid="{9F3804BB-6460-43D4-86A1-5864EF7DF54D}">
      <text>
        <r>
          <rPr>
            <b/>
            <sz val="9"/>
            <color indexed="81"/>
            <rFont val="Tahoma"/>
            <family val="2"/>
          </rPr>
          <t>Salarios abril reforestacion en contratacion directa. 
Manuel Jimenez 1000 Eur en efectivo de caja el 25/4/24</t>
        </r>
        <r>
          <rPr>
            <sz val="9"/>
            <color indexed="81"/>
            <rFont val="Tahoma"/>
            <family val="2"/>
          </rPr>
          <t xml:space="preserve">
</t>
        </r>
      </text>
    </comment>
    <comment ref="AM100" authorId="1" shapeId="0" xr:uid="{F2DBA14C-869C-47FE-83D1-BC10D546FD3B}">
      <text>
        <r>
          <rPr>
            <b/>
            <sz val="9"/>
            <color indexed="81"/>
            <rFont val="Tahoma"/>
            <family val="2"/>
          </rPr>
          <t>Salarios mayo reforestacion en contratacion directa. 
Manuel Jimenez 950 Eur en efectivo de caja el 25/5/24</t>
        </r>
        <r>
          <rPr>
            <sz val="9"/>
            <color indexed="81"/>
            <rFont val="Tahoma"/>
            <family val="2"/>
          </rPr>
          <t xml:space="preserve">
</t>
        </r>
      </text>
    </comment>
    <comment ref="AO100" authorId="1" shapeId="0" xr:uid="{4B4C2C0D-B7B7-416E-BC61-5C8CE913C5F9}">
      <text>
        <r>
          <rPr>
            <sz val="9"/>
            <color indexed="81"/>
            <rFont val="Tahoma"/>
            <family val="2"/>
          </rPr>
          <t>120 de dos dias de trabajo poniendo toldo en parideras Jaime Martin</t>
        </r>
      </text>
    </comment>
    <comment ref="AV100" authorId="1" shapeId="0" xr:uid="{19C36515-3835-4FEC-BBC2-546664758861}">
      <text>
        <r>
          <rPr>
            <b/>
            <sz val="9"/>
            <color indexed="81"/>
            <rFont val="Tahoma"/>
            <family val="2"/>
          </rPr>
          <t>-400 venta de jaras a gitanos</t>
        </r>
      </text>
    </comment>
    <comment ref="AW100" authorId="1" shapeId="0" xr:uid="{608F7A24-D7D9-4E42-9FC2-4B09A708CCEB}">
      <text>
        <r>
          <rPr>
            <b/>
            <sz val="9"/>
            <color indexed="81"/>
            <rFont val="Tahoma"/>
            <family val="2"/>
          </rPr>
          <t>Salarios nov reforestacion en contratacion directa. 
Manuel Jimenez 650 Eur en efectivo de caja el 25/11/24</t>
        </r>
        <r>
          <rPr>
            <sz val="9"/>
            <color indexed="81"/>
            <rFont val="Tahoma"/>
            <family val="2"/>
          </rPr>
          <t xml:space="preserve">
</t>
        </r>
      </text>
    </comment>
    <comment ref="AY100" authorId="1" shapeId="0" xr:uid="{CBF8738B-B675-4C61-B8AE-EB2D1680A795}">
      <text>
        <r>
          <rPr>
            <b/>
            <sz val="9"/>
            <color indexed="81"/>
            <rFont val="Tahoma"/>
            <family val="2"/>
          </rPr>
          <t>Salarios dic y ene reforestacion en contratacion directa. 
Manuel Jimenez 800 Eur en efectivo de caja el 10/1/25 de diciembre y 950 el 25/1/25 de enero</t>
        </r>
        <r>
          <rPr>
            <sz val="9"/>
            <color indexed="81"/>
            <rFont val="Tahoma"/>
            <family val="2"/>
          </rPr>
          <t xml:space="preserve">
</t>
        </r>
        <r>
          <rPr>
            <b/>
            <sz val="9"/>
            <color indexed="81"/>
            <rFont val="Tahoma"/>
            <family val="2"/>
          </rPr>
          <t>700 entran en caja por venta parcial recogida a Gurumeleros 2025</t>
        </r>
      </text>
    </comment>
    <comment ref="AZ100" authorId="1" shapeId="0" xr:uid="{2A537372-203F-404E-AF9D-7457A280DB7A}">
      <text>
        <r>
          <rPr>
            <b/>
            <sz val="9"/>
            <color indexed="81"/>
            <rFont val="Tahoma"/>
            <family val="2"/>
          </rPr>
          <t>350 + 1050 entran en caja por venta parcial recogida a Gurumeleros 2025
-------------
950 Salario feb reforestacion en contratacion directa. 
Manuel Jimenez 800 Eur en efectivo de caja el 25/2/25
-----------
500 de Pago Ana Mari registros (oct-feb 100x5=500)</t>
        </r>
      </text>
    </comment>
    <comment ref="BD100" authorId="1" shapeId="0" xr:uid="{C1561E8E-BC75-4488-96B6-40D87497C6DD}">
      <text>
        <r>
          <rPr>
            <b/>
            <sz val="9"/>
            <color indexed="81"/>
            <rFont val="Tahoma"/>
            <family val="2"/>
          </rPr>
          <t xml:space="preserve">Cesión recogida Gurumelos en finca Julio 25 (nuevos Gibraleon): 
</t>
        </r>
        <r>
          <rPr>
            <sz val="9"/>
            <color indexed="81"/>
            <rFont val="Tahoma"/>
            <family val="2"/>
          </rPr>
          <t>200 a caja</t>
        </r>
      </text>
    </comment>
    <comment ref="BJ100" authorId="1" shapeId="0" xr:uid="{98FECFE6-E314-449D-A711-9BF5F43CF3CE}">
      <text>
        <r>
          <rPr>
            <sz val="9"/>
            <color indexed="81"/>
            <rFont val="Tahoma"/>
            <family val="2"/>
          </rPr>
          <t>Cesión recogida Gurumelos en finca Julio 25 (nuevos Gibraleon):
400 a caja
--------------
Venta de troncones (1 Pta/Kg) tickets archivados) 370 a caja</t>
        </r>
      </text>
    </comment>
    <comment ref="BL100" authorId="1" shapeId="0" xr:uid="{E5C80953-79BE-4D75-9CCF-4D941B582A07}">
      <text>
        <r>
          <rPr>
            <sz val="9"/>
            <color indexed="81"/>
            <rFont val="Tahoma"/>
            <family val="2"/>
          </rPr>
          <t>200 Eur Cesión recogida Gurumelos en finca Julio 26 (nuevos Gibraleon) entra en caja el 20/11/25
450 Eur salario manolito Octubre. Sale de caja el 20/11/25</t>
        </r>
      </text>
    </comment>
    <comment ref="BM100" authorId="1" shapeId="0" xr:uid="{BC599F92-3FCD-45B9-BB84-5CED93AF8345}">
      <text>
        <r>
          <rPr>
            <b/>
            <sz val="9"/>
            <color indexed="81"/>
            <rFont val="Tahoma"/>
            <family val="2"/>
          </rPr>
          <t>850 Salario nov reforestacion en contratacion directa. 
Manuel Jimenez. De caja el 3.12.25
2000 de coto de caza 25/26 de Mariano a caja el 17.12.25 (compensado con bono 2023)</t>
        </r>
      </text>
    </comment>
    <comment ref="BO100" authorId="1" shapeId="0" xr:uid="{DF202A73-A25F-4899-9E4F-2FD5ACE363AE}">
      <text>
        <r>
          <rPr>
            <b/>
            <sz val="9"/>
            <color indexed="81"/>
            <rFont val="Tahoma"/>
            <family val="2"/>
          </rPr>
          <t xml:space="preserve">Ingresos gurumelos:
-350 x 3 = 1050 gurumelos de corchas
-270 x 3 = 810 gurumeleros de corte
</t>
        </r>
        <r>
          <rPr>
            <b/>
            <u/>
            <sz val="9"/>
            <color indexed="81"/>
            <rFont val="Tahoma"/>
            <family val="2"/>
          </rPr>
          <t>-400 de gurumelos de Gibraleon en Julio Pickup 
-</t>
        </r>
        <r>
          <rPr>
            <b/>
            <sz val="9"/>
            <color indexed="81"/>
            <rFont val="Tahoma"/>
            <family val="2"/>
          </rPr>
          <t>2.260 a caja el 17.2.26
-----------------
1500 registros Ana Maria Mar-Feb de caja el 17.2.26
-----------------
70 Ayuda Javi vecino a descargar camion pineso montanera con su tractor. de caja el 17.2.26
---------------
700 Salario dic reforestacion en contratacion directa. Diciembre Manuel Jimenez de caja el 19/2/26
500 Salario ene reforestacion en contratacion directa. Enero Manuel Jimenez, de caja el 19/2/26
380 Salario feb reforestacion en contratacion directa. Febrero Manuel Jimenez, de caja el 26/2/26
--------------------------------------</t>
        </r>
      </text>
    </comment>
    <comment ref="BP100" authorId="1" shapeId="0" xr:uid="{1927AF41-89C5-429E-A2A5-C76B5834B688}">
      <text>
        <r>
          <rPr>
            <b/>
            <sz val="9"/>
            <color indexed="81"/>
            <rFont val="Tahoma"/>
            <family val="2"/>
          </rPr>
          <t xml:space="preserve">
</t>
        </r>
        <r>
          <rPr>
            <sz val="9"/>
            <color indexed="81"/>
            <rFont val="Tahoma"/>
            <family val="2"/>
          </rPr>
          <t>Fra Industrias carnicas del .
coto de caza: 963,49€.
Abonado: 06/03/26</t>
        </r>
      </text>
    </comment>
    <comment ref="BQ100" authorId="1" shapeId="0" xr:uid="{FA2DA8CB-CF59-4966-9B8E-F76D44195B97}">
      <text>
        <r>
          <rPr>
            <b/>
            <sz val="9"/>
            <color indexed="81"/>
            <rFont val="Tahoma"/>
            <family val="2"/>
          </rPr>
          <t>100 Salario dic reforestacion en contratacion directa. Febrero Henrry. Sale de Caja el 9.4.26
--------------------------------------</t>
        </r>
      </text>
    </comment>
    <comment ref="BU100" authorId="1" shapeId="0" xr:uid="{1836AD70-4ADF-49F9-876E-22A5E6F7D937}">
      <text>
        <r>
          <rPr>
            <b/>
            <sz val="9"/>
            <color indexed="81"/>
            <rFont val="Tahoma"/>
            <family val="2"/>
          </rPr>
          <t>Alfonso Carmona:</t>
        </r>
        <r>
          <rPr>
            <sz val="9"/>
            <color indexed="81"/>
            <rFont val="Tahoma"/>
            <family val="2"/>
          </rPr>
          <t xml:space="preserve">
2000 (-875,9 cobrado de venta de carne) de coto de caza 26/27
750 registros Ana Maria marz-ago</t>
        </r>
      </text>
    </comment>
    <comment ref="BZ100" authorId="1" shapeId="0" xr:uid="{12AE6BBF-3020-44DC-9A8F-E474A3A3195E}">
      <text>
        <r>
          <rPr>
            <b/>
            <sz val="9"/>
            <color indexed="81"/>
            <rFont val="Tahoma"/>
            <family val="2"/>
          </rPr>
          <t>-400 venta de jaras a gitanos</t>
        </r>
      </text>
    </comment>
    <comment ref="CB100" authorId="3" shapeId="0" xr:uid="{96582551-DAF2-45CB-BC7B-00CF885D17F3}">
      <text>
        <r>
          <rPr>
            <b/>
            <sz val="9"/>
            <color indexed="81"/>
            <rFont val="Tahoma"/>
            <family val="2"/>
          </rPr>
          <t>600 de gurumeleros para recogida en Julio</t>
        </r>
      </text>
    </comment>
    <comment ref="CC100" authorId="3" shapeId="0" xr:uid="{813612E1-A1B3-4DE3-B4E5-C3DE051D4696}">
      <text>
        <r>
          <rPr>
            <b/>
            <sz val="9"/>
            <color indexed="81"/>
            <rFont val="Tahoma"/>
            <family val="2"/>
          </rPr>
          <t>gurumeleros para recogida en Las Corchas. (se añaden 50 Eur/cabeza a estos, acordado Mariano. Ver con Mariano algunos del grupo antiguo que se caen del grupo.Creo que se queda en la mitar. Así lo registro hasta aclarar.</t>
        </r>
      </text>
    </comment>
    <comment ref="CD100" authorId="1" shapeId="0" xr:uid="{78C1592A-36AC-4676-AD13-D96365D8DD45}">
      <text>
        <r>
          <rPr>
            <sz val="9"/>
            <color indexed="81"/>
            <rFont val="Tahoma"/>
            <family val="2"/>
          </rPr>
          <t>regostros Ana Maria sep-feb</t>
        </r>
      </text>
    </comment>
    <comment ref="CI100" authorId="1" shapeId="0" xr:uid="{B8E14A8A-5A52-418D-B16B-06FFEF9B28BC}">
      <text>
        <r>
          <rPr>
            <sz val="9"/>
            <color indexed="81"/>
            <rFont val="Tahoma"/>
            <family val="2"/>
          </rPr>
          <t>regostros Ana Maria Mar-ago</t>
        </r>
      </text>
    </comment>
    <comment ref="CJ100" authorId="1" shapeId="0" xr:uid="{64C2F148-BD7D-4CD4-899E-A0FA6C8DA503}">
      <text>
        <r>
          <rPr>
            <b/>
            <sz val="9"/>
            <color indexed="81"/>
            <rFont val="Tahoma"/>
            <family val="2"/>
          </rPr>
          <t>Alfonso Carmona:</t>
        </r>
        <r>
          <rPr>
            <sz val="9"/>
            <color indexed="81"/>
            <rFont val="Tahoma"/>
            <family val="2"/>
          </rPr>
          <t xml:space="preserve">
2000 de coto de caza</t>
        </r>
      </text>
    </comment>
    <comment ref="CO100" authorId="1" shapeId="0" xr:uid="{8A7B7552-3D3E-404A-B1A0-6019A33D126A}">
      <text>
        <r>
          <rPr>
            <b/>
            <sz val="9"/>
            <color indexed="81"/>
            <rFont val="Tahoma"/>
            <family val="2"/>
          </rPr>
          <t>-400 venta de jaras a gitanos</t>
        </r>
      </text>
    </comment>
    <comment ref="CQ100" authorId="3" shapeId="0" xr:uid="{71384115-9812-4E9A-80EA-F0ADDA025497}">
      <text>
        <r>
          <rPr>
            <b/>
            <sz val="9"/>
            <color indexed="81"/>
            <rFont val="Tahoma"/>
            <family val="2"/>
          </rPr>
          <t>600 de gurumeleros para recogida en Julio</t>
        </r>
      </text>
    </comment>
    <comment ref="CR100" authorId="3" shapeId="0" xr:uid="{BE6445E6-936C-4EAA-868A-807DD9A48B95}">
      <text>
        <r>
          <rPr>
            <b/>
            <sz val="9"/>
            <color indexed="81"/>
            <rFont val="Tahoma"/>
            <family val="2"/>
          </rPr>
          <t>gurumeleros para recogida en Las Corchas. (se añaden 50 Eur/cabeza a estos, acordado Mariano</t>
        </r>
      </text>
    </comment>
    <comment ref="CS100" authorId="1" shapeId="0" xr:uid="{70718A2E-59A3-4178-8911-2E23AD7F60BE}">
      <text>
        <r>
          <rPr>
            <sz val="9"/>
            <color indexed="81"/>
            <rFont val="Tahoma"/>
            <family val="2"/>
          </rPr>
          <t>regostros Ana Maria sep-feb</t>
        </r>
      </text>
    </comment>
    <comment ref="CX100" authorId="1" shapeId="0" xr:uid="{BE9E3261-04B5-4111-B375-CC153C1D442E}">
      <text>
        <r>
          <rPr>
            <sz val="9"/>
            <color indexed="81"/>
            <rFont val="Tahoma"/>
            <family val="2"/>
          </rPr>
          <t>regostros Ana Maria Mar-ago</t>
        </r>
      </text>
    </comment>
    <comment ref="CY100" authorId="1" shapeId="0" xr:uid="{9B1AC198-2BDB-4137-99EE-370AFB6D4CD2}">
      <text>
        <r>
          <rPr>
            <b/>
            <sz val="9"/>
            <color indexed="81"/>
            <rFont val="Tahoma"/>
            <family val="2"/>
          </rPr>
          <t>Alfonso Carmona:</t>
        </r>
        <r>
          <rPr>
            <sz val="9"/>
            <color indexed="81"/>
            <rFont val="Tahoma"/>
            <family val="2"/>
          </rPr>
          <t xml:space="preserve">
2000 de coto de caza</t>
        </r>
      </text>
    </comment>
    <comment ref="AA101" authorId="0" shapeId="0" xr:uid="{6C182494-CA24-49D2-A1B2-99CBF1601999}">
      <text>
        <r>
          <rPr>
            <sz val="9"/>
            <color indexed="81"/>
            <rFont val="Tahoma"/>
            <family val="2"/>
          </rPr>
          <t>Transferencia realizada el 30/08/23.
Comienza Nomina de Miguel Angel Pelícano este mes</t>
        </r>
      </text>
    </comment>
    <comment ref="AE101" authorId="0" shapeId="0" xr:uid="{DA4178E9-E13A-4F3C-B262-79688347F512}">
      <text>
        <r>
          <rPr>
            <sz val="9"/>
            <color indexed="81"/>
            <rFont val="Tahoma"/>
            <family val="2"/>
          </rPr>
          <t>Transferencia realizada el 29/09/23.</t>
        </r>
      </text>
    </comment>
    <comment ref="AF101" authorId="0" shapeId="0" xr:uid="{6BF1877A-9379-464B-83F6-AB6ABE82072A}">
      <text>
        <r>
          <rPr>
            <b/>
            <sz val="9"/>
            <color indexed="81"/>
            <rFont val="Tahoma"/>
            <family val="2"/>
          </rPr>
          <t>Transferencia realizada el 30/10/23.</t>
        </r>
      </text>
    </comment>
    <comment ref="AG101" authorId="0" shapeId="0" xr:uid="{5786A73C-A54D-4E98-81C2-940FDF3368C6}">
      <text>
        <r>
          <rPr>
            <b/>
            <sz val="9"/>
            <color indexed="81"/>
            <rFont val="Tahoma"/>
            <family val="2"/>
          </rPr>
          <t>Transferencia realizada el 29/11/23.</t>
        </r>
      </text>
    </comment>
    <comment ref="AH101" authorId="0" shapeId="0" xr:uid="{A9EC77BC-6B85-4188-9961-F2D131B3E9B8}">
      <text>
        <r>
          <rPr>
            <b/>
            <sz val="9"/>
            <color indexed="81"/>
            <rFont val="Tahoma"/>
            <family val="2"/>
          </rPr>
          <t>Transferencia realizada el 28/12/23.
Termina Nomina de Miguel Angel Pelícano este mes</t>
        </r>
      </text>
    </comment>
    <comment ref="AV101" authorId="2" shapeId="0" xr:uid="{F7CA9A3C-9A9F-45BD-B456-84C886861F45}">
      <text>
        <r>
          <rPr>
            <b/>
            <sz val="9"/>
            <color indexed="81"/>
            <rFont val="Tahoma"/>
            <family val="2"/>
          </rPr>
          <t>Transferencia realizada el 30/10/24
Comienza Nomina de Felix Bayon</t>
        </r>
      </text>
    </comment>
    <comment ref="AW101" authorId="2" shapeId="0" xr:uid="{1850D892-21A1-4B18-9488-37435C9E7F3D}">
      <text>
        <r>
          <rPr>
            <b/>
            <sz val="9"/>
            <color indexed="81"/>
            <rFont val="Tahoma"/>
            <family val="2"/>
          </rPr>
          <t>Transferencia realizada el 27/11/24</t>
        </r>
      </text>
    </comment>
    <comment ref="AX101" authorId="2" shapeId="0" xr:uid="{CD55EDFD-1506-430B-B126-D4F1F31C2FAB}">
      <text>
        <r>
          <rPr>
            <b/>
            <sz val="9"/>
            <color indexed="81"/>
            <rFont val="Tahoma"/>
            <family val="2"/>
          </rPr>
          <t>Transferencia realizada el 27/12/24</t>
        </r>
      </text>
    </comment>
    <comment ref="AY101" authorId="2" shapeId="0" xr:uid="{C72BF79A-342F-4DCA-AFF9-94F96C52E4F2}">
      <text>
        <r>
          <rPr>
            <b/>
            <sz val="9"/>
            <color indexed="81"/>
            <rFont val="Tahoma"/>
            <family val="2"/>
          </rPr>
          <t>Transferencia realizada el 29/01/25</t>
        </r>
      </text>
    </comment>
    <comment ref="AZ101" authorId="2" shapeId="0" xr:uid="{D777A3F6-4436-4BE2-A112-6A90C438DE0C}">
      <text>
        <r>
          <rPr>
            <b/>
            <sz val="9"/>
            <color indexed="81"/>
            <rFont val="Tahoma"/>
            <family val="2"/>
          </rPr>
          <t>Transferencia realizada el 25/02/25
Terminan Nominas de Felix Bayon</t>
        </r>
      </text>
    </comment>
    <comment ref="BK101" authorId="1" shapeId="0" xr:uid="{D23A238C-B206-41B4-857A-26544885F7DB}">
      <text>
        <r>
          <rPr>
            <b/>
            <sz val="9"/>
            <color indexed="81"/>
            <rFont val="Tahoma"/>
            <family val="2"/>
          </rPr>
          <t>Alfonso Carmona:</t>
        </r>
        <r>
          <rPr>
            <sz val="9"/>
            <color indexed="81"/>
            <rFont val="Tahoma"/>
            <family val="2"/>
          </rPr>
          <t xml:space="preserve">
Comienzan nominas Jhonathan. Alta el 6/10</t>
        </r>
      </text>
    </comment>
    <comment ref="BL101" authorId="1" shapeId="0" xr:uid="{1E77D706-20A6-49E9-827A-01FDB83EBF50}">
      <text>
        <r>
          <rPr>
            <b/>
            <sz val="9"/>
            <color indexed="81"/>
            <rFont val="Tahoma"/>
            <family val="2"/>
          </rPr>
          <t xml:space="preserve">06/11/25 Alfonso Carmona:
</t>
        </r>
        <r>
          <rPr>
            <sz val="9"/>
            <color indexed="81"/>
            <rFont val="Tahoma"/>
            <family val="2"/>
          </rPr>
          <t>Le haceis transfer pf por 800 Eur como anticipo de remuneraciónes y apuntáis un descuento de 200  Eur en los próximos 4 meses empezando en Noviembre
800€: Transferencia realizada el 06/11/25
1000€ pendientes (1200 de nomina menos 200 aplicados del anticipo)
Transferencia realizada el 28/11/25</t>
        </r>
      </text>
    </comment>
    <comment ref="BM101" authorId="1" shapeId="0" xr:uid="{32D4A6ED-FBE4-4A25-B03A-EBCCE60C1A5D}">
      <text>
        <r>
          <rPr>
            <b/>
            <sz val="9"/>
            <color indexed="81"/>
            <rFont val="Tahoma"/>
            <family val="2"/>
          </rPr>
          <t xml:space="preserve">1367,72 (1200 de Nomina diciembre + 167,72 de horas extra 2025)
06/11/25 Alfonso Carmona:
</t>
        </r>
        <r>
          <rPr>
            <sz val="9"/>
            <color indexed="81"/>
            <rFont val="Tahoma"/>
            <family val="2"/>
          </rPr>
          <t xml:space="preserve">Le haceis transfer pf por 800 Eur como anticipo de remuneraciónes y apuntáis un descuento de 200  Eur en los próximos 4 meses empezando en Noviembre
Transferencia realizada el 31/12/25
</t>
        </r>
      </text>
    </comment>
    <comment ref="BN101" authorId="1" shapeId="0" xr:uid="{BF63D245-13C4-4007-B9E2-521410C5064E}">
      <text>
        <r>
          <rPr>
            <b/>
            <sz val="9"/>
            <color indexed="81"/>
            <rFont val="Tahoma"/>
            <family val="2"/>
          </rPr>
          <t xml:space="preserve">06/11/25 Alfonso Carmona:
</t>
        </r>
        <r>
          <rPr>
            <sz val="9"/>
            <color indexed="81"/>
            <rFont val="Tahoma"/>
            <family val="2"/>
          </rPr>
          <t>Le haceis transfer pf por 800 Eur como anticipo de remuneraciónes y apuntáis un descuento de 200  Eur en los próximos 4 meses empezando en Noviembre
Transferencia Caixa realizada el 30/01/26</t>
        </r>
      </text>
    </comment>
    <comment ref="BO101" authorId="1" shapeId="0" xr:uid="{F1D21D54-35AA-42A8-ABCF-46829AA79725}">
      <text>
        <r>
          <rPr>
            <b/>
            <sz val="9"/>
            <color indexed="81"/>
            <rFont val="Tahoma"/>
            <family val="2"/>
          </rPr>
          <t xml:space="preserve">06/11/25 Alfonso Carmona:
</t>
        </r>
        <r>
          <rPr>
            <sz val="9"/>
            <color indexed="81"/>
            <rFont val="Tahoma"/>
            <family val="2"/>
          </rPr>
          <t>Le haceis transfer pf por 800 Eur como anticipo de remuneraciónes y apuntáis un descuento de 200  Eur en los próximos 4 meses empezando en Noviembre.
La nomina es de 880 por baja de paternidad desde el 23/2, menos 200 descontados del anticipo, y ya queda saldado.
Transferencia Caixa realizada el 27/02/26</t>
        </r>
      </text>
    </comment>
    <comment ref="BP101" authorId="1" shapeId="0" xr:uid="{74CA2C15-CFCA-4E2B-8B42-B829C21A0BEC}">
      <text>
        <r>
          <rPr>
            <sz val="9"/>
            <color indexed="81"/>
            <rFont val="Tahoma"/>
            <family val="2"/>
          </rPr>
          <t>La nomina es de 0 por baja de paternidad desde el 23/2.</t>
        </r>
      </text>
    </comment>
    <comment ref="BQ101" authorId="1" shapeId="0" xr:uid="{E7DB9ADA-3DE1-4909-9811-8F7CF4701471}">
      <text>
        <r>
          <rPr>
            <sz val="9"/>
            <color indexed="81"/>
            <rFont val="Tahoma"/>
            <family val="2"/>
          </rPr>
          <t>La nomina es de 0 por baja de paternidad desde el 23/2.</t>
        </r>
      </text>
    </comment>
    <comment ref="BR101" authorId="1" shapeId="0" xr:uid="{0E318965-5621-4059-96EB-4E2A9FC3BCB8}">
      <text>
        <r>
          <rPr>
            <b/>
            <sz val="9"/>
            <color indexed="81"/>
            <rFont val="Tahoma"/>
            <family val="2"/>
          </rPr>
          <t>La nomina es de 1080 por baja de paternidad desde el 23/2 hasta el 3/5.
10 semanas disfrutadas.
Ojo nueva cuenta.
Transferencia Caixa realizada el 29/05/26</t>
        </r>
      </text>
    </comment>
    <comment ref="B102" authorId="1" shapeId="0" xr:uid="{D084C2C9-7C34-46B5-9C60-8E31CA0F3D83}">
      <text>
        <r>
          <rPr>
            <b/>
            <sz val="9"/>
            <color indexed="81"/>
            <rFont val="Tahoma"/>
            <family val="2"/>
          </rPr>
          <t xml:space="preserve">Conversación previa compra Finca:
Trabaja 30 dias sin vacaciones y el se organiza sus días libres, montería... siempre dejándolo todo cuidado. Vienen sus 4 amigos de confianza solo a las tórtolas, que son socios del coto. 
Salario 1200 eur/líquidos y un cochino para el.
Mantenimiento casas. 
</t>
        </r>
      </text>
    </comment>
    <comment ref="AA102" authorId="0" shapeId="0" xr:uid="{F9368595-D7DB-4FA8-9A40-84B4D3767387}">
      <text>
        <r>
          <rPr>
            <sz val="9"/>
            <color indexed="81"/>
            <rFont val="Tahoma"/>
            <family val="2"/>
          </rPr>
          <t>Transferencia realizada el 30/08/23.</t>
        </r>
      </text>
    </comment>
    <comment ref="AE102" authorId="4" shapeId="0" xr:uid="{18626B72-2DC0-4EE4-B74F-D47555308C93}">
      <text>
        <r>
          <rPr>
            <sz val="9"/>
            <color indexed="81"/>
            <rFont val="Tahoma"/>
            <family val="2"/>
          </rPr>
          <t>Info Alf 21/09/23:
Mariano sigue en NC hasta final de este mes de septiembre. Desde el 1/10 estará ya en NA.
Y para cuadrar la tesorería, pasar de NC a NA una trasnsfer como pago del salario de Mariano de Agosto. En NA que ese pago que hicieron lo compensen con este. 
1200€: Transferencia Caixa de NC a NA el 21/09/23</t>
        </r>
      </text>
    </comment>
    <comment ref="AF102" authorId="0" shapeId="0" xr:uid="{37E5E14B-FE6A-47A0-BCDA-36809B184BA8}">
      <text>
        <r>
          <rPr>
            <b/>
            <sz val="9"/>
            <color indexed="81"/>
            <rFont val="Tahoma"/>
            <family val="2"/>
          </rPr>
          <t>Transferencia realizada el 30/10/23.</t>
        </r>
      </text>
    </comment>
    <comment ref="AG102" authorId="0" shapeId="0" xr:uid="{34C4A2C2-8A67-4449-80CA-0CE04E6C8B67}">
      <text>
        <r>
          <rPr>
            <b/>
            <sz val="9"/>
            <color indexed="81"/>
            <rFont val="Tahoma"/>
            <family val="2"/>
          </rPr>
          <t>Transferencia realizada el 29/11/23.</t>
        </r>
      </text>
    </comment>
    <comment ref="AH102" authorId="0" shapeId="0" xr:uid="{2EAF282D-0BC5-4BDA-A674-F81A9EADC1A3}">
      <text>
        <r>
          <rPr>
            <b/>
            <sz val="9"/>
            <color indexed="81"/>
            <rFont val="Tahoma"/>
            <family val="2"/>
          </rPr>
          <t>Transferencia realizada el 28/12/23.</t>
        </r>
      </text>
    </comment>
    <comment ref="AJ102" authorId="1" shapeId="0" xr:uid="{4919B0B9-D349-4248-BB6A-E579FD1A9139}">
      <text>
        <r>
          <rPr>
            <sz val="9"/>
            <color indexed="81"/>
            <rFont val="Tahoma"/>
            <family val="2"/>
          </rPr>
          <t>Diferencia entre nomina de enero inicial y rectificada por al subida del SMI: 1211,87-1200=11,87
Nomina de febrero: 1211,87 
Transferencia Caixa realizada el 29/02/24</t>
        </r>
      </text>
    </comment>
    <comment ref="AN102" authorId="0" shapeId="0" xr:uid="{EDCA0529-FE6B-45CF-AAD1-13AAF834CBE1}">
      <text>
        <r>
          <rPr>
            <b/>
            <sz val="9"/>
            <color indexed="81"/>
            <rFont val="Tahoma"/>
            <family val="2"/>
          </rPr>
          <t>Transferencia realizada el 28/06/24.</t>
        </r>
      </text>
    </comment>
    <comment ref="AO102" authorId="2" shapeId="0" xr:uid="{E4887B6F-3741-47B1-9D44-2957151571AF}">
      <text>
        <r>
          <rPr>
            <b/>
            <sz val="9"/>
            <color indexed="81"/>
            <rFont val="Tahoma"/>
            <family val="2"/>
          </rPr>
          <t>Transferencia realizada el 25/07/24</t>
        </r>
      </text>
    </comment>
    <comment ref="AP102" authorId="2" shapeId="0" xr:uid="{6F11CA04-6643-412D-8298-6C9A12D67D87}">
      <text>
        <r>
          <rPr>
            <b/>
            <sz val="9"/>
            <color indexed="81"/>
            <rFont val="Tahoma"/>
            <family val="2"/>
          </rPr>
          <t>Transferencia realizada el 27/08/24</t>
        </r>
      </text>
    </comment>
    <comment ref="AU102" authorId="2" shapeId="0" xr:uid="{0D4209E3-7ABE-40B1-B56C-3CB3CEC11DB8}">
      <text>
        <r>
          <rPr>
            <b/>
            <sz val="9"/>
            <color indexed="81"/>
            <rFont val="Tahoma"/>
            <family val="2"/>
          </rPr>
          <t>Transferencia realizada el 27/09/24</t>
        </r>
      </text>
    </comment>
    <comment ref="AV102" authorId="2" shapeId="0" xr:uid="{F9DF1499-F4D4-49E0-9DC3-D9F189EF3F6B}">
      <text>
        <r>
          <rPr>
            <b/>
            <sz val="9"/>
            <color indexed="81"/>
            <rFont val="Tahoma"/>
            <family val="2"/>
          </rPr>
          <t>Transferencia realizada el 30/10/24</t>
        </r>
      </text>
    </comment>
    <comment ref="AW102" authorId="2" shapeId="0" xr:uid="{EF5E5D9F-9752-4F64-8981-4437FA6E5035}">
      <text>
        <r>
          <rPr>
            <b/>
            <sz val="9"/>
            <color indexed="81"/>
            <rFont val="Tahoma"/>
            <family val="2"/>
          </rPr>
          <t>Transferencia realizada el 27/11/24</t>
        </r>
      </text>
    </comment>
    <comment ref="AX102" authorId="2" shapeId="0" xr:uid="{FDCB1487-BD22-4228-A24C-328F4D9A207E}">
      <text>
        <r>
          <rPr>
            <b/>
            <sz val="9"/>
            <color indexed="81"/>
            <rFont val="Tahoma"/>
            <family val="2"/>
          </rPr>
          <t>Transferencia realizada el 27/12/24</t>
        </r>
      </text>
    </comment>
    <comment ref="AY102" authorId="2" shapeId="0" xr:uid="{DA941E04-84EF-4C0F-B00B-F8765351B655}">
      <text>
        <r>
          <rPr>
            <b/>
            <sz val="9"/>
            <color indexed="81"/>
            <rFont val="Tahoma"/>
            <family val="2"/>
          </rPr>
          <t>Transferencia realizada el 29/01/25</t>
        </r>
      </text>
    </comment>
    <comment ref="AZ102" authorId="2" shapeId="0" xr:uid="{96BB3CB2-3376-4220-8621-16040EDF2869}">
      <text>
        <r>
          <rPr>
            <b/>
            <sz val="9"/>
            <color indexed="81"/>
            <rFont val="Tahoma"/>
            <family val="2"/>
          </rPr>
          <t>Transferencia realizada el 25/02/25</t>
        </r>
      </text>
    </comment>
    <comment ref="BA102" authorId="2" shapeId="0" xr:uid="{DBA91C27-899F-41AB-8984-6FD567E5A8D9}">
      <text>
        <r>
          <rPr>
            <b/>
            <sz val="9"/>
            <color indexed="81"/>
            <rFont val="Tahoma"/>
            <family val="2"/>
          </rPr>
          <t>Transferencia realizada el 27/03/25</t>
        </r>
      </text>
    </comment>
    <comment ref="BB102" authorId="2" shapeId="0" xr:uid="{29643D20-AE14-4775-BA4A-C0647AE9C356}">
      <text>
        <r>
          <rPr>
            <b/>
            <sz val="9"/>
            <color indexed="81"/>
            <rFont val="Tahoma"/>
            <family val="2"/>
          </rPr>
          <t>Transferencia realizada el 28/04/25</t>
        </r>
      </text>
    </comment>
    <comment ref="BC102" authorId="2" shapeId="0" xr:uid="{CF618988-088C-41F3-85B8-573C8742A19D}">
      <text>
        <r>
          <rPr>
            <b/>
            <sz val="9"/>
            <color indexed="81"/>
            <rFont val="Tahoma"/>
            <family val="2"/>
          </rPr>
          <t>Transferencia realizada el 28/05/25</t>
        </r>
      </text>
    </comment>
    <comment ref="BD102" authorId="2" shapeId="0" xr:uid="{BFC81B7A-F2B9-414A-81C9-33CFE6C28254}">
      <text>
        <r>
          <rPr>
            <b/>
            <sz val="9"/>
            <color indexed="81"/>
            <rFont val="Tahoma"/>
            <family val="2"/>
          </rPr>
          <t>Transferencia realizada el 25/06/25</t>
        </r>
      </text>
    </comment>
    <comment ref="BE102" authorId="2" shapeId="0" xr:uid="{A2874EB3-7248-42F6-AE73-D1E93F6F0309}">
      <text>
        <r>
          <rPr>
            <b/>
            <sz val="9"/>
            <color indexed="81"/>
            <rFont val="Tahoma"/>
            <family val="2"/>
          </rPr>
          <t>Transferencia realizada el 28/07/25</t>
        </r>
      </text>
    </comment>
    <comment ref="BF102" authorId="2" shapeId="0" xr:uid="{B8FC0FC7-091D-4910-BE53-77283012990E}">
      <text>
        <r>
          <rPr>
            <b/>
            <sz val="9"/>
            <color indexed="81"/>
            <rFont val="Tahoma"/>
            <family val="2"/>
          </rPr>
          <t>Transferencia realizada el 27/08/25</t>
        </r>
      </text>
    </comment>
    <comment ref="BJ102" authorId="2" shapeId="0" xr:uid="{584F8B8F-5C62-49C2-B116-F6EF115D25C2}">
      <text>
        <r>
          <rPr>
            <b/>
            <sz val="9"/>
            <color indexed="81"/>
            <rFont val="Tahoma"/>
            <family val="2"/>
          </rPr>
          <t>Transferencia realizada el 30/09/25</t>
        </r>
      </text>
    </comment>
    <comment ref="BL102" authorId="2" shapeId="0" xr:uid="{4C698994-9C59-4E23-ABA7-D027493F2F6D}">
      <text>
        <r>
          <rPr>
            <b/>
            <sz val="9"/>
            <color indexed="81"/>
            <rFont val="Tahoma"/>
            <family val="2"/>
          </rPr>
          <t>Transferencia realizada el 28/11/25</t>
        </r>
      </text>
    </comment>
    <comment ref="BM102" authorId="1" shapeId="0" xr:uid="{8778C9B1-E23A-4C05-BB05-7C988BD617BF}">
      <text>
        <r>
          <rPr>
            <b/>
            <sz val="9"/>
            <color indexed="81"/>
            <rFont val="Tahoma"/>
            <family val="2"/>
          </rPr>
          <t>1457,55 nomina (1250 del mes + 207,55 de extra 2025 (1000 Eur pagados en 4 meses)
+2000 extra pendiente de 2024, de  caja el 17.12.25  
Transferencia realizada el 31/12/25</t>
        </r>
      </text>
    </comment>
    <comment ref="BN102" authorId="1" shapeId="0" xr:uid="{584A8CC9-DF07-4E87-9F54-4713598FD788}">
      <text>
        <r>
          <rPr>
            <sz val="9"/>
            <color indexed="81"/>
            <rFont val="Tahoma"/>
            <family val="2"/>
          </rPr>
          <t xml:space="preserve">1473,5 nomina:
1250 del mes 
223,5 extra 2025 (1000 Eur pagados en 4 meses)
Transferencia Caixa realizada el 30/01/26
</t>
        </r>
      </text>
    </comment>
    <comment ref="BO102" authorId="1" shapeId="0" xr:uid="{E10D7723-9EEA-45DA-BA03-1FFCEE1E8C3C}">
      <text>
        <r>
          <rPr>
            <sz val="9"/>
            <color indexed="81"/>
            <rFont val="Tahoma"/>
            <family val="2"/>
          </rPr>
          <t xml:space="preserve">1473,5 nomina:
1250 del mes 
223,5 extra 2025 (1000 Eur pagados en 4 meses)
Transferencia Caixa realizada el 27/02/26
</t>
        </r>
      </text>
    </comment>
    <comment ref="BP102" authorId="1" shapeId="0" xr:uid="{AD75AFFE-2BE8-4731-9A5D-D220F5658102}">
      <text>
        <r>
          <rPr>
            <sz val="9"/>
            <color indexed="81"/>
            <rFont val="Tahoma"/>
            <family val="2"/>
          </rPr>
          <t>1473,5 nomina:
1250 del mes 
223,5 extra 2025 (1000 Eur pagados en 4 meses)
Transferencia Caixa realizada el 31/03/26
La gestoría nos envía nóminas ajustadas. Esta a 1475,08. Puesta diferencia a pago para mayo de 1,58 EUr</t>
        </r>
      </text>
    </comment>
    <comment ref="BQ102" authorId="1" shapeId="0" xr:uid="{2321306F-A5D1-4F85-BB82-9904FED63FBF}">
      <text>
        <r>
          <rPr>
            <sz val="9"/>
            <color indexed="81"/>
            <rFont val="Tahoma"/>
            <family val="2"/>
          </rPr>
          <t>1371,95 (1250 nomina diciembre + 121,95 de bono de 2025 (1000 dividido en 4 meses)) Aquí termina la prorrata del bono 
Transferencia Caixa realizada el 27/04/26</t>
        </r>
      </text>
    </comment>
    <comment ref="BR102" authorId="1" shapeId="0" xr:uid="{49A3B5D3-43AB-477C-A265-6C0AE51A6248}">
      <text>
        <r>
          <rPr>
            <b/>
            <sz val="9"/>
            <color indexed="81"/>
            <rFont val="Tahoma"/>
            <family val="2"/>
          </rPr>
          <t>1250 Eur de nomina mayo
1,58 Eur de nóminas ajustadas de marzo que nos pasa la gastoría. Pagar para cuadrar conta.
Transferencia Caixa realizada el 29/05/26</t>
        </r>
      </text>
    </comment>
    <comment ref="AA103" authorId="0" shapeId="0" xr:uid="{CAD57FB7-75E6-4257-B33A-B185433DFF74}">
      <text>
        <r>
          <rPr>
            <sz val="9"/>
            <color indexed="81"/>
            <rFont val="Tahoma"/>
            <family val="2"/>
          </rPr>
          <t>Transferencia realizada el 30/08/23.
Comienzan Nominas de Gomez Galamba</t>
        </r>
      </text>
    </comment>
    <comment ref="AE103" authorId="0" shapeId="0" xr:uid="{23C74ADB-69F2-497A-8E79-9A2E523785DB}">
      <text>
        <r>
          <rPr>
            <sz val="9"/>
            <color indexed="81"/>
            <rFont val="Tahoma"/>
            <family val="2"/>
          </rPr>
          <t>Transferencia realizada el 29/09/23.</t>
        </r>
      </text>
    </comment>
    <comment ref="AF103" authorId="0" shapeId="0" xr:uid="{6EB21918-2A05-4FBD-AD43-7D9FFA529370}">
      <text>
        <r>
          <rPr>
            <b/>
            <sz val="9"/>
            <color indexed="81"/>
            <rFont val="Tahoma"/>
            <family val="2"/>
          </rPr>
          <t>Transferencia realizada el 30/10/23.</t>
        </r>
      </text>
    </comment>
    <comment ref="AG103" authorId="0" shapeId="0" xr:uid="{F6066A37-5173-4DAF-A22B-62B48F57E4D4}">
      <text>
        <r>
          <rPr>
            <b/>
            <sz val="9"/>
            <color indexed="81"/>
            <rFont val="Tahoma"/>
            <family val="2"/>
          </rPr>
          <t>Transferencia realizada el 29/11/23.</t>
        </r>
      </text>
    </comment>
    <comment ref="AH103" authorId="0" shapeId="0" xr:uid="{DC0BC6EF-C25F-4CB1-A719-0BF45C6E8BD8}">
      <text>
        <r>
          <rPr>
            <b/>
            <sz val="9"/>
            <color indexed="81"/>
            <rFont val="Tahoma"/>
            <family val="2"/>
          </rPr>
          <t>Transferencia realizada el 28/12/23.</t>
        </r>
      </text>
    </comment>
    <comment ref="AJ103" authorId="1" shapeId="0" xr:uid="{368B3AF8-4F36-40DA-A587-EB25EB7EAAB2}">
      <text>
        <r>
          <rPr>
            <sz val="9"/>
            <color indexed="81"/>
            <rFont val="Tahoma"/>
            <family val="2"/>
          </rPr>
          <t>Diferencia entre nomina de enero inicial y rectificada por al subida del SMI: 1211,87-1176,33=35,54
Nomina de febrero: 1211,87 
Transferencia Caixa realizada el 29/02/24</t>
        </r>
      </text>
    </comment>
    <comment ref="AN103" authorId="0" shapeId="0" xr:uid="{1B7913AC-7CCA-49E3-9404-EC6004A1A6B1}">
      <text>
        <r>
          <rPr>
            <b/>
            <sz val="9"/>
            <color indexed="81"/>
            <rFont val="Tahoma"/>
            <family val="2"/>
          </rPr>
          <t>Transferencia realizada el 28/06/24.</t>
        </r>
      </text>
    </comment>
    <comment ref="AO103" authorId="2" shapeId="0" xr:uid="{BB5A52C7-7DEE-4622-BFB2-9A5F48EB2A72}">
      <text>
        <r>
          <rPr>
            <b/>
            <sz val="9"/>
            <color indexed="81"/>
            <rFont val="Tahoma"/>
            <family val="2"/>
          </rPr>
          <t>Transferencia realizada el 25/07/24</t>
        </r>
      </text>
    </comment>
    <comment ref="AP103" authorId="2" shapeId="0" xr:uid="{F76437D3-9D93-4B01-B82A-D1375EDC43B9}">
      <text>
        <r>
          <rPr>
            <b/>
            <sz val="9"/>
            <color indexed="81"/>
            <rFont val="Tahoma"/>
            <family val="2"/>
          </rPr>
          <t>Transferencia realizada el 27/08/24</t>
        </r>
      </text>
    </comment>
    <comment ref="AU103" authorId="2" shapeId="0" xr:uid="{8421843A-DFAA-4D0C-93C8-AEFD34AD595E}">
      <text>
        <r>
          <rPr>
            <b/>
            <sz val="9"/>
            <color indexed="81"/>
            <rFont val="Tahoma"/>
            <family val="2"/>
          </rPr>
          <t>Transferencia realizada el 27/09/24</t>
        </r>
      </text>
    </comment>
    <comment ref="AV103" authorId="2" shapeId="0" xr:uid="{FFCA60FB-3C1F-4974-A37A-6DF10E7BC447}">
      <text>
        <r>
          <rPr>
            <b/>
            <sz val="9"/>
            <color indexed="81"/>
            <rFont val="Tahoma"/>
            <family val="2"/>
          </rPr>
          <t>Transferencia realizada el 30/10/24</t>
        </r>
      </text>
    </comment>
    <comment ref="AW103" authorId="2" shapeId="0" xr:uid="{7F5386F2-9AB1-40A2-82B6-B37D58639494}">
      <text>
        <r>
          <rPr>
            <b/>
            <sz val="9"/>
            <color indexed="81"/>
            <rFont val="Tahoma"/>
            <family val="2"/>
          </rPr>
          <t>Transferencia realizada el 27/11/24</t>
        </r>
      </text>
    </comment>
    <comment ref="AX103" authorId="2" shapeId="0" xr:uid="{67CEED45-79B5-497B-8390-CCF24994CC89}">
      <text>
        <r>
          <rPr>
            <b/>
            <sz val="9"/>
            <color indexed="81"/>
            <rFont val="Tahoma"/>
            <family val="2"/>
          </rPr>
          <t>Transferencia realizada el 13/12/24
Terminan nominas de Gomez Galamba</t>
        </r>
      </text>
    </comment>
    <comment ref="AZ103" authorId="2" shapeId="0" xr:uid="{E94207A9-A23A-45FE-8A85-305E33B87E95}">
      <text>
        <r>
          <rPr>
            <b/>
            <sz val="9"/>
            <color indexed="81"/>
            <rFont val="Tahoma"/>
            <family val="2"/>
          </rPr>
          <t>Transferencia realizada el 25/02/25
Comienzas nominas de Jaime Martin</t>
        </r>
      </text>
    </comment>
    <comment ref="BA103" authorId="2" shapeId="0" xr:uid="{3469FDAB-6D94-4081-BAE9-4B17C0E5CC50}">
      <text>
        <r>
          <rPr>
            <b/>
            <sz val="9"/>
            <color indexed="81"/>
            <rFont val="Tahoma"/>
            <family val="2"/>
          </rPr>
          <t>Transferencia realizada el 27/03/25</t>
        </r>
      </text>
    </comment>
    <comment ref="BB103" authorId="2" shapeId="0" xr:uid="{A2AD27BB-2684-468D-A0D5-1C45C3DF8716}">
      <text>
        <r>
          <rPr>
            <b/>
            <sz val="9"/>
            <color indexed="81"/>
            <rFont val="Tahoma"/>
            <family val="2"/>
          </rPr>
          <t>Transferencia realizada el 28/04/25</t>
        </r>
      </text>
    </comment>
    <comment ref="BC103" authorId="2" shapeId="0" xr:uid="{F963AB06-48EA-470B-AC9D-187E86F689F6}">
      <text>
        <r>
          <rPr>
            <b/>
            <sz val="9"/>
            <color indexed="81"/>
            <rFont val="Tahoma"/>
            <family val="2"/>
          </rPr>
          <t>Transferencia realizada el 28/05/25
+300 extra de caja</t>
        </r>
      </text>
    </comment>
    <comment ref="BD103" authorId="2" shapeId="0" xr:uid="{FB646C62-439E-43CD-B86C-731C473EA13B}">
      <text>
        <r>
          <rPr>
            <b/>
            <sz val="9"/>
            <color indexed="81"/>
            <rFont val="Tahoma"/>
            <family val="2"/>
          </rPr>
          <t>Transferencia realizada el 25/06/25</t>
        </r>
      </text>
    </comment>
    <comment ref="BE103" authorId="2" shapeId="0" xr:uid="{7BC569EC-149A-400B-BA63-FD0898709D87}">
      <text>
        <r>
          <rPr>
            <b/>
            <sz val="9"/>
            <color indexed="81"/>
            <rFont val="Tahoma"/>
            <family val="2"/>
          </rPr>
          <t>Transferencia realizada el 28/07/25</t>
        </r>
      </text>
    </comment>
    <comment ref="BF103" authorId="2" shapeId="0" xr:uid="{7C287FA7-21A5-4FB3-B611-B1BE0933393F}">
      <text>
        <r>
          <rPr>
            <b/>
            <sz val="9"/>
            <color indexed="81"/>
            <rFont val="Tahoma"/>
            <family val="2"/>
          </rPr>
          <t>Transferencia realizada el 27/08/25</t>
        </r>
      </text>
    </comment>
    <comment ref="BJ103" authorId="2" shapeId="0" xr:uid="{D31BFBC1-C3C6-427C-9061-F65F0026A7A2}">
      <text>
        <r>
          <rPr>
            <b/>
            <sz val="9"/>
            <color indexed="81"/>
            <rFont val="Tahoma"/>
            <family val="2"/>
          </rPr>
          <t>Transferencia realizada el 30/09/25</t>
        </r>
      </text>
    </comment>
    <comment ref="BL103" authorId="2" shapeId="0" xr:uid="{EC8D6BCE-91A6-497F-9594-B232E439D0C5}">
      <text>
        <r>
          <rPr>
            <b/>
            <sz val="9"/>
            <color indexed="81"/>
            <rFont val="Tahoma"/>
            <family val="2"/>
          </rPr>
          <t>Transferencia realizada el 28/11/25</t>
        </r>
      </text>
    </comment>
    <comment ref="BM103" authorId="1" shapeId="0" xr:uid="{3A00BBCD-B272-436F-A48E-999195987025}">
      <text>
        <r>
          <rPr>
            <b/>
            <sz val="9"/>
            <color indexed="81"/>
            <rFont val="Tahoma"/>
            <family val="2"/>
          </rPr>
          <t>1520,63 (1250 nomina diciembre + 145Eur de horas extra de 2025 + 125,63 de bono de 2025 (1000 dividido en 4 meses) 
Transferencia realizada el 31/12/25</t>
        </r>
      </text>
    </comment>
    <comment ref="BN103" authorId="1" shapeId="0" xr:uid="{F50B5425-41F7-416B-AC35-BA1D2B2F7A38}">
      <text>
        <r>
          <rPr>
            <sz val="9"/>
            <color indexed="81"/>
            <rFont val="Tahoma"/>
            <family val="2"/>
          </rPr>
          <t xml:space="preserve">1505,64 (1250 nomina diciembre + 255,64 de bono de 2025 (1000 dividido en 4 meses)) 
Transferencia Caixa realizada el 30/01/26
</t>
        </r>
      </text>
    </comment>
    <comment ref="BO103" authorId="1" shapeId="0" xr:uid="{560C441B-35B6-4F7F-A22A-B3760608EEAD}">
      <text>
        <r>
          <rPr>
            <sz val="9"/>
            <color indexed="81"/>
            <rFont val="Tahoma"/>
            <family val="2"/>
          </rPr>
          <t xml:space="preserve">1505,64 (1250 nomina diciembre + 255,64 de bono de 2025 (1000 dividido en 4 meses)) 
Transferencia Caixa realizada el 27/02/26
</t>
        </r>
      </text>
    </comment>
    <comment ref="BP103" authorId="1" shapeId="0" xr:uid="{52EBB00A-3059-445F-9B74-D277EA565E07}">
      <text>
        <r>
          <rPr>
            <sz val="9"/>
            <color indexed="81"/>
            <rFont val="Tahoma"/>
            <family val="2"/>
          </rPr>
          <t>1505,25 (1250 nomina diciembre + 255,25 de bono de 2025 (1000 dividido en 4 meses)) 
Transferencia Caixa realizada el 31/03/26
La gestoría nos envía nóminas ajustadas. Esta a 1506,6. Puesta diferencia a pago para mayo de 1,35 EUr</t>
        </r>
      </text>
    </comment>
    <comment ref="BQ103" authorId="1" shapeId="0" xr:uid="{719C2DAE-DEC6-434F-B737-E0118F90AA97}">
      <text>
        <r>
          <rPr>
            <sz val="9"/>
            <color indexed="81"/>
            <rFont val="Tahoma"/>
            <family val="2"/>
          </rPr>
          <t>1357,45 (1250 nomina diciembre + 107,45 de bono de 2025 (1000 dividido en 4 meses)) Aquí termina la prorrata del bono 
Transferencia Caixa realizada el 27/04/26</t>
        </r>
      </text>
    </comment>
    <comment ref="BR103" authorId="1" shapeId="0" xr:uid="{FC40D5C8-83D8-4706-BC4B-5C1A6BCFAAB1}">
      <text>
        <r>
          <rPr>
            <b/>
            <sz val="9"/>
            <color indexed="81"/>
            <rFont val="Tahoma"/>
            <family val="2"/>
          </rPr>
          <t>1250 Eur de nomina mayo
1,35 Eur de nóminas ajustadas de marzo que nos pasa la gastoría. Pagar para cuadrar conta
Transferencia Caixa realizada el 29/05/26</t>
        </r>
      </text>
    </comment>
    <comment ref="AH104" authorId="0" shapeId="0" xr:uid="{FE48E031-DC2A-4D60-AF9F-03FC902A4CEC}">
      <text>
        <r>
          <rPr>
            <b/>
            <sz val="9"/>
            <color indexed="81"/>
            <rFont val="Tahoma"/>
            <family val="2"/>
          </rPr>
          <t>Transferencia realizada el 28/12/23.
Comienzas nominas de David Martin</t>
        </r>
      </text>
    </comment>
    <comment ref="AJ104" authorId="1" shapeId="0" xr:uid="{4D0078E2-8979-4970-BB76-4C591522E405}">
      <text>
        <r>
          <rPr>
            <sz val="9"/>
            <color indexed="81"/>
            <rFont val="Tahoma"/>
            <family val="2"/>
          </rPr>
          <t xml:space="preserve">Diferencia entre nomina de enero inicial y rectificada por al subida del SMI: 1051,72-1043,61=8,11
Nomina de febrero: 1055,75
Transferencia Caixa realizada el 29/02/24
---------------------------------
</t>
        </r>
      </text>
    </comment>
    <comment ref="AN104" authorId="0" shapeId="0" xr:uid="{DB3BDC7F-C146-403D-AD11-32FED4F1900E}">
      <text>
        <r>
          <rPr>
            <b/>
            <sz val="9"/>
            <color indexed="81"/>
            <rFont val="Tahoma"/>
            <family val="2"/>
          </rPr>
          <t>Transferencia realizada el 28/06/24.</t>
        </r>
      </text>
    </comment>
    <comment ref="AO104" authorId="2" shapeId="0" xr:uid="{9C1366B9-E491-4DF9-B906-43376B3D75B9}">
      <text>
        <r>
          <rPr>
            <b/>
            <sz val="9"/>
            <color indexed="81"/>
            <rFont val="Tahoma"/>
            <family val="2"/>
          </rPr>
          <t>Transferencia realizada el 25/07/24</t>
        </r>
      </text>
    </comment>
    <comment ref="AP104" authorId="2" shapeId="0" xr:uid="{5B57EFF9-BE53-43AB-A0A4-E50F6CB2782C}">
      <text>
        <r>
          <rPr>
            <b/>
            <sz val="9"/>
            <color indexed="81"/>
            <rFont val="Tahoma"/>
            <family val="2"/>
          </rPr>
          <t>Transferencia realizada el 27/08/24</t>
        </r>
      </text>
    </comment>
    <comment ref="AU104" authorId="2" shapeId="0" xr:uid="{00390B25-31B7-4DB3-8D5A-41EBFA1E0B97}">
      <text>
        <r>
          <rPr>
            <b/>
            <sz val="9"/>
            <color indexed="81"/>
            <rFont val="Tahoma"/>
            <family val="2"/>
          </rPr>
          <t>Transferencia realizada el 27/09/24
Terminan Nominas de David Martin</t>
        </r>
      </text>
    </comment>
    <comment ref="AX104" authorId="2" shapeId="0" xr:uid="{646ABCBE-451A-403E-B95F-4DAFFA72A017}">
      <text>
        <r>
          <rPr>
            <b/>
            <sz val="9"/>
            <color indexed="81"/>
            <rFont val="Tahoma"/>
            <family val="2"/>
          </rPr>
          <t>Transferencia realizada el 27/12/24
Comienzan Nominas de Jose Mari Barbosa</t>
        </r>
      </text>
    </comment>
    <comment ref="AY104" authorId="2" shapeId="0" xr:uid="{3420E3EE-C896-497A-B1CB-F203935A757A}">
      <text>
        <r>
          <rPr>
            <b/>
            <sz val="9"/>
            <color indexed="81"/>
            <rFont val="Tahoma"/>
            <family val="2"/>
          </rPr>
          <t>Transferencia realizada el 29/01/25</t>
        </r>
      </text>
    </comment>
    <comment ref="AZ104" authorId="2" shapeId="0" xr:uid="{7A7B43DC-D563-4A67-8B31-5F74A898C77B}">
      <text>
        <r>
          <rPr>
            <b/>
            <sz val="9"/>
            <color indexed="81"/>
            <rFont val="Tahoma"/>
            <family val="2"/>
          </rPr>
          <t>Transferencia realizada el 25/02/25</t>
        </r>
      </text>
    </comment>
    <comment ref="BA104" authorId="2" shapeId="0" xr:uid="{0D9CCDF9-9A0A-410F-B9D5-083E799165F0}">
      <text>
        <r>
          <rPr>
            <b/>
            <sz val="9"/>
            <color indexed="81"/>
            <rFont val="Tahoma"/>
            <family val="2"/>
          </rPr>
          <t>Transferencia realizada el 27/03/25</t>
        </r>
      </text>
    </comment>
    <comment ref="BB104" authorId="2" shapeId="0" xr:uid="{C7B4EE6A-45AE-4BE2-884F-78A9FF2DE75D}">
      <text>
        <r>
          <rPr>
            <b/>
            <sz val="9"/>
            <color indexed="81"/>
            <rFont val="Tahoma"/>
            <family val="2"/>
          </rPr>
          <t>Transferencia realizada el 28/04/25</t>
        </r>
      </text>
    </comment>
    <comment ref="BC104" authorId="2" shapeId="0" xr:uid="{066A5DDB-624C-4C97-B304-145B4A7A7277}">
      <text>
        <r>
          <rPr>
            <b/>
            <sz val="9"/>
            <color indexed="81"/>
            <rFont val="Tahoma"/>
            <family val="2"/>
          </rPr>
          <t>Transferencia realizada el 28/05/25
+300 extra de caja</t>
        </r>
      </text>
    </comment>
    <comment ref="BD104" authorId="2" shapeId="0" xr:uid="{B4EF7873-7FD6-4AF0-8FA0-BA87E00A4CAA}">
      <text>
        <r>
          <rPr>
            <b/>
            <sz val="9"/>
            <color indexed="81"/>
            <rFont val="Tahoma"/>
            <family val="2"/>
          </rPr>
          <t>Transferencia realizada el 25/06/25</t>
        </r>
      </text>
    </comment>
    <comment ref="BE104" authorId="2" shapeId="0" xr:uid="{6A1CCEB2-288C-478C-BFCA-492221F154DD}">
      <text>
        <r>
          <rPr>
            <b/>
            <sz val="9"/>
            <color indexed="81"/>
            <rFont val="Tahoma"/>
            <family val="2"/>
          </rPr>
          <t>Transferencia realizada el 28/07/25
Terminan Nominas de Jose Mari Barbosa</t>
        </r>
      </text>
    </comment>
    <comment ref="BJ104" authorId="1" shapeId="0" xr:uid="{21C15067-E85F-49D8-BB4C-41B3578810F9}">
      <text>
        <r>
          <rPr>
            <sz val="9"/>
            <color indexed="81"/>
            <rFont val="Tahoma"/>
            <family val="2"/>
          </rPr>
          <t>Comienzan Nominas de Henry Manuel Zacaro Escobar</t>
        </r>
      </text>
    </comment>
    <comment ref="BK104" authorId="1" shapeId="0" xr:uid="{B41927E5-93AD-48DC-85C3-949182518395}">
      <text>
        <r>
          <rPr>
            <sz val="9"/>
            <color indexed="81"/>
            <rFont val="Tahoma"/>
            <family val="2"/>
          </rPr>
          <t>del 1 a 3/10, que causa baja Henry. 
Transferencia realizada el 07/10/25.
Terminan las nóminas de Henry Manuel Zacaro Escobar.</t>
        </r>
      </text>
    </comment>
    <comment ref="BP104" authorId="1" shapeId="0" xr:uid="{4DFBB5BD-D843-4693-862D-6DABB53A93E6}">
      <text>
        <r>
          <rPr>
            <b/>
            <sz val="9"/>
            <color indexed="81"/>
            <rFont val="Tahoma"/>
            <family val="2"/>
          </rPr>
          <t xml:space="preserve">Comienzan nominas de Juan Carlos Jimenez Martinez
</t>
        </r>
        <r>
          <rPr>
            <sz val="9"/>
            <color indexed="81"/>
            <rFont val="Tahoma"/>
            <family val="2"/>
          </rPr>
          <t>Transferencia Caixa realizada el 31/03/26
La gestoría nos envía nóminas ajustadas. Esta a 1048,07. Lleva a perdida la diferencia</t>
        </r>
      </text>
    </comment>
    <comment ref="BQ104" authorId="1" shapeId="0" xr:uid="{BAAFB47D-C73D-43A7-BC57-229C9E0DFB2E}">
      <text>
        <r>
          <rPr>
            <sz val="9"/>
            <color indexed="81"/>
            <rFont val="Tahoma"/>
            <family val="2"/>
          </rPr>
          <t>jornales de abril y desplazamientos pendientes
Transferencia Caixa realizada el 27/04/26</t>
        </r>
      </text>
    </comment>
    <comment ref="AI105" authorId="1" shapeId="0" xr:uid="{F0375107-4034-4209-982D-9B79B91DAF45}">
      <text>
        <r>
          <rPr>
            <b/>
            <sz val="9"/>
            <color indexed="81"/>
            <rFont val="Tahoma"/>
            <family val="2"/>
          </rPr>
          <t>Alfonso Carmona:</t>
        </r>
        <r>
          <rPr>
            <sz val="9"/>
            <color indexed="81"/>
            <rFont val="Tahoma"/>
            <family val="2"/>
          </rPr>
          <t xml:space="preserve">
500 pago limpiezas casa a Ana Mari de caja</t>
        </r>
      </text>
    </comment>
    <comment ref="AW105" authorId="1" shapeId="0" xr:uid="{AA3C00A0-1BCC-4B55-9330-1F013E757C93}">
      <text>
        <r>
          <rPr>
            <b/>
            <sz val="9"/>
            <color indexed="81"/>
            <rFont val="Tahoma"/>
            <family val="2"/>
          </rPr>
          <t xml:space="preserve">130 de caja a </t>
        </r>
        <r>
          <rPr>
            <sz val="9"/>
            <color indexed="81"/>
            <rFont val="Tahoma"/>
            <family val="2"/>
          </rPr>
          <t>Anais novia Felix camarera visita Enviral</t>
        </r>
      </text>
    </comment>
    <comment ref="AZ105" authorId="1" shapeId="0" xr:uid="{8CA0054F-CF68-44C9-BE16-2A43E0765FA3}">
      <text>
        <r>
          <rPr>
            <b/>
            <sz val="9"/>
            <color indexed="81"/>
            <rFont val="Tahoma"/>
            <family val="2"/>
          </rPr>
          <t>400 a limpiezas acumuladas Ana Mari</t>
        </r>
      </text>
    </comment>
    <comment ref="BO105" authorId="1" shapeId="0" xr:uid="{ACC075F8-782F-48F5-ADC7-AC503780F0F4}">
      <text>
        <r>
          <rPr>
            <b/>
            <sz val="9"/>
            <color indexed="81"/>
            <rFont val="Tahoma"/>
            <family val="2"/>
          </rPr>
          <t>Alfonso Carmona:</t>
        </r>
        <r>
          <rPr>
            <sz val="9"/>
            <color indexed="81"/>
            <rFont val="Tahoma"/>
            <family val="2"/>
          </rPr>
          <t xml:space="preserve">
27/02/25 - 2 horas
04/04/25 - 1 hora y media
09/04/25 - 1 hora
09/05/25 - 2 horas y media
21/06/25 - 3 horas y media
22/06/25 - 4 horas
23/06/25 - 3 horas y media
19/09/25 - 5 horas y cuarto
21/09/25 - 6 horas y media
03/10/25 - 2 h
05/10/25 - 3 h y media
Visita Regen
14/10/25 - 7h (casa y comida)
15/10/25 - 3h y cuarto.
16/10/25 - 2h y cuarto.
17/10/25 - 3h limpiezas
3€ de patatas, lo demás del campo.
513 de caja el 17.2.26
23/12/25 - 10,5 h a Jose Mari mujer de Bartolo que vino con Anan Mari. 
90 de caja el 17.2.26
</t>
        </r>
      </text>
    </comment>
    <comment ref="AE106" authorId="3" shapeId="0" xr:uid="{8071DDB2-0D9E-4390-8AB4-DD172BFABEC9}">
      <text>
        <r>
          <rPr>
            <b/>
            <sz val="9"/>
            <color indexed="81"/>
            <rFont val="Tahoma"/>
            <family val="2"/>
          </rPr>
          <t>alfonso:</t>
        </r>
        <r>
          <rPr>
            <sz val="9"/>
            <color indexed="81"/>
            <rFont val="Tahoma"/>
            <family val="2"/>
          </rPr>
          <t xml:space="preserve">
S.Social mes anterios de  Miguel y Fran.Pendiente recibir resumen de nominas corregido. </t>
        </r>
      </text>
    </comment>
    <comment ref="AF106" authorId="3" shapeId="0" xr:uid="{2133CC06-3013-4892-8FD2-9510AE43D15D}">
      <text>
        <r>
          <rPr>
            <b/>
            <sz val="9"/>
            <color indexed="81"/>
            <rFont val="Tahoma"/>
            <family val="2"/>
          </rPr>
          <t>alfonso:</t>
        </r>
        <r>
          <rPr>
            <sz val="9"/>
            <color indexed="81"/>
            <rFont val="Tahoma"/>
            <family val="2"/>
          </rPr>
          <t xml:space="preserve">
S.Social mes anterios de Mariano, Miguel y Fran.</t>
        </r>
      </text>
    </comment>
    <comment ref="AG106" authorId="3" shapeId="0" xr:uid="{966E3899-1A82-44EC-824E-77822B5BBA7A}">
      <text>
        <r>
          <rPr>
            <b/>
            <sz val="9"/>
            <color indexed="81"/>
            <rFont val="Tahoma"/>
            <family val="2"/>
          </rPr>
          <t>alfonso:</t>
        </r>
        <r>
          <rPr>
            <sz val="9"/>
            <color indexed="81"/>
            <rFont val="Tahoma"/>
            <family val="2"/>
          </rPr>
          <t xml:space="preserve">
S.Social mes anterios de Mariano, Miguel y Fran.</t>
        </r>
      </text>
    </comment>
    <comment ref="AH106" authorId="3" shapeId="0" xr:uid="{AB438A92-7C6B-44CA-A074-0787E06CE1F7}">
      <text>
        <r>
          <rPr>
            <b/>
            <sz val="9"/>
            <color indexed="81"/>
            <rFont val="Tahoma"/>
            <family val="2"/>
          </rPr>
          <t>alfonso:</t>
        </r>
        <r>
          <rPr>
            <sz val="9"/>
            <color indexed="81"/>
            <rFont val="Tahoma"/>
            <family val="2"/>
          </rPr>
          <t xml:space="preserve">
S.Social mes anterios de Mariano, Miguel y Fran.
Cargado: 29/12/23</t>
        </r>
      </text>
    </comment>
    <comment ref="AI106" authorId="3" shapeId="0" xr:uid="{71B36847-A007-4979-89A7-DC431893D9B7}">
      <text>
        <r>
          <rPr>
            <b/>
            <sz val="9"/>
            <color indexed="81"/>
            <rFont val="Tahoma"/>
            <family val="2"/>
          </rPr>
          <t>alfonso:</t>
        </r>
        <r>
          <rPr>
            <sz val="9"/>
            <color indexed="81"/>
            <rFont val="Tahoma"/>
            <family val="2"/>
          </rPr>
          <t xml:space="preserve">
S.Social mes anterios de Mariano, Miguel y Fran.
Esta mal, preguntado a Amparo </t>
        </r>
      </text>
    </comment>
    <comment ref="AJ106" authorId="3" shapeId="0" xr:uid="{E7649591-9A04-485D-B613-D1324A4EA854}">
      <text>
        <r>
          <rPr>
            <b/>
            <sz val="9"/>
            <color indexed="81"/>
            <rFont val="Tahoma"/>
            <family val="2"/>
          </rPr>
          <t>alfonso:</t>
        </r>
        <r>
          <rPr>
            <sz val="9"/>
            <color indexed="81"/>
            <rFont val="Tahoma"/>
            <family val="2"/>
          </rPr>
          <t xml:space="preserve">
S.Social mes anterios de Mariano, Miguel y Fran.
Esta mal, preguntado a Amparo </t>
        </r>
      </text>
    </comment>
    <comment ref="AK106" authorId="3" shapeId="0" xr:uid="{274EF482-F585-499B-BB6B-44C3C610A69C}">
      <text>
        <r>
          <rPr>
            <b/>
            <sz val="9"/>
            <color indexed="81"/>
            <rFont val="Tahoma"/>
            <family val="2"/>
          </rPr>
          <t>alfonso:</t>
        </r>
        <r>
          <rPr>
            <sz val="9"/>
            <color indexed="81"/>
            <rFont val="Tahoma"/>
            <family val="2"/>
          </rPr>
          <t xml:space="preserve">
S.Social mes anterios de Mariano, Miguel y Fran.</t>
        </r>
      </text>
    </comment>
    <comment ref="AL106" authorId="3" shapeId="0" xr:uid="{AF624269-7CEB-495A-98C3-F186579D07C6}">
      <text>
        <r>
          <rPr>
            <b/>
            <sz val="9"/>
            <color indexed="81"/>
            <rFont val="Tahoma"/>
            <family val="2"/>
          </rPr>
          <t>alfonso:</t>
        </r>
        <r>
          <rPr>
            <sz val="9"/>
            <color indexed="81"/>
            <rFont val="Tahoma"/>
            <family val="2"/>
          </rPr>
          <t xml:space="preserve">
S.Social mes anterios de Mariano, Miguel y Fran.</t>
        </r>
      </text>
    </comment>
    <comment ref="AM106" authorId="3" shapeId="0" xr:uid="{3A4C5F2B-5A8E-4558-B952-0D62C7ADB715}">
      <text>
        <r>
          <rPr>
            <b/>
            <sz val="9"/>
            <color indexed="81"/>
            <rFont val="Tahoma"/>
            <family val="2"/>
          </rPr>
          <t>alfonso:</t>
        </r>
        <r>
          <rPr>
            <sz val="9"/>
            <color indexed="81"/>
            <rFont val="Tahoma"/>
            <family val="2"/>
          </rPr>
          <t xml:space="preserve">
S.Social mes anterios de Mariano, Miguel y Fran.</t>
        </r>
      </text>
    </comment>
    <comment ref="AN106" authorId="3" shapeId="0" xr:uid="{91F0103D-4267-403C-B412-E6ACAC59AD14}">
      <text>
        <r>
          <rPr>
            <b/>
            <sz val="9"/>
            <color indexed="81"/>
            <rFont val="Tahoma"/>
            <family val="2"/>
          </rPr>
          <t>alfonso:</t>
        </r>
        <r>
          <rPr>
            <sz val="9"/>
            <color indexed="81"/>
            <rFont val="Tahoma"/>
            <family val="2"/>
          </rPr>
          <t xml:space="preserve">
S.Social mes anterios de Mariano, Miguel y Fran.</t>
        </r>
      </text>
    </comment>
    <comment ref="AO106" authorId="3" shapeId="0" xr:uid="{30DDBE69-811D-4A18-AFB5-6DA94D1D5F4D}">
      <text>
        <r>
          <rPr>
            <b/>
            <sz val="9"/>
            <color indexed="81"/>
            <rFont val="Tahoma"/>
            <family val="2"/>
          </rPr>
          <t>alfonso:</t>
        </r>
        <r>
          <rPr>
            <sz val="9"/>
            <color indexed="81"/>
            <rFont val="Tahoma"/>
            <family val="2"/>
          </rPr>
          <t xml:space="preserve">
S.Social mes anterios de Mariano, Miguel y Fran.</t>
        </r>
      </text>
    </comment>
    <comment ref="AP106" authorId="3" shapeId="0" xr:uid="{C427D77A-A189-4D17-9581-23A29EF737C9}">
      <text>
        <r>
          <rPr>
            <b/>
            <sz val="9"/>
            <color indexed="81"/>
            <rFont val="Tahoma"/>
            <family val="2"/>
          </rPr>
          <t>alfonso:</t>
        </r>
        <r>
          <rPr>
            <sz val="9"/>
            <color indexed="81"/>
            <rFont val="Tahoma"/>
            <family val="2"/>
          </rPr>
          <t xml:space="preserve">
S.Social mes anterios de Mariano, Miguel y Fran.</t>
        </r>
      </text>
    </comment>
    <comment ref="AU106" authorId="3" shapeId="0" xr:uid="{8BB8FD89-7886-45A5-BA19-A13C0E5CF509}">
      <text>
        <r>
          <rPr>
            <b/>
            <sz val="9"/>
            <color indexed="81"/>
            <rFont val="Tahoma"/>
            <family val="2"/>
          </rPr>
          <t>alfonso:</t>
        </r>
        <r>
          <rPr>
            <sz val="9"/>
            <color indexed="81"/>
            <rFont val="Tahoma"/>
            <family val="2"/>
          </rPr>
          <t xml:space="preserve">
S.Social mes anterios de Mariano, Miguel y Fran.</t>
        </r>
      </text>
    </comment>
    <comment ref="AV106" authorId="3" shapeId="0" xr:uid="{969A58BB-62FB-4AE0-851F-C9C3EB04F6D5}">
      <text>
        <r>
          <rPr>
            <b/>
            <sz val="9"/>
            <color indexed="81"/>
            <rFont val="Tahoma"/>
            <family val="2"/>
          </rPr>
          <t>alfonso:</t>
        </r>
        <r>
          <rPr>
            <sz val="9"/>
            <color indexed="81"/>
            <rFont val="Tahoma"/>
            <family val="2"/>
          </rPr>
          <t xml:space="preserve">
S.Social mes anterios de Mariano, Miguel y Fran.</t>
        </r>
      </text>
    </comment>
    <comment ref="AW106" authorId="3" shapeId="0" xr:uid="{D6187F6C-CA36-41CF-AFCD-B87133A36B40}">
      <text>
        <r>
          <rPr>
            <b/>
            <sz val="9"/>
            <color indexed="81"/>
            <rFont val="Tahoma"/>
            <family val="2"/>
          </rPr>
          <t>alfonso:</t>
        </r>
        <r>
          <rPr>
            <sz val="9"/>
            <color indexed="81"/>
            <rFont val="Tahoma"/>
            <family val="2"/>
          </rPr>
          <t xml:space="preserve">
S.Social mes anterios de Mariano, Miguel y Fran.</t>
        </r>
      </text>
    </comment>
    <comment ref="AX106" authorId="3" shapeId="0" xr:uid="{02A674B3-9084-492C-B281-6BACD2909850}">
      <text>
        <r>
          <rPr>
            <b/>
            <sz val="9"/>
            <color indexed="81"/>
            <rFont val="Tahoma"/>
            <family val="2"/>
          </rPr>
          <t>alfonso:</t>
        </r>
        <r>
          <rPr>
            <sz val="9"/>
            <color indexed="81"/>
            <rFont val="Tahoma"/>
            <family val="2"/>
          </rPr>
          <t xml:space="preserve">
S.Social mes anterios de Mariano, Miguel y Fran.
-------------------------------
9,78€: Cuota SS diferencia SMI feb 2024
Transf. Caixa realizada el 11/12/24
</t>
        </r>
      </text>
    </comment>
    <comment ref="AY106" authorId="3" shapeId="0" xr:uid="{B5DE6227-AA27-4FD2-8493-FE7CCB00920C}">
      <text>
        <r>
          <rPr>
            <b/>
            <sz val="9"/>
            <color indexed="81"/>
            <rFont val="Tahoma"/>
            <family val="2"/>
          </rPr>
          <t>alfonso:</t>
        </r>
        <r>
          <rPr>
            <sz val="9"/>
            <color indexed="81"/>
            <rFont val="Tahoma"/>
            <family val="2"/>
          </rPr>
          <t xml:space="preserve">
S.Social mes anterios de Mariano, Miguel y Fran.</t>
        </r>
      </text>
    </comment>
    <comment ref="AZ106" authorId="3" shapeId="0" xr:uid="{5BDFCE62-9291-469F-8E24-C3E1D2E9245C}">
      <text>
        <r>
          <rPr>
            <b/>
            <sz val="9"/>
            <color indexed="81"/>
            <rFont val="Tahoma"/>
            <family val="2"/>
          </rPr>
          <t>alfonso:</t>
        </r>
        <r>
          <rPr>
            <sz val="9"/>
            <color indexed="81"/>
            <rFont val="Tahoma"/>
            <family val="2"/>
          </rPr>
          <t xml:space="preserve">
S.Social mes anterios de Mariano, Miguel y Fran.</t>
        </r>
      </text>
    </comment>
    <comment ref="BA106" authorId="3" shapeId="0" xr:uid="{D5F70BE9-D60F-4D2A-B5BF-9C45AF54F32B}">
      <text>
        <r>
          <rPr>
            <b/>
            <sz val="9"/>
            <color indexed="81"/>
            <rFont val="Tahoma"/>
            <family val="2"/>
          </rPr>
          <t>alfonso:</t>
        </r>
        <r>
          <rPr>
            <sz val="9"/>
            <color indexed="81"/>
            <rFont val="Tahoma"/>
            <family val="2"/>
          </rPr>
          <t xml:space="preserve">
S.Social mes anterios de Mariano, Miguel y Fran.</t>
        </r>
      </text>
    </comment>
    <comment ref="BB106" authorId="3" shapeId="0" xr:uid="{FD2FE131-72FA-4CD5-BA32-6FBE47E4FA3B}">
      <text>
        <r>
          <rPr>
            <b/>
            <sz val="9"/>
            <color indexed="81"/>
            <rFont val="Tahoma"/>
            <family val="2"/>
          </rPr>
          <t>alfonso:</t>
        </r>
        <r>
          <rPr>
            <sz val="9"/>
            <color indexed="81"/>
            <rFont val="Tahoma"/>
            <family val="2"/>
          </rPr>
          <t xml:space="preserve">
S.Social mes anterios de Mariano, Miguel y Fran.</t>
        </r>
      </text>
    </comment>
    <comment ref="BC106" authorId="3" shapeId="0" xr:uid="{C20D65D2-CB1D-4EA9-8DD2-49CAC8B7BE5C}">
      <text>
        <r>
          <rPr>
            <b/>
            <sz val="9"/>
            <color indexed="81"/>
            <rFont val="Tahoma"/>
            <family val="2"/>
          </rPr>
          <t>alfonso:</t>
        </r>
        <r>
          <rPr>
            <sz val="9"/>
            <color indexed="81"/>
            <rFont val="Tahoma"/>
            <family val="2"/>
          </rPr>
          <t xml:space="preserve">
S.Social mes anterios de Mariano, Miguel y Fran.</t>
        </r>
      </text>
    </comment>
    <comment ref="BD106" authorId="3" shapeId="0" xr:uid="{E87A44AD-5A12-4ACE-8485-650F562A9913}">
      <text>
        <r>
          <rPr>
            <b/>
            <sz val="9"/>
            <color indexed="81"/>
            <rFont val="Tahoma"/>
            <family val="2"/>
          </rPr>
          <t>alfonso:</t>
        </r>
        <r>
          <rPr>
            <sz val="9"/>
            <color indexed="81"/>
            <rFont val="Tahoma"/>
            <family val="2"/>
          </rPr>
          <t xml:space="preserve">
S.Social mes anterios de Mariano, Miguel y Fran.</t>
        </r>
      </text>
    </comment>
    <comment ref="BE106" authorId="3" shapeId="0" xr:uid="{40894ED7-1312-4565-A855-27FE71EA1EFF}">
      <text>
        <r>
          <rPr>
            <b/>
            <sz val="9"/>
            <color indexed="81"/>
            <rFont val="Tahoma"/>
            <family val="2"/>
          </rPr>
          <t>alfonso:</t>
        </r>
        <r>
          <rPr>
            <sz val="9"/>
            <color indexed="81"/>
            <rFont val="Tahoma"/>
            <family val="2"/>
          </rPr>
          <t xml:space="preserve">
S.Social mes anterios de Mariano, Miguel y Fran.</t>
        </r>
      </text>
    </comment>
    <comment ref="BF106" authorId="3" shapeId="0" xr:uid="{EA1276F9-103C-4966-B844-2761F616A6D5}">
      <text>
        <r>
          <rPr>
            <b/>
            <sz val="9"/>
            <color indexed="81"/>
            <rFont val="Tahoma"/>
            <family val="2"/>
          </rPr>
          <t>alfonso:</t>
        </r>
        <r>
          <rPr>
            <sz val="9"/>
            <color indexed="81"/>
            <rFont val="Tahoma"/>
            <family val="2"/>
          </rPr>
          <t xml:space="preserve">
S.Social mes anterios de Mariano, Miguel y Fran.</t>
        </r>
      </text>
    </comment>
    <comment ref="BJ106" authorId="3" shapeId="0" xr:uid="{5874248A-EF4B-4DE6-8F4A-15E68FA576CF}">
      <text>
        <r>
          <rPr>
            <b/>
            <sz val="9"/>
            <color indexed="81"/>
            <rFont val="Tahoma"/>
            <family val="2"/>
          </rPr>
          <t>alfonso:</t>
        </r>
        <r>
          <rPr>
            <sz val="9"/>
            <color indexed="81"/>
            <rFont val="Tahoma"/>
            <family val="2"/>
          </rPr>
          <t xml:space="preserve">
S.Social mes anterios trabajadores</t>
        </r>
      </text>
    </comment>
    <comment ref="BK106" authorId="3" shapeId="0" xr:uid="{38D05D86-AB31-4E9C-8C13-BE23223252FD}">
      <text>
        <r>
          <rPr>
            <b/>
            <sz val="9"/>
            <color indexed="81"/>
            <rFont val="Tahoma"/>
            <family val="2"/>
          </rPr>
          <t>S.Social mes anterior trabajadores</t>
        </r>
      </text>
    </comment>
    <comment ref="BL106" authorId="3" shapeId="0" xr:uid="{A3571D5E-1C57-4809-B910-23D388A8DC0B}">
      <text>
        <r>
          <rPr>
            <b/>
            <sz val="9"/>
            <color indexed="81"/>
            <rFont val="Tahoma"/>
            <family val="2"/>
          </rPr>
          <t>S.Social mes anterior trabajadores</t>
        </r>
      </text>
    </comment>
    <comment ref="BM106" authorId="3" shapeId="0" xr:uid="{0BC5F9C1-7F43-43F5-BB8E-B88877C8F0DA}">
      <text>
        <r>
          <rPr>
            <b/>
            <sz val="9"/>
            <color indexed="81"/>
            <rFont val="Tahoma"/>
            <family val="2"/>
          </rPr>
          <t>S.Social mes anterior trabajadores</t>
        </r>
      </text>
    </comment>
    <comment ref="BN106" authorId="3" shapeId="0" xr:uid="{459EA333-6D07-499A-972C-E68D22BB418D}">
      <text>
        <r>
          <rPr>
            <b/>
            <sz val="9"/>
            <color indexed="81"/>
            <rFont val="Tahoma"/>
            <family val="2"/>
          </rPr>
          <t xml:space="preserve">S.Social mes anterior trabajadores
-------------------------------
</t>
        </r>
        <r>
          <rPr>
            <sz val="9"/>
            <color indexed="81"/>
            <rFont val="Tahoma"/>
            <family val="2"/>
          </rPr>
          <t>32,76€: Cuota SS de NA, por la diferencia de cotización del SMI de enero 2025
Transf. Caixa realizada el 15/01/26</t>
        </r>
      </text>
    </comment>
    <comment ref="BO106" authorId="3" shapeId="0" xr:uid="{CCEB0110-8A95-432F-BC47-9B00E78798C5}">
      <text>
        <r>
          <rPr>
            <b/>
            <sz val="9"/>
            <color indexed="81"/>
            <rFont val="Tahoma"/>
            <family val="2"/>
          </rPr>
          <t>S.Social mes anterior trabajadores</t>
        </r>
      </text>
    </comment>
    <comment ref="BP106" authorId="2" shapeId="0" xr:uid="{C6754028-11A5-48C4-863C-718EDFD8B852}">
      <text>
        <r>
          <rPr>
            <b/>
            <sz val="9"/>
            <color indexed="81"/>
            <rFont val="Tahoma"/>
            <family val="2"/>
          </rPr>
          <t>Maria:</t>
        </r>
        <r>
          <rPr>
            <sz val="9"/>
            <color indexed="81"/>
            <rFont val="Tahoma"/>
            <family val="2"/>
          </rPr>
          <t xml:space="preserve">
</t>
        </r>
      </text>
    </comment>
    <comment ref="BQ106" authorId="3" shapeId="0" xr:uid="{32AA9F7E-7314-4E3F-BF82-5C12F34B26E3}">
      <text>
        <r>
          <rPr>
            <b/>
            <sz val="9"/>
            <color indexed="81"/>
            <rFont val="Tahoma"/>
            <family val="2"/>
          </rPr>
          <t>S.Social mes anterior trabajadores</t>
        </r>
      </text>
    </comment>
    <comment ref="BR106" authorId="3" shapeId="0" xr:uid="{D9949FC8-C2A2-4F0D-94EA-08BBBCCD7C82}">
      <text>
        <r>
          <rPr>
            <b/>
            <sz val="9"/>
            <color indexed="81"/>
            <rFont val="Tahoma"/>
            <family val="2"/>
          </rPr>
          <t>S.Social mes anterior trabajadores</t>
        </r>
      </text>
    </comment>
    <comment ref="BS106" authorId="3" shapeId="0" xr:uid="{48C6A663-51D1-4444-932E-E45ED41FD421}">
      <text>
        <r>
          <rPr>
            <b/>
            <sz val="9"/>
            <color indexed="81"/>
            <rFont val="Tahoma"/>
            <family val="2"/>
          </rPr>
          <t>S.Social mes anterior trabajadores</t>
        </r>
      </text>
    </comment>
    <comment ref="BT106" authorId="3" shapeId="0" xr:uid="{4B4392CF-B8D5-4FDD-AC8A-19A2B3C41693}">
      <text>
        <r>
          <rPr>
            <b/>
            <sz val="9"/>
            <color indexed="81"/>
            <rFont val="Tahoma"/>
            <family val="2"/>
          </rPr>
          <t>S.Social mes anterior trabajadores</t>
        </r>
      </text>
    </comment>
    <comment ref="BU106" authorId="3" shapeId="0" xr:uid="{B5C13B4F-1C5C-41C4-96F9-845897E49464}">
      <text>
        <r>
          <rPr>
            <b/>
            <sz val="9"/>
            <color indexed="81"/>
            <rFont val="Tahoma"/>
            <family val="2"/>
          </rPr>
          <t>S.Social mes anterior trabajadores</t>
        </r>
      </text>
    </comment>
    <comment ref="BY106" authorId="3" shapeId="0" xr:uid="{32AF37F9-96CE-4B34-B027-DFE832187ABE}">
      <text>
        <r>
          <rPr>
            <b/>
            <sz val="9"/>
            <color indexed="81"/>
            <rFont val="Tahoma"/>
            <family val="2"/>
          </rPr>
          <t>S.Social mes anterior trabajadores</t>
        </r>
      </text>
    </comment>
    <comment ref="BZ106" authorId="3" shapeId="0" xr:uid="{A8AE3A41-E75A-4962-93D9-20B064F1BB94}">
      <text>
        <r>
          <rPr>
            <b/>
            <sz val="9"/>
            <color indexed="81"/>
            <rFont val="Tahoma"/>
            <family val="2"/>
          </rPr>
          <t>S.Social mes anterior trabajadores</t>
        </r>
      </text>
    </comment>
    <comment ref="CA106" authorId="3" shapeId="0" xr:uid="{234F4036-0EFF-4F92-BBB5-579393FCBA90}">
      <text>
        <r>
          <rPr>
            <b/>
            <sz val="9"/>
            <color indexed="81"/>
            <rFont val="Tahoma"/>
            <family val="2"/>
          </rPr>
          <t>S.Social mes anterior trabajadores</t>
        </r>
      </text>
    </comment>
    <comment ref="CB106" authorId="3" shapeId="0" xr:uid="{58362A6D-4B3D-4191-9BBD-76343DCA5BA2}">
      <text>
        <r>
          <rPr>
            <b/>
            <sz val="9"/>
            <color indexed="81"/>
            <rFont val="Tahoma"/>
            <family val="2"/>
          </rPr>
          <t>S.Social mes anterior trabajadores</t>
        </r>
      </text>
    </comment>
    <comment ref="CC106" authorId="3" shapeId="0" xr:uid="{18EA1750-C399-4786-8144-23F81C5EE1F4}">
      <text>
        <r>
          <rPr>
            <b/>
            <sz val="9"/>
            <color indexed="81"/>
            <rFont val="Tahoma"/>
            <family val="2"/>
          </rPr>
          <t>S.Social mes anterior trabajadores</t>
        </r>
      </text>
    </comment>
    <comment ref="CD106" authorId="3" shapeId="0" xr:uid="{9880D9C3-DB09-44EB-9E27-3C507CA0BDEA}">
      <text>
        <r>
          <rPr>
            <b/>
            <sz val="9"/>
            <color indexed="81"/>
            <rFont val="Tahoma"/>
            <family val="2"/>
          </rPr>
          <t>S.Social mes anterior trabajadores</t>
        </r>
      </text>
    </comment>
    <comment ref="CE106" authorId="3" shapeId="0" xr:uid="{828E534B-DB0D-47CD-9477-4B6501DBEB3B}">
      <text>
        <r>
          <rPr>
            <b/>
            <sz val="9"/>
            <color indexed="81"/>
            <rFont val="Tahoma"/>
            <family val="2"/>
          </rPr>
          <t>S.Social mes anterior trabajadores</t>
        </r>
      </text>
    </comment>
    <comment ref="CF106" authorId="3" shapeId="0" xr:uid="{3E601A2D-D70B-4D46-840F-987F65C32DE5}">
      <text>
        <r>
          <rPr>
            <b/>
            <sz val="9"/>
            <color indexed="81"/>
            <rFont val="Tahoma"/>
            <family val="2"/>
          </rPr>
          <t>S.Social mes anterior trabajadores</t>
        </r>
      </text>
    </comment>
    <comment ref="CG106" authorId="3" shapeId="0" xr:uid="{B811CC2B-0CBD-4841-A120-C6278888CA27}">
      <text>
        <r>
          <rPr>
            <b/>
            <sz val="9"/>
            <color indexed="81"/>
            <rFont val="Tahoma"/>
            <family val="2"/>
          </rPr>
          <t>S.Social mes anterior trabajadores</t>
        </r>
      </text>
    </comment>
    <comment ref="CH106" authorId="3" shapeId="0" xr:uid="{84CE3F9D-73F4-4612-9213-09E35C4C4034}">
      <text>
        <r>
          <rPr>
            <b/>
            <sz val="9"/>
            <color indexed="81"/>
            <rFont val="Tahoma"/>
            <family val="2"/>
          </rPr>
          <t>S.Social mes anterior trabajadores</t>
        </r>
      </text>
    </comment>
    <comment ref="CI106" authorId="3" shapeId="0" xr:uid="{84C74C58-5B19-4093-962C-CE9F7344923D}">
      <text>
        <r>
          <rPr>
            <b/>
            <sz val="9"/>
            <color indexed="81"/>
            <rFont val="Tahoma"/>
            <family val="2"/>
          </rPr>
          <t>S.Social mes anterior trabajadores</t>
        </r>
      </text>
    </comment>
    <comment ref="CJ106" authorId="3" shapeId="0" xr:uid="{E6AB3D2F-8103-4450-B21E-92CA321977D5}">
      <text>
        <r>
          <rPr>
            <b/>
            <sz val="9"/>
            <color indexed="81"/>
            <rFont val="Tahoma"/>
            <family val="2"/>
          </rPr>
          <t>S.Social mes anterior trabajadores</t>
        </r>
      </text>
    </comment>
    <comment ref="CN106" authorId="3" shapeId="0" xr:uid="{AF8A2B3C-A541-41FB-8A93-7989A8B0A741}">
      <text>
        <r>
          <rPr>
            <b/>
            <sz val="9"/>
            <color indexed="81"/>
            <rFont val="Tahoma"/>
            <family val="2"/>
          </rPr>
          <t>alfonso:</t>
        </r>
        <r>
          <rPr>
            <sz val="9"/>
            <color indexed="81"/>
            <rFont val="Tahoma"/>
            <family val="2"/>
          </rPr>
          <t xml:space="preserve">
S.Social mes anterios de Mariano, Miguel y Fran.</t>
        </r>
      </text>
    </comment>
    <comment ref="CO106" authorId="3" shapeId="0" xr:uid="{A9EC2B79-53A6-4E1F-A738-1B029864D91C}">
      <text>
        <r>
          <rPr>
            <b/>
            <sz val="9"/>
            <color indexed="81"/>
            <rFont val="Tahoma"/>
            <family val="2"/>
          </rPr>
          <t>alfonso:</t>
        </r>
        <r>
          <rPr>
            <sz val="9"/>
            <color indexed="81"/>
            <rFont val="Tahoma"/>
            <family val="2"/>
          </rPr>
          <t xml:space="preserve">
S.Social mes anterios de Mariano, Miguel y Fran.</t>
        </r>
      </text>
    </comment>
    <comment ref="CP106" authorId="3" shapeId="0" xr:uid="{4A454D9C-9DD3-4FC4-A869-1BDB4DF968EB}">
      <text>
        <r>
          <rPr>
            <b/>
            <sz val="9"/>
            <color indexed="81"/>
            <rFont val="Tahoma"/>
            <family val="2"/>
          </rPr>
          <t>alfonso:</t>
        </r>
        <r>
          <rPr>
            <sz val="9"/>
            <color indexed="81"/>
            <rFont val="Tahoma"/>
            <family val="2"/>
          </rPr>
          <t xml:space="preserve">
S.Social mes anterios de Mariano, Miguel y Fran.</t>
        </r>
      </text>
    </comment>
    <comment ref="CQ106" authorId="3" shapeId="0" xr:uid="{D845F2F9-F594-432E-A7FF-C97587384229}">
      <text>
        <r>
          <rPr>
            <b/>
            <sz val="9"/>
            <color indexed="81"/>
            <rFont val="Tahoma"/>
            <family val="2"/>
          </rPr>
          <t>alfonso:</t>
        </r>
        <r>
          <rPr>
            <sz val="9"/>
            <color indexed="81"/>
            <rFont val="Tahoma"/>
            <family val="2"/>
          </rPr>
          <t xml:space="preserve">
S.Social mes anterios de Mariano, Miguel y Fran.</t>
        </r>
      </text>
    </comment>
    <comment ref="CR106" authorId="3" shapeId="0" xr:uid="{90101993-392C-4FBD-A4BF-CC078539B685}">
      <text>
        <r>
          <rPr>
            <b/>
            <sz val="9"/>
            <color indexed="81"/>
            <rFont val="Tahoma"/>
            <family val="2"/>
          </rPr>
          <t>alfonso:</t>
        </r>
        <r>
          <rPr>
            <sz val="9"/>
            <color indexed="81"/>
            <rFont val="Tahoma"/>
            <family val="2"/>
          </rPr>
          <t xml:space="preserve">
S.Social mes anterios de Mariano, Miguel y Fran.</t>
        </r>
      </text>
    </comment>
    <comment ref="CS106" authorId="3" shapeId="0" xr:uid="{6F59320E-2CFC-4A00-B3EB-3D5E1D1FCF08}">
      <text>
        <r>
          <rPr>
            <b/>
            <sz val="9"/>
            <color indexed="81"/>
            <rFont val="Tahoma"/>
            <family val="2"/>
          </rPr>
          <t>alfonso:</t>
        </r>
        <r>
          <rPr>
            <sz val="9"/>
            <color indexed="81"/>
            <rFont val="Tahoma"/>
            <family val="2"/>
          </rPr>
          <t xml:space="preserve">
S.Social mes anterios de Mariano, Miguel y Fran.</t>
        </r>
      </text>
    </comment>
    <comment ref="CT106" authorId="3" shapeId="0" xr:uid="{041EBEA3-B713-4F23-8387-6A1E595280BB}">
      <text>
        <r>
          <rPr>
            <b/>
            <sz val="9"/>
            <color indexed="81"/>
            <rFont val="Tahoma"/>
            <family val="2"/>
          </rPr>
          <t>alfonso:</t>
        </r>
        <r>
          <rPr>
            <sz val="9"/>
            <color indexed="81"/>
            <rFont val="Tahoma"/>
            <family val="2"/>
          </rPr>
          <t xml:space="preserve">
S.Social mes anterios de Mariano, Miguel y Fran.</t>
        </r>
      </text>
    </comment>
    <comment ref="CU106" authorId="3" shapeId="0" xr:uid="{8BBC3854-17D6-4563-87C8-E7303AD05920}">
      <text>
        <r>
          <rPr>
            <b/>
            <sz val="9"/>
            <color indexed="81"/>
            <rFont val="Tahoma"/>
            <family val="2"/>
          </rPr>
          <t>alfonso:</t>
        </r>
        <r>
          <rPr>
            <sz val="9"/>
            <color indexed="81"/>
            <rFont val="Tahoma"/>
            <family val="2"/>
          </rPr>
          <t xml:space="preserve">
S.Social mes anterios de Mariano, Miguel y Fran.</t>
        </r>
      </text>
    </comment>
    <comment ref="CV106" authorId="3" shapeId="0" xr:uid="{B1252E33-B4FE-4A5E-9C01-ECE3432B22F7}">
      <text>
        <r>
          <rPr>
            <b/>
            <sz val="9"/>
            <color indexed="81"/>
            <rFont val="Tahoma"/>
            <family val="2"/>
          </rPr>
          <t>alfonso:</t>
        </r>
        <r>
          <rPr>
            <sz val="9"/>
            <color indexed="81"/>
            <rFont val="Tahoma"/>
            <family val="2"/>
          </rPr>
          <t xml:space="preserve">
S.Social mes anterios de Mariano, Miguel y Fran.</t>
        </r>
      </text>
    </comment>
    <comment ref="CW106" authorId="3" shapeId="0" xr:uid="{92FE15DF-DD06-4755-BFDC-32516DB86428}">
      <text>
        <r>
          <rPr>
            <b/>
            <sz val="9"/>
            <color indexed="81"/>
            <rFont val="Tahoma"/>
            <family val="2"/>
          </rPr>
          <t>alfonso:</t>
        </r>
        <r>
          <rPr>
            <sz val="9"/>
            <color indexed="81"/>
            <rFont val="Tahoma"/>
            <family val="2"/>
          </rPr>
          <t xml:space="preserve">
S.Social mes anterios de Mariano, Miguel y Fran.</t>
        </r>
      </text>
    </comment>
    <comment ref="CX106" authorId="3" shapeId="0" xr:uid="{009829A2-1F2C-40C5-BA47-E1312F8D7E35}">
      <text>
        <r>
          <rPr>
            <b/>
            <sz val="9"/>
            <color indexed="81"/>
            <rFont val="Tahoma"/>
            <family val="2"/>
          </rPr>
          <t>alfonso:</t>
        </r>
        <r>
          <rPr>
            <sz val="9"/>
            <color indexed="81"/>
            <rFont val="Tahoma"/>
            <family val="2"/>
          </rPr>
          <t xml:space="preserve">
S.Social mes anterios de Mariano, Miguel y Fran.</t>
        </r>
      </text>
    </comment>
    <comment ref="CY106" authorId="3" shapeId="0" xr:uid="{4FBDF374-4F4B-4AEC-B502-3B1EE0F81C48}">
      <text>
        <r>
          <rPr>
            <b/>
            <sz val="9"/>
            <color indexed="81"/>
            <rFont val="Tahoma"/>
            <family val="2"/>
          </rPr>
          <t>alfonso:</t>
        </r>
        <r>
          <rPr>
            <sz val="9"/>
            <color indexed="81"/>
            <rFont val="Tahoma"/>
            <family val="2"/>
          </rPr>
          <t xml:space="preserve">
S.Social mes anterios de Mariano, Miguel y Fran.</t>
        </r>
      </text>
    </comment>
    <comment ref="C107" authorId="0" shapeId="0" xr:uid="{39B6B5D0-B785-4C2B-B620-5C31B22AB7C4}">
      <text>
        <r>
          <rPr>
            <b/>
            <sz val="9"/>
            <color indexed="81"/>
            <rFont val="Tahoma"/>
            <family val="2"/>
          </rPr>
          <t xml:space="preserve">700€: </t>
        </r>
        <r>
          <rPr>
            <sz val="9"/>
            <color indexed="81"/>
            <rFont val="Tahoma"/>
            <family val="2"/>
          </rPr>
          <t xml:space="preserve">Pago provisión de fondos.
Notaría Pablo Gutiérrez-Alviz:
-700 E: Devolución Provisión de fondos por escritura de constitución de SL otorgada por NIXAL AGRI S.L, con núm. 753/2.021 de protocolo 
Info ALF 26/02/21: cuando quede registrada llegará factura y liquidación de esta provisión de fondos
Pagada desde Nixal Caixa y a devolver en un mes, y cuando quede registrada y se libere la cuenta de Agri, hacemos la devolución
-----------------------------------------
</t>
        </r>
        <r>
          <rPr>
            <b/>
            <sz val="9"/>
            <color indexed="81"/>
            <rFont val="Tahoma"/>
            <family val="2"/>
          </rPr>
          <t xml:space="preserve">Factura Pablo Gutiérrez-Alviz:
</t>
        </r>
        <r>
          <rPr>
            <sz val="9"/>
            <color indexed="81"/>
            <rFont val="Tahoma"/>
            <family val="2"/>
          </rPr>
          <t xml:space="preserve">Fra del 05/02/21.
 minuta Notario. 267,54€. 
</t>
        </r>
        <r>
          <rPr>
            <b/>
            <sz val="9"/>
            <color indexed="81"/>
            <rFont val="Tahoma"/>
            <family val="2"/>
          </rPr>
          <t xml:space="preserve">
Fra Francisco J. Trigo Lozano </t>
        </r>
        <r>
          <rPr>
            <sz val="9"/>
            <color indexed="81"/>
            <rFont val="Tahoma"/>
            <family val="2"/>
          </rPr>
          <t xml:space="preserve">
Fra del 14/04/21
Gastos de gestión: 148,16€.
</t>
        </r>
        <r>
          <rPr>
            <b/>
            <sz val="9"/>
            <color indexed="81"/>
            <rFont val="Tahoma"/>
            <family val="2"/>
          </rPr>
          <t>Factura del RM del 24/03/21.</t>
        </r>
        <r>
          <rPr>
            <sz val="9"/>
            <color indexed="81"/>
            <rFont val="Tahoma"/>
            <family val="2"/>
          </rPr>
          <t xml:space="preserve">
Incripcion en el registro mercantil: 291,54€
(en la formula : -700+291,54+148,15+267,54)</t>
        </r>
      </text>
    </comment>
    <comment ref="AF107" authorId="0" shapeId="0" xr:uid="{091F5D64-2514-479F-AF56-8D72158460F8}">
      <text>
        <r>
          <rPr>
            <b/>
            <sz val="9"/>
            <color indexed="81"/>
            <rFont val="Tahoma"/>
            <family val="2"/>
          </rPr>
          <t xml:space="preserve">Fra Aranguren notario del 30/06/23.
</t>
        </r>
        <r>
          <rPr>
            <sz val="9"/>
            <color indexed="81"/>
            <rFont val="Tahoma"/>
            <family val="2"/>
          </rPr>
          <t xml:space="preserve">Dchs y servicios: 507,14€. 
Transferencia realizada el 27/10/23.
-----------------------------------------------
</t>
        </r>
        <r>
          <rPr>
            <b/>
            <sz val="9"/>
            <color indexed="81"/>
            <rFont val="Tahoma"/>
            <family val="2"/>
          </rPr>
          <t>Fra Aranguren notario del 30/06/23.</t>
        </r>
        <r>
          <rPr>
            <sz val="9"/>
            <color indexed="81"/>
            <rFont val="Tahoma"/>
            <family val="2"/>
          </rPr>
          <t xml:space="preserve">
Dchs y servicios: 424,14€. 
Transferencia realizada el 30/10/23.
-----------------------------------------------
640,00€: provision de fondos Gestoria Jullio Cesar. 
Transferencia realizada el 30/10/23.</t>
        </r>
      </text>
    </comment>
    <comment ref="AJ107" authorId="0" shapeId="0" xr:uid="{0E79FD71-1A61-4B37-A14C-274B27653077}">
      <text>
        <r>
          <rPr>
            <sz val="9"/>
            <color indexed="81"/>
            <rFont val="Tahoma"/>
            <family val="2"/>
          </rPr>
          <t>847€: LegalSur.
Fra del 07/07/23. 
Honorarios por servicios de asesoramiento en relación a: 
- 2023.06.28: Acta y certif reducc K, paso de Nixal Agri, SL a los socios de Nixal Commodities,
renumeración de las participaciones, modificación de estatutos
- 2023.06.29: Escrituras de elevación a público de contratos privados de arrendamientos rústicos y de
cesión de derechos PAC de Las Corchas y de Lucía y San Rafael
847€: OK ALF para realizar transferencia
Transferencia Caixa realizada el 21/02/24 
----------------------------------------------------------------
121€: LegalSur.
Fra del 25/10/23. 
Honorarios por servicios de asesoramiento en relación a: 
Escritura de cese de unipersonalidad
121€: Pndte transferencia Caixa
Transferencia Caixa realizada el 21/02/24</t>
        </r>
      </text>
    </comment>
    <comment ref="AW107" authorId="2" shapeId="0" xr:uid="{284E5D52-1BB8-4424-A7E6-C6DE1864F8F9}">
      <text>
        <r>
          <rPr>
            <b/>
            <sz val="9"/>
            <color indexed="81"/>
            <rFont val="Tahoma"/>
            <family val="2"/>
          </rPr>
          <t>Maria:</t>
        </r>
        <r>
          <rPr>
            <sz val="9"/>
            <color indexed="81"/>
            <rFont val="Tahoma"/>
            <family val="2"/>
          </rPr>
          <t xml:space="preserve">
Presupuesto BIORAMA.- Fra del 30/12/24. Registro sanitario
Tansferencia realzada el 29/11/24.</t>
        </r>
      </text>
    </comment>
    <comment ref="B108" authorId="3" shapeId="0" xr:uid="{00000000-0006-0000-0500-00008B010000}">
      <text>
        <r>
          <rPr>
            <sz val="9"/>
            <color indexed="81"/>
            <rFont val="Tahoma"/>
            <family val="2"/>
          </rPr>
          <t xml:space="preserve">Contratado con Creativa Nov 2020
45€ por gestion laboral empresa + 8€/mes por empleado = </t>
        </r>
        <r>
          <rPr>
            <b/>
            <sz val="9"/>
            <color indexed="81"/>
            <rFont val="Tahoma"/>
            <family val="2"/>
          </rPr>
          <t xml:space="preserve">85 al mes + IVA 21%
</t>
        </r>
        <r>
          <rPr>
            <sz val="9"/>
            <color indexed="81"/>
            <rFont val="Tahoma"/>
            <family val="2"/>
          </rPr>
          <t xml:space="preserve">
*Facturación cada día 22
*Cobro mediante recibo domiciliado los días 27
</t>
        </r>
      </text>
    </comment>
    <comment ref="AF108" authorId="0" shapeId="0" xr:uid="{0FEEA7E9-9956-4C94-BAD3-0E6316045CB3}">
      <text>
        <r>
          <rPr>
            <sz val="9"/>
            <color indexed="81"/>
            <rFont val="Tahoma"/>
            <family val="2"/>
          </rPr>
          <t>Fra Creativa del 22/09/23: 82,28€. 
Cargado: 01/10/23
-----------------------------
Fra Creativa del 22/10/23: 93,17€. 
Cargado:27/10/23</t>
        </r>
      </text>
    </comment>
    <comment ref="AG108" authorId="0" shapeId="0" xr:uid="{C5E5153B-9E6A-4456-96CC-1F15A69B4E27}">
      <text>
        <r>
          <rPr>
            <sz val="9"/>
            <color indexed="81"/>
            <rFont val="Tahoma"/>
            <family val="2"/>
          </rPr>
          <t>Fra Creativa del 22/11/23: 93,17€. 
Cargado:27/11/23</t>
        </r>
      </text>
    </comment>
    <comment ref="AI108" authorId="0" shapeId="0" xr:uid="{9B660CF6-F04A-48E1-BA41-8CC8B3BFDAD8}">
      <text>
        <r>
          <rPr>
            <sz val="9"/>
            <color indexed="81"/>
            <rFont val="Tahoma"/>
            <family val="2"/>
          </rPr>
          <t xml:space="preserve">Fra Creativa del 22/12/23: 93,17€. 
Cargado: 01/01/24
</t>
        </r>
      </text>
    </comment>
    <comment ref="AJ108" authorId="0" shapeId="0" xr:uid="{8593BDDD-444E-4592-911C-F69F5BB00F41}">
      <text>
        <r>
          <rPr>
            <b/>
            <sz val="9"/>
            <color indexed="81"/>
            <rFont val="Tahoma"/>
            <family val="2"/>
          </rPr>
          <t xml:space="preserve">
Fra Creativa del 22/01/24: 96,16€. 
Cargado: 01/02/24</t>
        </r>
      </text>
    </comment>
    <comment ref="AK108" authorId="0" shapeId="0" xr:uid="{4A8407BF-A464-4C32-9C6D-EEC8E6B7B5C8}">
      <text>
        <r>
          <rPr>
            <sz val="9"/>
            <color indexed="81"/>
            <rFont val="Tahoma"/>
            <family val="2"/>
          </rPr>
          <t>Fra Creativa del 22/02/24: 96,16€. 
Cargado: 01/03/24</t>
        </r>
      </text>
    </comment>
    <comment ref="AL108" authorId="0" shapeId="0" xr:uid="{0CB1A5EC-2C72-44E4-8ECB-6E073F83B254}">
      <text>
        <r>
          <rPr>
            <sz val="9"/>
            <color indexed="81"/>
            <rFont val="Tahoma"/>
            <family val="2"/>
          </rPr>
          <t>Fra Creativa del 22/03/24: 96,16€. 
Cargado: 01/04/24</t>
        </r>
      </text>
    </comment>
    <comment ref="AM108" authorId="0" shapeId="0" xr:uid="{25202C55-F04A-43C4-B6C4-539A340D4986}">
      <text>
        <r>
          <rPr>
            <sz val="9"/>
            <color indexed="81"/>
            <rFont val="Tahoma"/>
            <family val="2"/>
          </rPr>
          <t>Fra Creativa del 22/04/24: 96,16€. 
Cargado: 01/05/24
-----------------------------
Fra Creativa del 22/05/24: 96,16€. 
Cargado: 27/05/24</t>
        </r>
      </text>
    </comment>
    <comment ref="AO108" authorId="0" shapeId="0" xr:uid="{B0F9FEB9-1E8C-4839-BB66-5232355E0D37}">
      <text>
        <r>
          <rPr>
            <b/>
            <sz val="9"/>
            <color indexed="81"/>
            <rFont val="Tahoma"/>
            <family val="2"/>
          </rPr>
          <t xml:space="preserve">Fra 22/06/24.
</t>
        </r>
        <r>
          <rPr>
            <sz val="9"/>
            <color indexed="81"/>
            <rFont val="Tahoma"/>
            <family val="2"/>
          </rPr>
          <t>Aumenta por asesoramiento laboral (1 trabajador mas): 107,40€. 
Domiciliado: 01/07/24.
--------------------------------
11,24 € ingreso por error en la factura de Junio. 
OK devolucion. 
Fra del 22/07/24 : 84,92
Cargado: 29/07/24</t>
        </r>
      </text>
    </comment>
    <comment ref="AP108" authorId="0" shapeId="0" xr:uid="{26EE554D-3D80-43E6-A39E-41F3C14CC36F}">
      <text>
        <r>
          <rPr>
            <sz val="9"/>
            <color indexed="81"/>
            <rFont val="Tahoma"/>
            <family val="2"/>
          </rPr>
          <t>Fra Creativa del 22/08/24: 84,92€. 
Cargado: 27/08/24</t>
        </r>
      </text>
    </comment>
    <comment ref="AV108" authorId="2" shapeId="0" xr:uid="{1844A450-4CFD-491F-AFDF-7AB12F003922}">
      <text>
        <r>
          <rPr>
            <b/>
            <sz val="9"/>
            <color indexed="81"/>
            <rFont val="Tahoma"/>
            <family val="2"/>
          </rPr>
          <t>Maria:</t>
        </r>
        <r>
          <rPr>
            <sz val="9"/>
            <color indexed="81"/>
            <rFont val="Tahoma"/>
            <family val="2"/>
          </rPr>
          <t xml:space="preserve">
Fra Creativa del 22/09/24. 
Cargada: 01/10/24
Maria:
Fra Creativa del 22/10/24. 
Cargada: 28/10/24</t>
        </r>
      </text>
    </comment>
    <comment ref="AX108" authorId="2" shapeId="0" xr:uid="{B7C109F9-EBDB-40B1-8E51-F975FC805CE3}">
      <text>
        <r>
          <rPr>
            <b/>
            <sz val="9"/>
            <color indexed="81"/>
            <rFont val="Tahoma"/>
            <family val="2"/>
          </rPr>
          <t>Maria:</t>
        </r>
        <r>
          <rPr>
            <sz val="9"/>
            <color indexed="81"/>
            <rFont val="Tahoma"/>
            <family val="2"/>
          </rPr>
          <t xml:space="preserve">
Fra 22/12/24.
Creativa: 107,40€. 
Cargado: 27/12/24</t>
        </r>
      </text>
    </comment>
    <comment ref="AY108" authorId="2" shapeId="0" xr:uid="{26D5F69B-74B1-469A-9A61-B5CB0F494178}">
      <text>
        <r>
          <rPr>
            <b/>
            <sz val="9"/>
            <color indexed="81"/>
            <rFont val="Tahoma"/>
            <family val="2"/>
          </rPr>
          <t>Maria:</t>
        </r>
        <r>
          <rPr>
            <sz val="9"/>
            <color indexed="81"/>
            <rFont val="Tahoma"/>
            <family val="2"/>
          </rPr>
          <t xml:space="preserve">
Fra 22/01/25.
Creativa: 98,26€. 
Cargado: 27/01/2025.</t>
        </r>
      </text>
    </comment>
    <comment ref="BA108" authorId="2" shapeId="0" xr:uid="{F9FFC1E9-3196-4A6C-94D9-A68B85463290}">
      <text>
        <r>
          <rPr>
            <b/>
            <sz val="9"/>
            <color indexed="81"/>
            <rFont val="Tahoma"/>
            <family val="2"/>
          </rPr>
          <t>Maria:</t>
        </r>
        <r>
          <rPr>
            <sz val="9"/>
            <color indexed="81"/>
            <rFont val="Tahoma"/>
            <family val="2"/>
          </rPr>
          <t xml:space="preserve">
Fra 22/02/25.
Creativa: 98,26€. 
Cargado: 01/03/2025
-------------------------------
Fra 22/03/25.
Creativa: 98,26€. 
Cargado: 27/03/2025</t>
        </r>
      </text>
    </comment>
    <comment ref="BB108" authorId="2" shapeId="0" xr:uid="{55C22E9F-CA29-47A7-AE4A-3DE4E6868194}">
      <text>
        <r>
          <rPr>
            <b/>
            <sz val="9"/>
            <color indexed="81"/>
            <rFont val="Tahoma"/>
            <family val="2"/>
          </rPr>
          <t>Maria:</t>
        </r>
        <r>
          <rPr>
            <sz val="9"/>
            <color indexed="81"/>
            <rFont val="Tahoma"/>
            <family val="2"/>
          </rPr>
          <t xml:space="preserve">
Fra 22/04/25.
Creativa: 98,26€. 
Cargado: 28/03/2025</t>
        </r>
      </text>
    </comment>
    <comment ref="BC108" authorId="2" shapeId="0" xr:uid="{DFE7E64A-8E35-43B0-A772-1A12B47D8A7D}">
      <text>
        <r>
          <rPr>
            <sz val="9"/>
            <color indexed="81"/>
            <rFont val="Tahoma"/>
            <family val="2"/>
          </rPr>
          <t>Fra 22/05/25.
Creativa: 98,26€. 
Cargado: 27/05/25</t>
        </r>
      </text>
    </comment>
    <comment ref="BE108" authorId="2" shapeId="0" xr:uid="{124D49CE-8AFD-46DC-8563-C96D0A8EC591}">
      <text>
        <r>
          <rPr>
            <sz val="9"/>
            <color indexed="81"/>
            <rFont val="Tahoma"/>
            <family val="2"/>
          </rPr>
          <t>Fra 22/06/25.
Creativa: 207,16€. 
Cargado: 01/07/25
---------------------------
Fra 22/07/25.
Creativa: 98,26€. 
Cargado: 28/07/25</t>
        </r>
      </text>
    </comment>
    <comment ref="BF108" authorId="2" shapeId="0" xr:uid="{2C4841EA-2D71-47E9-9E46-F66292845E81}">
      <text>
        <r>
          <rPr>
            <sz val="9"/>
            <color indexed="81"/>
            <rFont val="Tahoma"/>
            <family val="2"/>
          </rPr>
          <t>Fra 22/08/25.
Creativa: 98,26€. 
Cargado: 27/08/25</t>
        </r>
      </text>
    </comment>
    <comment ref="BK108" authorId="2" shapeId="0" xr:uid="{1EC054FE-8FA6-4250-B849-7116B603C1AB}">
      <text>
        <r>
          <rPr>
            <b/>
            <sz val="9"/>
            <color indexed="81"/>
            <rFont val="Tahoma"/>
            <family val="2"/>
          </rPr>
          <t>Maria:</t>
        </r>
        <r>
          <rPr>
            <sz val="9"/>
            <color indexed="81"/>
            <rFont val="Tahoma"/>
            <family val="2"/>
          </rPr>
          <t xml:space="preserve">
Fra Creativa del 22/09/25.
--------------------
Fra Creativa del 22/10/25.</t>
        </r>
      </text>
    </comment>
    <comment ref="BM108" authorId="2" shapeId="0" xr:uid="{966464AC-897B-47BD-B5D0-E9D8A77C0137}">
      <text>
        <r>
          <rPr>
            <b/>
            <sz val="9"/>
            <color indexed="81"/>
            <rFont val="Tahoma"/>
            <family val="2"/>
          </rPr>
          <t>Maria:</t>
        </r>
        <r>
          <rPr>
            <sz val="9"/>
            <color indexed="81"/>
            <rFont val="Tahoma"/>
            <family val="2"/>
          </rPr>
          <t xml:space="preserve">
Fra del 22/12/25 creativa. </t>
        </r>
      </text>
    </comment>
    <comment ref="BN108" authorId="2" shapeId="0" xr:uid="{704F5D11-5C66-4805-B7C5-7C0A6EC80D35}">
      <text>
        <r>
          <rPr>
            <b/>
            <sz val="9"/>
            <color indexed="81"/>
            <rFont val="Tahoma"/>
            <family val="2"/>
          </rPr>
          <t>Maria:</t>
        </r>
        <r>
          <rPr>
            <sz val="9"/>
            <color indexed="81"/>
            <rFont val="Tahoma"/>
            <family val="2"/>
          </rPr>
          <t xml:space="preserve">
Fra Creativa del 22/01/26.</t>
        </r>
      </text>
    </comment>
    <comment ref="BO108" authorId="2" shapeId="0" xr:uid="{A287F482-6A6E-4E18-BD3B-F8C9EF1B757E}">
      <text>
        <r>
          <rPr>
            <b/>
            <sz val="9"/>
            <color indexed="81"/>
            <rFont val="Tahoma"/>
            <family val="2"/>
          </rPr>
          <t>Maria:</t>
        </r>
        <r>
          <rPr>
            <sz val="9"/>
            <color indexed="81"/>
            <rFont val="Tahoma"/>
            <family val="2"/>
          </rPr>
          <t xml:space="preserve">
Fra 22/02/26 Creativa: 101,13€</t>
        </r>
      </text>
    </comment>
    <comment ref="BP108" authorId="2" shapeId="0" xr:uid="{5C5D8AF1-371D-454F-951E-F64B11863FDA}">
      <text>
        <r>
          <rPr>
            <b/>
            <sz val="9"/>
            <color indexed="81"/>
            <rFont val="Tahoma"/>
            <family val="2"/>
          </rPr>
          <t>Maria:</t>
        </r>
        <r>
          <rPr>
            <sz val="9"/>
            <color indexed="81"/>
            <rFont val="Tahoma"/>
            <family val="2"/>
          </rPr>
          <t xml:space="preserve">
Fra Creativa del 22/03/26.
Cargado: 27/03/26
Incrementa el asesoramiento. </t>
        </r>
      </text>
    </comment>
    <comment ref="BQ108" authorId="2" shapeId="0" xr:uid="{9F3CCB26-2D78-4288-B3CA-23B4855A09EB}">
      <text>
        <r>
          <rPr>
            <sz val="9"/>
            <color indexed="81"/>
            <rFont val="Tahoma"/>
            <family val="2"/>
          </rPr>
          <t xml:space="preserve">Fra Creativa del 22/04/26.
Cargado: 27/04/26
</t>
        </r>
      </text>
    </comment>
    <comment ref="BR108" authorId="2" shapeId="0" xr:uid="{923B97D0-D15D-455F-BAC8-2A12C59B0CB6}">
      <text>
        <r>
          <rPr>
            <b/>
            <sz val="9"/>
            <color indexed="81"/>
            <rFont val="Tahoma"/>
            <family val="2"/>
          </rPr>
          <t>Maria:</t>
        </r>
        <r>
          <rPr>
            <sz val="9"/>
            <color indexed="81"/>
            <rFont val="Tahoma"/>
            <family val="2"/>
          </rPr>
          <t xml:space="preserve">
Fra Creativa del 22/05/26.</t>
        </r>
      </text>
    </comment>
    <comment ref="B109" authorId="3" shapeId="0" xr:uid="{00000000-0006-0000-0500-000098010000}">
      <text>
        <r>
          <rPr>
            <b/>
            <sz val="9"/>
            <color indexed="81"/>
            <rFont val="Tahoma"/>
            <family val="2"/>
          </rPr>
          <t xml:space="preserve">2021
</t>
        </r>
        <r>
          <rPr>
            <sz val="9"/>
            <color indexed="81"/>
            <rFont val="Tahoma"/>
            <family val="2"/>
          </rPr>
          <t>Sinver 313,67 + iva mensuales.
Imputamos medio año a molino y medio a nixal</t>
        </r>
      </text>
    </comment>
    <comment ref="G109" authorId="4" shapeId="0" xr:uid="{EA09BF03-6B6E-4BE6-ADA1-093BB96377EC}">
      <text>
        <r>
          <rPr>
            <b/>
            <sz val="9"/>
            <color indexed="81"/>
            <rFont val="Tahoma"/>
            <family val="2"/>
          </rPr>
          <t>Esta fra es de Nixal Agri</t>
        </r>
        <r>
          <rPr>
            <sz val="9"/>
            <color indexed="81"/>
            <rFont val="Tahoma"/>
            <family val="2"/>
          </rPr>
          <t xml:space="preserve">
Fra: 996/21 (31/12/21) 
163,35€: 135 (gestión fiscal y contable) x1,21 fra de SINVER. 
Cargado:</t>
        </r>
      </text>
    </comment>
    <comment ref="AE109" authorId="0" shapeId="0" xr:uid="{C99984BF-C81E-40B2-958E-6FF3C14B3508}">
      <text>
        <r>
          <rPr>
            <sz val="9"/>
            <color indexed="81"/>
            <rFont val="Tahoma"/>
            <family val="2"/>
          </rPr>
          <t>Fra Sinver del 31/08/23: 95,93€. 
Cargado: 01/09/23.</t>
        </r>
      </text>
    </comment>
    <comment ref="AF109" authorId="0" shapeId="0" xr:uid="{B09906E8-9A23-495D-8FB1-033D432CA9F5}">
      <text>
        <r>
          <rPr>
            <sz val="9"/>
            <color indexed="81"/>
            <rFont val="Tahoma"/>
            <family val="2"/>
          </rPr>
          <t>Fra Sinver del 30/09/23: 95,93€. 
Cargado: 02/10/23</t>
        </r>
      </text>
    </comment>
    <comment ref="AG109" authorId="0" shapeId="0" xr:uid="{BEBE5056-9CF3-4D3B-ADA4-D6BB1C754A00}">
      <text>
        <r>
          <rPr>
            <sz val="9"/>
            <color indexed="81"/>
            <rFont val="Tahoma"/>
            <family val="2"/>
          </rPr>
          <t>Fra Sinver del 30/10/23: 95,93€. 
Cargado: 01/11/23</t>
        </r>
      </text>
    </comment>
    <comment ref="AH109" authorId="0" shapeId="0" xr:uid="{749E90FA-96C9-4CD0-A82B-65A3D69C7761}">
      <text>
        <r>
          <rPr>
            <sz val="9"/>
            <color indexed="81"/>
            <rFont val="Tahoma"/>
            <family val="2"/>
          </rPr>
          <t>Fra Sinver del 30/11/23: 95,93€. 
Cargado: 01/12/23</t>
        </r>
      </text>
    </comment>
    <comment ref="AI109" authorId="0" shapeId="0" xr:uid="{97908DA2-DDA7-466F-AFC1-27B58E53AF62}">
      <text>
        <r>
          <rPr>
            <b/>
            <sz val="9"/>
            <color indexed="81"/>
            <rFont val="Tahoma"/>
            <family val="2"/>
          </rPr>
          <t>Fra Sinver del 31/12/23: 95,93€. 
Cargado: 02/01/24</t>
        </r>
      </text>
    </comment>
    <comment ref="AJ109" authorId="0" shapeId="0" xr:uid="{2583F6BE-F6F5-4C6C-9DC5-45DBED49A49B}">
      <text>
        <r>
          <rPr>
            <b/>
            <sz val="9"/>
            <color indexed="81"/>
            <rFont val="Tahoma"/>
            <family val="2"/>
          </rPr>
          <t>Fra Sinver del 31/01/24: 95,93€. 
Cargado: 02/02/24</t>
        </r>
      </text>
    </comment>
    <comment ref="AK109" authorId="0" shapeId="0" xr:uid="{35E533BA-AE69-4A6E-8005-D99DF4D95A87}">
      <text>
        <r>
          <rPr>
            <b/>
            <sz val="9"/>
            <color indexed="81"/>
            <rFont val="Tahoma"/>
            <family val="2"/>
          </rPr>
          <t>Fra Sinver del 29/02/24: 98,91€. 
Cargado: 01/03/24</t>
        </r>
      </text>
    </comment>
    <comment ref="AL109" authorId="0" shapeId="0" xr:uid="{236951CE-7C7F-41A9-A48F-8BED06139B04}">
      <text>
        <r>
          <rPr>
            <b/>
            <sz val="9"/>
            <color indexed="81"/>
            <rFont val="Tahoma"/>
            <family val="2"/>
          </rPr>
          <t>Fra Sinver del 31/03/24: 98,91€. 
Cargado: 02/04/24</t>
        </r>
      </text>
    </comment>
    <comment ref="AM109" authorId="0" shapeId="0" xr:uid="{9407722C-1DF2-4E0A-9FDF-74C0D264BA30}">
      <text>
        <r>
          <rPr>
            <b/>
            <sz val="9"/>
            <color indexed="81"/>
            <rFont val="Tahoma"/>
            <family val="2"/>
          </rPr>
          <t xml:space="preserve">Fra Sinver del </t>
        </r>
        <r>
          <rPr>
            <sz val="9"/>
            <color indexed="81"/>
            <rFont val="Tahoma"/>
            <family val="2"/>
          </rPr>
          <t>30/04/24: 98,91€. 
Cargado: 02/05/24.</t>
        </r>
      </text>
    </comment>
    <comment ref="AN109" authorId="0" shapeId="0" xr:uid="{041E147E-ADDC-433E-8B96-B352568B1A1A}">
      <text>
        <r>
          <rPr>
            <b/>
            <sz val="9"/>
            <color indexed="81"/>
            <rFont val="Tahoma"/>
            <family val="2"/>
          </rPr>
          <t xml:space="preserve">Fra Sinver del </t>
        </r>
        <r>
          <rPr>
            <sz val="9"/>
            <color indexed="81"/>
            <rFont val="Tahoma"/>
            <family val="2"/>
          </rPr>
          <t>31/05/24: 98,91€. 
Cargado: 01/06/24.</t>
        </r>
      </text>
    </comment>
    <comment ref="AO109" authorId="0" shapeId="0" xr:uid="{4E67942C-A6C5-4A37-AC62-00C63B37354B}">
      <text>
        <r>
          <rPr>
            <b/>
            <sz val="9"/>
            <color indexed="81"/>
            <rFont val="Tahoma"/>
            <family val="2"/>
          </rPr>
          <t xml:space="preserve">Fra Sinver del 30/06/24: </t>
        </r>
        <r>
          <rPr>
            <sz val="9"/>
            <color indexed="81"/>
            <rFont val="Tahoma"/>
            <family val="2"/>
          </rPr>
          <t xml:space="preserve">98,91€
Domiciliado: 01/07/24
---------------------------------
</t>
        </r>
        <r>
          <rPr>
            <b/>
            <sz val="9"/>
            <color indexed="81"/>
            <rFont val="Tahoma"/>
            <family val="2"/>
          </rPr>
          <t>Fra Sinver del 31/07/24:</t>
        </r>
        <r>
          <rPr>
            <sz val="9"/>
            <color indexed="81"/>
            <rFont val="Tahoma"/>
            <family val="2"/>
          </rPr>
          <t xml:space="preserve"> 98,91€
Domiciliado: 30/07/24</t>
        </r>
      </text>
    </comment>
    <comment ref="AU109" authorId="2" shapeId="0" xr:uid="{65E9EF6F-448E-4884-A5C7-2B1E3D026D94}">
      <text>
        <r>
          <rPr>
            <b/>
            <sz val="9"/>
            <color indexed="81"/>
            <rFont val="Tahoma"/>
            <family val="2"/>
          </rPr>
          <t xml:space="preserve">Fra Sinver del 31/08/24: 98,91€
</t>
        </r>
        <r>
          <rPr>
            <sz val="9"/>
            <color indexed="81"/>
            <rFont val="Tahoma"/>
            <family val="2"/>
          </rPr>
          <t>Domiciliado: 01/09/24</t>
        </r>
      </text>
    </comment>
    <comment ref="AV109" authorId="2" shapeId="0" xr:uid="{FB988A1F-BBCB-45BE-AF85-3CDB19E4852A}">
      <text>
        <r>
          <rPr>
            <b/>
            <sz val="9"/>
            <color indexed="81"/>
            <rFont val="Tahoma"/>
            <family val="2"/>
          </rPr>
          <t>Maria:</t>
        </r>
        <r>
          <rPr>
            <sz val="9"/>
            <color indexed="81"/>
            <rFont val="Tahoma"/>
            <family val="2"/>
          </rPr>
          <t xml:space="preserve">
</t>
        </r>
        <r>
          <rPr>
            <b/>
            <sz val="9"/>
            <color indexed="81"/>
            <rFont val="Tahoma"/>
            <family val="2"/>
          </rPr>
          <t>Fra Sinver del 30/09/24: 168,73</t>
        </r>
        <r>
          <rPr>
            <sz val="9"/>
            <color indexed="81"/>
            <rFont val="Tahoma"/>
            <family val="2"/>
          </rPr>
          <t xml:space="preserve">
Domiciliado: 01/10/24</t>
        </r>
      </text>
    </comment>
    <comment ref="AW109" authorId="2" shapeId="0" xr:uid="{DA432FA4-76CA-4911-8805-59A857E6ED2F}">
      <text>
        <r>
          <rPr>
            <b/>
            <sz val="9"/>
            <color indexed="81"/>
            <rFont val="Tahoma"/>
            <family val="2"/>
          </rPr>
          <t>Maria:</t>
        </r>
        <r>
          <rPr>
            <sz val="9"/>
            <color indexed="81"/>
            <rFont val="Tahoma"/>
            <family val="2"/>
          </rPr>
          <t xml:space="preserve">
Fra Sinver del 31/10/24: 168,73
Domiciliado: 04/11/24</t>
        </r>
      </text>
    </comment>
    <comment ref="AX109" authorId="2" shapeId="0" xr:uid="{626A26EA-8E77-477B-9432-1D268D9151BE}">
      <text>
        <r>
          <rPr>
            <b/>
            <sz val="9"/>
            <color indexed="81"/>
            <rFont val="Tahoma"/>
            <family val="2"/>
          </rPr>
          <t>Maria:</t>
        </r>
        <r>
          <rPr>
            <sz val="9"/>
            <color indexed="81"/>
            <rFont val="Tahoma"/>
            <family val="2"/>
          </rPr>
          <t xml:space="preserve">
Fra Sinver del 30/11/24: 98,91
Domiciliado: 02/12/24</t>
        </r>
      </text>
    </comment>
    <comment ref="AY109" authorId="2" shapeId="0" xr:uid="{0CDCACA4-FE7D-466A-8B39-3E82B229AD49}">
      <text>
        <r>
          <rPr>
            <b/>
            <sz val="9"/>
            <color indexed="81"/>
            <rFont val="Tahoma"/>
            <family val="2"/>
          </rPr>
          <t>Maria:</t>
        </r>
        <r>
          <rPr>
            <sz val="9"/>
            <color indexed="81"/>
            <rFont val="Tahoma"/>
            <family val="2"/>
          </rPr>
          <t xml:space="preserve">
Fra Sinver del 31/12/24: 98,91
Domiciliado: 02/01/24</t>
        </r>
      </text>
    </comment>
    <comment ref="AZ109" authorId="2" shapeId="0" xr:uid="{A556FC61-84A1-4041-840C-6727B766C5B5}">
      <text>
        <r>
          <rPr>
            <sz val="9"/>
            <color indexed="81"/>
            <rFont val="Tahoma"/>
            <family val="2"/>
          </rPr>
          <t>Fra Sinver del 31/01/25: 98,91
Domiciliado: 03/02/2025</t>
        </r>
      </text>
    </comment>
    <comment ref="BA109" authorId="2" shapeId="0" xr:uid="{8E2E7B80-7D65-4EB6-89A3-CEC52CF8604B}">
      <text>
        <r>
          <rPr>
            <b/>
            <sz val="9"/>
            <color indexed="81"/>
            <rFont val="Tahoma"/>
            <family val="2"/>
          </rPr>
          <t>Maria:</t>
        </r>
        <r>
          <rPr>
            <sz val="9"/>
            <color indexed="81"/>
            <rFont val="Tahoma"/>
            <family val="2"/>
          </rPr>
          <t xml:space="preserve">
Fra Sinver del 28/02/25.
</t>
        </r>
      </text>
    </comment>
    <comment ref="BB109" authorId="2" shapeId="0" xr:uid="{642A51B4-04DC-4666-B765-4D46655DA3C7}">
      <text>
        <r>
          <rPr>
            <b/>
            <sz val="9"/>
            <color indexed="81"/>
            <rFont val="Tahoma"/>
            <family val="2"/>
          </rPr>
          <t>Maria:</t>
        </r>
        <r>
          <rPr>
            <sz val="9"/>
            <color indexed="81"/>
            <rFont val="Tahoma"/>
            <family val="2"/>
          </rPr>
          <t xml:space="preserve">
Fra Sinver del 31/03/25.
</t>
        </r>
      </text>
    </comment>
    <comment ref="BC109" authorId="2" shapeId="0" xr:uid="{5FCA1B73-B818-4D5A-9FC9-1F59BD6260E0}">
      <text>
        <r>
          <rPr>
            <b/>
            <sz val="9"/>
            <color indexed="81"/>
            <rFont val="Tahoma"/>
            <family val="2"/>
          </rPr>
          <t>Maria:</t>
        </r>
        <r>
          <rPr>
            <sz val="9"/>
            <color indexed="81"/>
            <rFont val="Tahoma"/>
            <family val="2"/>
          </rPr>
          <t xml:space="preserve">
Fra Sinver del 30/04/25: 101,66.
Cargado: 01/05/25</t>
        </r>
      </text>
    </comment>
    <comment ref="BD109" authorId="2" shapeId="0" xr:uid="{A3F290E1-9FF2-42B6-8714-2048060A75B8}">
      <text>
        <r>
          <rPr>
            <b/>
            <sz val="9"/>
            <color indexed="81"/>
            <rFont val="Tahoma"/>
            <family val="2"/>
          </rPr>
          <t>Maria:</t>
        </r>
        <r>
          <rPr>
            <sz val="9"/>
            <color indexed="81"/>
            <rFont val="Tahoma"/>
            <family val="2"/>
          </rPr>
          <t xml:space="preserve">
Fra Sinver del 31/05/25: 130,70.
Cargado: 02/06/25</t>
        </r>
      </text>
    </comment>
    <comment ref="BE109" authorId="2" shapeId="0" xr:uid="{0496774F-D45B-4BA4-8087-097DFE0103B9}">
      <text>
        <r>
          <rPr>
            <b/>
            <sz val="9"/>
            <color indexed="81"/>
            <rFont val="Tahoma"/>
            <family val="2"/>
          </rPr>
          <t>Maria:</t>
        </r>
        <r>
          <rPr>
            <sz val="9"/>
            <color indexed="81"/>
            <rFont val="Tahoma"/>
            <family val="2"/>
          </rPr>
          <t xml:space="preserve">
Fra Sinver del 31/06/25: 130,70.
Cargado: 01/07/25</t>
        </r>
      </text>
    </comment>
    <comment ref="BJ109" authorId="2" shapeId="0" xr:uid="{03F2E1D4-F675-4DBE-B106-F485ECA213A7}">
      <text>
        <r>
          <rPr>
            <b/>
            <sz val="9"/>
            <color indexed="81"/>
            <rFont val="Tahoma"/>
            <family val="2"/>
          </rPr>
          <t>Maria:</t>
        </r>
        <r>
          <rPr>
            <sz val="9"/>
            <color indexed="81"/>
            <rFont val="Tahoma"/>
            <family val="2"/>
          </rPr>
          <t xml:space="preserve">
Fra Sinver del 31/08/25: 101,66€
Cargado: </t>
        </r>
      </text>
    </comment>
    <comment ref="BK109" authorId="2" shapeId="0" xr:uid="{6AEAA6F7-1F4F-4E32-8D8D-8393AF276DF2}">
      <text>
        <r>
          <rPr>
            <b/>
            <sz val="9"/>
            <color indexed="81"/>
            <rFont val="Tahoma"/>
            <family val="2"/>
          </rPr>
          <t>Maria:</t>
        </r>
        <r>
          <rPr>
            <sz val="9"/>
            <color indexed="81"/>
            <rFont val="Tahoma"/>
            <family val="2"/>
          </rPr>
          <t xml:space="preserve">
Fra Sinver del 30/09/25: 101,66€
Cargado: 
-------------------------------
Fra Sinver del 31/10/25: 164,82€
Cargado: 
-------------------------------</t>
        </r>
      </text>
    </comment>
    <comment ref="BM109" authorId="2" shapeId="0" xr:uid="{BC8A5588-FB2F-4C66-A32F-5D72E573B007}">
      <text>
        <r>
          <rPr>
            <b/>
            <sz val="9"/>
            <color indexed="81"/>
            <rFont val="Tahoma"/>
            <family val="2"/>
          </rPr>
          <t>Maria:</t>
        </r>
        <r>
          <rPr>
            <sz val="9"/>
            <color indexed="81"/>
            <rFont val="Tahoma"/>
            <family val="2"/>
          </rPr>
          <t xml:space="preserve">
Fra Sinver del 30/11/25: 164,82€
Cargado: 
-------------------------------
Fra Sinver del 31/12/25: 164,82€
Cargado: 
-------------------------------</t>
        </r>
      </text>
    </comment>
    <comment ref="BO109" authorId="2" shapeId="0" xr:uid="{9C94A404-11CA-4D14-86BE-9B6DCD7EC879}">
      <text>
        <r>
          <rPr>
            <b/>
            <sz val="9"/>
            <color indexed="81"/>
            <rFont val="Tahoma"/>
            <family val="2"/>
          </rPr>
          <t>Maria:</t>
        </r>
        <r>
          <rPr>
            <sz val="9"/>
            <color indexed="81"/>
            <rFont val="Tahoma"/>
            <family val="2"/>
          </rPr>
          <t xml:space="preserve">
Fra Sinver del 21/01/26.
Domiciliado: 02/02/26. </t>
        </r>
      </text>
    </comment>
    <comment ref="BP109" authorId="2" shapeId="0" xr:uid="{495D8501-0953-448A-AFB4-6B572FE078D0}">
      <text>
        <r>
          <rPr>
            <b/>
            <sz val="9"/>
            <color indexed="81"/>
            <rFont val="Tahoma"/>
            <family val="2"/>
          </rPr>
          <t>Maria:</t>
        </r>
        <r>
          <rPr>
            <sz val="9"/>
            <color indexed="81"/>
            <rFont val="Tahoma"/>
            <family val="2"/>
          </rPr>
          <t xml:space="preserve">
Fra Sinver del 27/02/26.
Domiciliado: 02/03/26
-----------------------------
Fra Sinver del 27/03/26.
Domiciliado: 02/03/26
-----------------------------</t>
        </r>
      </text>
    </comment>
    <comment ref="BR109" authorId="2" shapeId="0" xr:uid="{22F87C2D-6A10-447F-AC8D-D030A1BD95DE}">
      <text>
        <r>
          <rPr>
            <b/>
            <sz val="9"/>
            <color indexed="81"/>
            <rFont val="Tahoma"/>
            <family val="2"/>
          </rPr>
          <t>Maria:</t>
        </r>
        <r>
          <rPr>
            <sz val="9"/>
            <color indexed="81"/>
            <rFont val="Tahoma"/>
            <family val="2"/>
          </rPr>
          <t xml:space="preserve">
Fra Sinver del 29/04/26.
Domiciliado: 04/05/26.</t>
        </r>
      </text>
    </comment>
    <comment ref="BS109" authorId="2" shapeId="0" xr:uid="{146E3577-3E9F-4704-824A-DEBCC04F3BE4}">
      <text>
        <r>
          <rPr>
            <b/>
            <sz val="9"/>
            <color indexed="81"/>
            <rFont val="Tahoma"/>
            <family val="2"/>
          </rPr>
          <t>Maria:</t>
        </r>
        <r>
          <rPr>
            <sz val="9"/>
            <color indexed="81"/>
            <rFont val="Tahoma"/>
            <family val="2"/>
          </rPr>
          <t xml:space="preserve">
Fra Sinver del 27/05/26.
Domiciliado: </t>
        </r>
      </text>
    </comment>
    <comment ref="AJ110" authorId="0" shapeId="0" xr:uid="{FEE79CC0-5C46-4934-BAEC-A033D4F1C83E}">
      <text>
        <r>
          <rPr>
            <b/>
            <sz val="9"/>
            <color indexed="81"/>
            <rFont val="Tahoma"/>
            <family val="2"/>
          </rPr>
          <t>Comision caja rural: 2,00€
14/02/24.</t>
        </r>
      </text>
    </comment>
    <comment ref="AO110" authorId="0" shapeId="0" xr:uid="{64DE9EDD-8670-48D5-9F2C-75FFFC27D094}">
      <text>
        <r>
          <rPr>
            <sz val="9"/>
            <color indexed="81"/>
            <rFont val="Tahoma"/>
            <family val="2"/>
          </rPr>
          <t>COMISION CAJA RURAL: 01/07/24</t>
        </r>
      </text>
    </comment>
    <comment ref="AP110" authorId="0" shapeId="0" xr:uid="{C18040C5-ED0E-45A4-B7D9-B1526B8C5640}">
      <text>
        <r>
          <rPr>
            <b/>
            <sz val="9"/>
            <color indexed="81"/>
            <rFont val="Tahoma"/>
            <family val="2"/>
          </rPr>
          <t>Comision caja rural: 13,41€
21/08/24.
----------------------
Comision caja rural: 13,54€
21/08/24.
----------------------
Comision caja rural: 16,79€
22/08/24.
----------------------
Comision caja rural: 2€
22/08/24.</t>
        </r>
      </text>
    </comment>
    <comment ref="AU110" authorId="2" shapeId="0" xr:uid="{328568AC-19AA-4E8F-803B-584B81FF65B4}">
      <text>
        <r>
          <rPr>
            <b/>
            <sz val="9"/>
            <color indexed="81"/>
            <rFont val="Tahoma"/>
            <family val="2"/>
          </rPr>
          <t>Maria:</t>
        </r>
        <r>
          <rPr>
            <sz val="9"/>
            <color indexed="81"/>
            <rFont val="Tahoma"/>
            <family val="2"/>
          </rPr>
          <t xml:space="preserve">
Comision caja rural.
Cargado:28/09/24</t>
        </r>
      </text>
    </comment>
    <comment ref="AV110" authorId="2" shapeId="0" xr:uid="{C4B5C66C-9170-43AE-86A0-AEFBFD876294}">
      <text>
        <r>
          <rPr>
            <sz val="9"/>
            <color indexed="81"/>
            <rFont val="Tahoma"/>
            <family val="2"/>
          </rPr>
          <t>15€: Comision traspaso de caja rural a Caixa.
Cargado: 23/10/24</t>
        </r>
      </text>
    </comment>
    <comment ref="AW110" authorId="2" shapeId="0" xr:uid="{12E2FA3F-28CA-4D70-ABA9-8CECDC00C45F}">
      <text>
        <r>
          <rPr>
            <b/>
            <sz val="9"/>
            <color indexed="81"/>
            <rFont val="Tahoma"/>
            <family val="2"/>
          </rPr>
          <t>Maria:</t>
        </r>
        <r>
          <rPr>
            <sz val="9"/>
            <color indexed="81"/>
            <rFont val="Tahoma"/>
            <family val="2"/>
          </rPr>
          <t xml:space="preserve">
21€: Comision traspaso de caja rural a Caixa.
Cargado: 06/11/24
------------------------------
4,06€: TASA JUNTA DE ANDALUCIA
20,79€: TASA JUNTA DE ANDALUCIA
--------------------------------------------
Pago </t>
        </r>
      </text>
    </comment>
    <comment ref="AX110" authorId="2" shapeId="0" xr:uid="{183CC5AC-9FEA-4D84-9D03-12FBDCA69D44}">
      <text>
        <r>
          <rPr>
            <b/>
            <sz val="9"/>
            <color indexed="81"/>
            <rFont val="Tahoma"/>
            <family val="2"/>
          </rPr>
          <t>Maria:</t>
        </r>
        <r>
          <rPr>
            <sz val="9"/>
            <color indexed="81"/>
            <rFont val="Tahoma"/>
            <family val="2"/>
          </rPr>
          <t xml:space="preserve">
Comisiones caja rural: 29/12/24.
comision traspaso 7,95: 24/12/24.</t>
        </r>
      </text>
    </comment>
    <comment ref="AZ110" authorId="2" shapeId="0" xr:uid="{27523AC2-A5B6-4BE8-B77F-9739FA7F50A1}">
      <text>
        <r>
          <rPr>
            <b/>
            <sz val="9"/>
            <color indexed="81"/>
            <rFont val="Tahoma"/>
            <family val="2"/>
          </rPr>
          <t>Maria:</t>
        </r>
        <r>
          <rPr>
            <sz val="9"/>
            <color indexed="81"/>
            <rFont val="Tahoma"/>
            <family val="2"/>
          </rPr>
          <t xml:space="preserve">
Comsion otros certificados: 120,00€. </t>
        </r>
      </text>
    </comment>
    <comment ref="BA110" authorId="2" shapeId="0" xr:uid="{2A59EC01-D32D-4381-BD92-D46D8C9C701A}">
      <text>
        <r>
          <rPr>
            <b/>
            <sz val="9"/>
            <color indexed="81"/>
            <rFont val="Tahoma"/>
            <family val="2"/>
          </rPr>
          <t>Maria:</t>
        </r>
        <r>
          <rPr>
            <sz val="9"/>
            <color indexed="81"/>
            <rFont val="Tahoma"/>
            <family val="2"/>
          </rPr>
          <t xml:space="preserve">
Comision caja rural. </t>
        </r>
      </text>
    </comment>
    <comment ref="BC110" authorId="2" shapeId="0" xr:uid="{F5A2EF0F-9876-4FB3-8D1B-7D11B6451958}">
      <text>
        <r>
          <rPr>
            <b/>
            <sz val="9"/>
            <color indexed="81"/>
            <rFont val="Tahoma"/>
            <family val="2"/>
          </rPr>
          <t>Maria:</t>
        </r>
        <r>
          <rPr>
            <sz val="9"/>
            <color indexed="81"/>
            <rFont val="Tahoma"/>
            <family val="2"/>
          </rPr>
          <t xml:space="preserve">
Comision devolucion de recibo: 3,00€. </t>
        </r>
      </text>
    </comment>
    <comment ref="BD110" authorId="2" shapeId="0" xr:uid="{C171F438-2B15-4B5B-99DB-D294D1307400}">
      <text>
        <r>
          <rPr>
            <b/>
            <sz val="9"/>
            <color indexed="81"/>
            <rFont val="Tahoma"/>
            <family val="2"/>
          </rPr>
          <t>Maria:</t>
        </r>
        <r>
          <rPr>
            <sz val="9"/>
            <color indexed="81"/>
            <rFont val="Tahoma"/>
            <family val="2"/>
          </rPr>
          <t xml:space="preserve">
Comisión caja rural: 40,00€. 
Cargado: 29/06/25</t>
        </r>
      </text>
    </comment>
    <comment ref="BN110" authorId="2" shapeId="0" xr:uid="{809504B9-9E13-4E16-9C63-488A8916120C}">
      <text>
        <r>
          <rPr>
            <b/>
            <sz val="9"/>
            <color indexed="81"/>
            <rFont val="Tahoma"/>
            <family val="2"/>
          </rPr>
          <t>Maria:</t>
        </r>
        <r>
          <rPr>
            <sz val="9"/>
            <color indexed="81"/>
            <rFont val="Tahoma"/>
            <family val="2"/>
          </rPr>
          <t xml:space="preserve">
Comision banca a distancia: 10€. 
--------------------------
Liquid cuenta a la vista: 40,00€. </t>
        </r>
      </text>
    </comment>
    <comment ref="AH112" authorId="0" shapeId="0" xr:uid="{A88C3CB1-45BA-49B0-943A-637A97B3BC0A}">
      <text>
        <r>
          <rPr>
            <b/>
            <sz val="9"/>
            <color indexed="81"/>
            <rFont val="Tahoma"/>
            <family val="2"/>
          </rPr>
          <t xml:space="preserve">Valora Prevención 
</t>
        </r>
        <r>
          <rPr>
            <sz val="9"/>
            <color indexed="81"/>
            <rFont val="Tahoma"/>
            <family val="2"/>
          </rPr>
          <t>Cuota anual: 542,58€.
Domiciliacion en Caixa Nixal Agri: Vcmto 24/12/23
Cargado: 27/12/23</t>
        </r>
      </text>
    </comment>
    <comment ref="AX112" authorId="0" shapeId="0" xr:uid="{FF36A0AE-30A1-4DDB-85E8-87A3A2DD6CE7}">
      <text>
        <r>
          <rPr>
            <b/>
            <sz val="9"/>
            <color indexed="81"/>
            <rFont val="Tahoma"/>
            <family val="2"/>
          </rPr>
          <t xml:space="preserve">Valora Prevención
</t>
        </r>
        <r>
          <rPr>
            <sz val="9"/>
            <color indexed="81"/>
            <rFont val="Tahoma"/>
            <family val="2"/>
          </rPr>
          <t xml:space="preserve">Fra del 15/11/24: </t>
        </r>
        <r>
          <rPr>
            <b/>
            <sz val="9"/>
            <color indexed="81"/>
            <rFont val="Tahoma"/>
            <family val="2"/>
          </rPr>
          <t xml:space="preserve">
</t>
        </r>
        <r>
          <rPr>
            <sz val="9"/>
            <color indexed="81"/>
            <rFont val="Tahoma"/>
            <family val="2"/>
          </rPr>
          <t>Cuota anual: 550,71€.
Domiciliacion en Caixa Nixal Agri: Vcmto 15/12/24
Cargado: 13/12/24</t>
        </r>
      </text>
    </comment>
    <comment ref="BM112" authorId="0" shapeId="0" xr:uid="{A337D3BF-D661-4C7F-9CF7-119C8ADE47F6}">
      <text>
        <r>
          <rPr>
            <b/>
            <sz val="9"/>
            <color indexed="81"/>
            <rFont val="Tahoma"/>
            <family val="2"/>
          </rPr>
          <t xml:space="preserve">Valora Prevención 
</t>
        </r>
        <r>
          <rPr>
            <sz val="9"/>
            <color indexed="81"/>
            <rFont val="Tahoma"/>
            <family val="2"/>
          </rPr>
          <t>Cuota anual: 524,21€.</t>
        </r>
      </text>
    </comment>
    <comment ref="CB112" authorId="0" shapeId="0" xr:uid="{9273352F-E865-4459-B5FA-F9FF5AF11B5C}">
      <text>
        <r>
          <rPr>
            <b/>
            <sz val="9"/>
            <color indexed="81"/>
            <rFont val="Tahoma"/>
            <family val="2"/>
          </rPr>
          <t xml:space="preserve">Valora Prevención 
</t>
        </r>
        <r>
          <rPr>
            <sz val="9"/>
            <color indexed="81"/>
            <rFont val="Tahoma"/>
            <family val="2"/>
          </rPr>
          <t>Cuota anual</t>
        </r>
      </text>
    </comment>
    <comment ref="CQ112" authorId="0" shapeId="0" xr:uid="{D75A8498-EC02-48BD-B563-28390E0118C1}">
      <text>
        <r>
          <rPr>
            <b/>
            <sz val="9"/>
            <color indexed="81"/>
            <rFont val="Tahoma"/>
            <family val="2"/>
          </rPr>
          <t xml:space="preserve">Valora Prevención 
</t>
        </r>
        <r>
          <rPr>
            <sz val="9"/>
            <color indexed="81"/>
            <rFont val="Tahoma"/>
            <family val="2"/>
          </rPr>
          <t>Cuota anual</t>
        </r>
      </text>
    </comment>
    <comment ref="AG115" authorId="0" shapeId="0" xr:uid="{1FBBE4CD-CA53-4FA4-90A2-06AB371F1854}">
      <text>
        <r>
          <rPr>
            <b/>
            <sz val="9"/>
            <color indexed="81"/>
            <rFont val="Tahoma"/>
            <family val="2"/>
          </rPr>
          <t xml:space="preserve">Fra Fuel Andevalo del 31/10/23.
</t>
        </r>
        <r>
          <rPr>
            <sz val="9"/>
            <color indexed="81"/>
            <rFont val="Tahoma"/>
            <family val="2"/>
          </rPr>
          <t>Butano:79,00€. 
Transferencia realizada el 07/11/23
-----------------------------------------------</t>
        </r>
      </text>
    </comment>
    <comment ref="AH115" authorId="0" shapeId="0" xr:uid="{23BD2EC1-7604-49F5-BC2D-6B302FD6463F}">
      <text>
        <r>
          <rPr>
            <b/>
            <sz val="9"/>
            <color indexed="81"/>
            <rFont val="Tahoma"/>
            <family val="2"/>
          </rPr>
          <t xml:space="preserve">Fra Fuel Andevalo del 30/11/23.
</t>
        </r>
        <r>
          <rPr>
            <sz val="9"/>
            <color indexed="81"/>
            <rFont val="Tahoma"/>
            <family val="2"/>
          </rPr>
          <t>Butano: 189,61€. 
Pendiente realizar transferencia. 
Transf. Caixa realizada el 18/12/23
-----------------------------------------------</t>
        </r>
      </text>
    </comment>
    <comment ref="AE116" authorId="2" shapeId="0" xr:uid="{BF73769B-D6CC-4401-B7A1-0DBC9DE23A13}">
      <text>
        <r>
          <rPr>
            <b/>
            <sz val="9"/>
            <color indexed="81"/>
            <rFont val="Tahoma"/>
            <family val="2"/>
          </rPr>
          <t>Maria:</t>
        </r>
        <r>
          <rPr>
            <sz val="9"/>
            <color indexed="81"/>
            <rFont val="Tahoma"/>
            <family val="2"/>
          </rPr>
          <t xml:space="preserve">
4256,95 pagado a Alberto de Caja el 4/9/23
</t>
        </r>
      </text>
    </comment>
    <comment ref="AG116" authorId="4" shapeId="0" xr:uid="{1820AA5D-320A-4A35-B392-3820314EA62E}">
      <text>
        <r>
          <rPr>
            <sz val="9"/>
            <color indexed="81"/>
            <rFont val="Tahoma"/>
            <family val="2"/>
          </rPr>
          <t xml:space="preserve">Ticket Supermercado El Jamón del 14/11/23.
Comida: 111,48€. 
Transferencia Caixa realizada a Alfonso el 16/11/23.
</t>
        </r>
      </text>
    </comment>
    <comment ref="AH116" authorId="0" shapeId="0" xr:uid="{CFE70A15-2EEA-4D17-9447-FE56AEBC4140}">
      <text>
        <r>
          <rPr>
            <sz val="9"/>
            <color indexed="81"/>
            <rFont val="Tahoma"/>
            <family val="2"/>
          </rPr>
          <t xml:space="preserve">19,63 Extracto VISA 01/12/23
</t>
        </r>
      </text>
    </comment>
    <comment ref="AI116" authorId="0" shapeId="0" xr:uid="{EB9FD544-2787-4188-A922-C6242E152923}">
      <text>
        <r>
          <rPr>
            <b/>
            <sz val="9"/>
            <color indexed="81"/>
            <rFont val="Tahoma"/>
            <family val="2"/>
          </rPr>
          <t>983,96 Extracto VISA 01/12/23
20
20 Compra en Santabarbero por Mariano para comida Navidad. De caja</t>
        </r>
      </text>
    </comment>
    <comment ref="AJ116" authorId="0" shapeId="0" xr:uid="{3CA45A3D-D44A-4482-9273-7E53BF629237}">
      <text>
        <r>
          <rPr>
            <b/>
            <sz val="9"/>
            <color indexed="81"/>
            <rFont val="Tahoma"/>
            <family val="2"/>
          </rPr>
          <t>Extracto VISA 01/01/24</t>
        </r>
      </text>
    </comment>
    <comment ref="AK116" authorId="4" shapeId="0" xr:uid="{C2ABA975-E53A-428D-90BA-3A8542DB1479}">
      <text>
        <r>
          <rPr>
            <b/>
            <sz val="9"/>
            <color indexed="81"/>
            <rFont val="Tahoma"/>
            <family val="2"/>
          </rPr>
          <t xml:space="preserve">561,64€
---------------------------
The Regen Academy:
</t>
        </r>
        <r>
          <rPr>
            <sz val="9"/>
            <color indexed="81"/>
            <rFont val="Tahoma"/>
            <family val="2"/>
          </rPr>
          <t>Fra del 02/04/24:
1599€: Master de agricultura regenerativa
Transferencia Caixa realizada el 25/03/24
--------------------------------</t>
        </r>
      </text>
    </comment>
    <comment ref="AM116" authorId="4" shapeId="0" xr:uid="{F4BFFE26-A187-4356-8F6C-81584EAFC692}">
      <text>
        <r>
          <rPr>
            <sz val="9"/>
            <color indexed="81"/>
            <rFont val="Tahoma"/>
            <family val="2"/>
          </rPr>
          <t>179,52€: Devolución desde Caixa REFO por pago con VISA NA de la fra de Turbepal el 15/04/24
Ingresado Caixa NA: 14/05/24
---------------------------------
Fra del 06/05/24:
viajes triana: 135,40€. 
Transferencia realizada el 29/05/24</t>
        </r>
      </text>
    </comment>
    <comment ref="AU116" authorId="2" shapeId="0" xr:uid="{C881C961-CD1D-446A-9E3F-4DA5CF8204AA}">
      <text>
        <r>
          <rPr>
            <b/>
            <sz val="9"/>
            <color indexed="81"/>
            <rFont val="Tahoma"/>
            <family val="2"/>
          </rPr>
          <t>Maria: VISA cargado el 01/09/24.</t>
        </r>
        <r>
          <rPr>
            <sz val="9"/>
            <color indexed="81"/>
            <rFont val="Tahoma"/>
            <family val="2"/>
          </rPr>
          <t xml:space="preserve">
</t>
        </r>
      </text>
    </comment>
    <comment ref="AV116" authorId="2" shapeId="0" xr:uid="{03205DD9-DCE3-4083-817F-BFC791AC6A85}">
      <text>
        <r>
          <rPr>
            <b/>
            <sz val="9"/>
            <color indexed="81"/>
            <rFont val="Tahoma"/>
            <family val="2"/>
          </rPr>
          <t>Maria:</t>
        </r>
        <r>
          <rPr>
            <sz val="9"/>
            <color indexed="81"/>
            <rFont val="Tahoma"/>
            <family val="2"/>
          </rPr>
          <t xml:space="preserve">
VISA Cargado el 01/10/24.</t>
        </r>
      </text>
    </comment>
    <comment ref="BM116" authorId="4" shapeId="0" xr:uid="{5246E25A-9758-42ED-82B0-45989582C3B7}">
      <text/>
    </comment>
    <comment ref="BO116" authorId="1" shapeId="0" xr:uid="{1817270F-C4E6-48E2-B9AC-FE1616BAB4D3}">
      <text>
        <r>
          <rPr>
            <sz val="9"/>
            <color indexed="81"/>
            <rFont val="Tahoma"/>
            <family val="2"/>
          </rPr>
          <t>20 loteria navidad equipo finca. De caja el 17.2.26
7 Eur a mariano para cuadrar, por la gestión de caja. De caja el 17.2.26</t>
        </r>
      </text>
    </comment>
    <comment ref="AF117" authorId="1" shapeId="0" xr:uid="{938296FB-902B-4A7A-A4DE-315B7D1FAE4E}">
      <text>
        <r>
          <rPr>
            <sz val="9"/>
            <color indexed="81"/>
            <rFont val="Tahoma"/>
            <family val="2"/>
          </rPr>
          <t>-0,01 ajuste saldo por decimales</t>
        </r>
      </text>
    </comment>
    <comment ref="AK117" authorId="1" shapeId="0" xr:uid="{1FFD99FE-A0B9-47C7-B8D1-B1387C72D8BF}">
      <text>
        <r>
          <rPr>
            <sz val="9"/>
            <color indexed="81"/>
            <rFont val="Tahoma"/>
            <family val="2"/>
          </rPr>
          <t>-0,01 ajuste saldo por decimales o descuadres pequeños. Al final de año se cuadran. Ver que hay puesto en fecha equivocada</t>
        </r>
      </text>
    </comment>
    <comment ref="AL117" authorId="1" shapeId="0" xr:uid="{8F4C0A3C-E185-41D4-B768-16B217734CC5}">
      <text>
        <r>
          <rPr>
            <sz val="9"/>
            <color indexed="81"/>
            <rFont val="Tahoma"/>
            <family val="2"/>
          </rPr>
          <t>-0,01 ajuste saldo por decimales</t>
        </r>
      </text>
    </comment>
    <comment ref="AN117" authorId="1" shapeId="0" xr:uid="{CB97F1D5-39FC-4551-B7F6-AA45957BF820}">
      <text>
        <r>
          <rPr>
            <sz val="9"/>
            <color indexed="81"/>
            <rFont val="Tahoma"/>
            <family val="2"/>
          </rPr>
          <t>-0,01 ajuste saldo por decimales o descuadres pequeños. Al final de año se cuadran. Ver que hay puesto en fecha equivocada</t>
        </r>
      </text>
    </comment>
    <comment ref="AP117" authorId="1" shapeId="0" xr:uid="{7452761A-FF09-449D-B2CB-4750AA31F9FE}">
      <text>
        <r>
          <rPr>
            <sz val="9"/>
            <color indexed="81"/>
            <rFont val="Tahoma"/>
            <family val="2"/>
          </rPr>
          <t>-0,01 ajuste saldo por decimales o descuadres pequeños. Al final de año se cuadran. Ver que hay puesto en fecha equivocada</t>
        </r>
      </text>
    </comment>
    <comment ref="BM117" authorId="1" shapeId="0" xr:uid="{B9AE1E95-A148-4E49-9D0F-23F510ABEDDD}">
      <text>
        <r>
          <rPr>
            <b/>
            <sz val="9"/>
            <color indexed="81"/>
            <rFont val="Tahoma"/>
            <family val="2"/>
          </rPr>
          <t xml:space="preserve">20 lotería Mariano, de caja el 17/12/25
75 ayudante comida equipo finca (Laura) de caja el 17/12/25
-------------------------------------
Fra Viveros Belladama del 22/12/25:
</t>
        </r>
        <r>
          <rPr>
            <sz val="9"/>
            <color indexed="81"/>
            <rFont val="Tahoma"/>
            <family val="2"/>
          </rPr>
          <t>106,73€: Plantas para la casa
29/12/25: OK ALF pagar a Mariano
Transf. Caixa realizada a Mariano: 29/12/25</t>
        </r>
      </text>
    </comment>
    <comment ref="AI118" authorId="0" shapeId="0" xr:uid="{F730D85F-7273-45C3-B8B0-8001FD6DEB43}">
      <text>
        <r>
          <rPr>
            <b/>
            <sz val="9"/>
            <color indexed="81"/>
            <rFont val="Tahoma"/>
            <family val="2"/>
          </rPr>
          <t xml:space="preserve">Juan romero
</t>
        </r>
        <r>
          <rPr>
            <sz val="9"/>
            <color indexed="81"/>
            <rFont val="Tahoma"/>
            <family val="2"/>
          </rPr>
          <t>Vacuna: 142,50€. 
Vacuna: 218,50€. 
----------------------------------
Fra Juan Romero del 11/01/24.
Vacuna: 296,80€. 
Pendiente realizar transferncia. 
Transferencia Caixa realizada el 29/01/24
----------------------------
Herraje ortopedico luna 120 Eur
Arreglo pezuñas otros tres caballos 30Eurx3 = 90 Eur
Total 210 Eur. Pagado de caja</t>
        </r>
      </text>
    </comment>
    <comment ref="AM118" authorId="0" shapeId="0" xr:uid="{C47C49C1-CE6A-4191-A754-799C8F1CF102}">
      <text>
        <r>
          <rPr>
            <b/>
            <sz val="9"/>
            <color indexed="81"/>
            <rFont val="Tahoma"/>
            <family val="2"/>
          </rPr>
          <t xml:space="preserve">Fra Casa del Ganadero del 24/05/24.
</t>
        </r>
        <r>
          <rPr>
            <sz val="9"/>
            <color indexed="81"/>
            <rFont val="Tahoma"/>
            <family val="2"/>
          </rPr>
          <t>Comida gallinas: 34€. 
Pendiente realizar transferencia. 
Transferencia realizada por el total 860,82€ el 29/05/24
----------------------------------
120 Herrado caballos
----------
Fra Casa del Ganadero del 24/05/24.
Pienso para gatos y perros: 235,41€. 
Pendiente realizar transferencia. 
Transferencia realizada por el total 860,82€ el 29/05/24
-------------------------</t>
        </r>
      </text>
    </comment>
    <comment ref="BA118" authorId="0" shapeId="0" xr:uid="{267752D0-9AD5-40EB-95BC-92073DE95335}">
      <text>
        <r>
          <rPr>
            <b/>
            <sz val="9"/>
            <color indexed="81"/>
            <rFont val="Tahoma"/>
            <family val="2"/>
          </rPr>
          <t xml:space="preserve">Juan romero
</t>
        </r>
        <r>
          <rPr>
            <sz val="9"/>
            <color indexed="81"/>
            <rFont val="Tahoma"/>
            <family val="2"/>
          </rPr>
          <t>Vacuna: 142,50€. 
Vacuna: 218,50€. 
------------------------------------
Fra Juan Romero del 14/01/25.
Vacunas: 120€+40€= 160€+IVA-IRPF: 169,60€. 
Pendiente realizar transferencia. 
Transferencia Caixa realizada el 04/03/25</t>
        </r>
      </text>
    </comment>
    <comment ref="BC118" authorId="1" shapeId="0" xr:uid="{EE8E1088-B2BF-415A-9072-CA92009DC792}">
      <text>
        <r>
          <rPr>
            <sz val="9"/>
            <color indexed="81"/>
            <rFont val="Tahoma"/>
            <family val="2"/>
          </rPr>
          <t>440 Herrado y arreglo pezuñas caballos</t>
        </r>
      </text>
    </comment>
    <comment ref="BE118" authorId="2" shapeId="0" xr:uid="{35F2CCD7-5697-48DD-8CEE-921F4D8DBD4F}">
      <text>
        <r>
          <rPr>
            <b/>
            <sz val="9"/>
            <color indexed="81"/>
            <rFont val="Tahoma"/>
            <family val="2"/>
          </rPr>
          <t>Maria:</t>
        </r>
        <r>
          <rPr>
            <sz val="9"/>
            <color indexed="81"/>
            <rFont val="Tahoma"/>
            <family val="2"/>
          </rPr>
          <t xml:space="preserve">
Fra Supermascotas Sevilla del 14/07/25.
transferncia realizada el 16/07/25.</t>
        </r>
      </text>
    </comment>
    <comment ref="BF118" authorId="2" shapeId="0" xr:uid="{DE8C7606-CF65-4A18-B619-595194D0299C}">
      <text>
        <r>
          <rPr>
            <b/>
            <sz val="9"/>
            <color indexed="81"/>
            <rFont val="Tahoma"/>
            <family val="2"/>
          </rPr>
          <t>Maria:</t>
        </r>
        <r>
          <rPr>
            <sz val="9"/>
            <color indexed="81"/>
            <rFont val="Tahoma"/>
            <family val="2"/>
          </rPr>
          <t xml:space="preserve">
Fra Supermascotas Sevilla del 19/08/25.
transferncia realizada el 21/08/25.</t>
        </r>
      </text>
    </comment>
    <comment ref="BJ118" authorId="2" shapeId="0" xr:uid="{115A24CA-F017-4393-B84A-F07B117C1CE0}">
      <text>
        <r>
          <rPr>
            <b/>
            <sz val="9"/>
            <color indexed="81"/>
            <rFont val="Tahoma"/>
            <family val="2"/>
          </rPr>
          <t>Maria:</t>
        </r>
        <r>
          <rPr>
            <sz val="9"/>
            <color indexed="81"/>
            <rFont val="Tahoma"/>
            <family val="2"/>
          </rPr>
          <t xml:space="preserve">
Fra Super mascotas del 16/09/25.
Comida perros: 48,90€. 
Transferencia realizada el 16/09/25.
--------------
Devolucion Alfonso bizum herrado caballos 23: 210 de caja
------------
Devolucion Alfonso bizum eduardo monta caballos 23: 150 de caja</t>
        </r>
      </text>
    </comment>
    <comment ref="BM118" authorId="2" shapeId="0" xr:uid="{BE63DC51-68AF-4873-B807-01EC13677606}">
      <text>
        <r>
          <rPr>
            <b/>
            <sz val="9"/>
            <color indexed="81"/>
            <rFont val="Tahoma"/>
            <family val="2"/>
          </rPr>
          <t>Maria:</t>
        </r>
        <r>
          <rPr>
            <sz val="9"/>
            <color indexed="81"/>
            <rFont val="Tahoma"/>
            <family val="2"/>
          </rPr>
          <t xml:space="preserve">
Fra Servivet del 10/12/25.
Perros y gatos: 12,10€.
Transferencia.
Transferencia realizada el 23/12/25
45 Eur de caja para pienso perros, el 17/12/25</t>
        </r>
      </text>
    </comment>
    <comment ref="BP118" authorId="0" shapeId="0" xr:uid="{C0727D85-B783-40DB-8593-5ECF2B1D06AB}">
      <text>
        <r>
          <rPr>
            <sz val="9"/>
            <color indexed="81"/>
            <rFont val="Tahoma"/>
            <family val="2"/>
          </rPr>
          <t>Arreglo pezuñas tres caballos en diciembre 25: 120€.</t>
        </r>
      </text>
    </comment>
    <comment ref="BQ118" authorId="1" shapeId="0" xr:uid="{908EFD92-605A-41E5-A6D4-DE9276DA6F11}">
      <text>
        <r>
          <rPr>
            <sz val="9"/>
            <color indexed="81"/>
            <rFont val="Tahoma"/>
            <family val="2"/>
          </rPr>
          <t>70 herrado panadero de caja el 9/4</t>
        </r>
      </text>
    </comment>
    <comment ref="BS118" authorId="0" shapeId="0" xr:uid="{06C786F3-CE35-4001-9F3F-1EB7958DEC8C}">
      <text>
        <r>
          <rPr>
            <b/>
            <sz val="9"/>
            <color indexed="81"/>
            <rFont val="Tahoma"/>
            <family val="2"/>
          </rPr>
          <t xml:space="preserve">Juan romero
</t>
        </r>
        <r>
          <rPr>
            <sz val="9"/>
            <color indexed="81"/>
            <rFont val="Tahoma"/>
            <family val="2"/>
          </rPr>
          <t xml:space="preserve">Vacuna: 142,50€. 
Vacuna: 218,50€. 
</t>
        </r>
      </text>
    </comment>
    <comment ref="BT118" authorId="3" shapeId="0" xr:uid="{94720EE1-F393-4833-B552-6D4EE003628E}">
      <text>
        <r>
          <rPr>
            <b/>
            <sz val="9"/>
            <color indexed="81"/>
            <rFont val="Tahoma"/>
            <family val="2"/>
          </rPr>
          <t>alfonso:</t>
        </r>
        <r>
          <rPr>
            <sz val="9"/>
            <color indexed="81"/>
            <rFont val="Tahoma"/>
            <family val="2"/>
          </rPr>
          <t xml:space="preserve">
Pienso perros y gatos</t>
        </r>
      </text>
    </comment>
    <comment ref="BZ118" authorId="0" shapeId="0" xr:uid="{23FC1B64-18F8-4675-889D-5253F4927505}">
      <text>
        <r>
          <rPr>
            <b/>
            <sz val="9"/>
            <color indexed="81"/>
            <rFont val="Tahoma"/>
            <family val="2"/>
          </rPr>
          <t>Fra de Felix Vazquez Muñiz del 15/06/22.</t>
        </r>
        <r>
          <rPr>
            <sz val="9"/>
            <color indexed="81"/>
            <rFont val="Tahoma"/>
            <family val="2"/>
          </rPr>
          <t xml:space="preserve">
Herraje caballos: 314,60€.</t>
        </r>
      </text>
    </comment>
    <comment ref="CA118" authorId="3" shapeId="0" xr:uid="{64739660-2CD7-40EB-8907-7ABC4898E03F}">
      <text>
        <r>
          <rPr>
            <b/>
            <sz val="9"/>
            <color indexed="81"/>
            <rFont val="Tahoma"/>
            <family val="2"/>
          </rPr>
          <t>alfonso:</t>
        </r>
        <r>
          <rPr>
            <sz val="9"/>
            <color indexed="81"/>
            <rFont val="Tahoma"/>
            <family val="2"/>
          </rPr>
          <t xml:space="preserve">
Pienso perros y gatos</t>
        </r>
      </text>
    </comment>
    <comment ref="CB118" authorId="0" shapeId="0" xr:uid="{0FCB335F-6BEF-4B03-A3EE-094D8F64489E}">
      <text>
        <r>
          <rPr>
            <b/>
            <sz val="9"/>
            <color indexed="81"/>
            <rFont val="Tahoma"/>
            <family val="2"/>
          </rPr>
          <t xml:space="preserve">Juan romero
</t>
        </r>
        <r>
          <rPr>
            <sz val="9"/>
            <color indexed="81"/>
            <rFont val="Tahoma"/>
            <family val="2"/>
          </rPr>
          <t xml:space="preserve">Vacuna: 142,50€. 
Vacuna: 218,50€. 
</t>
        </r>
      </text>
    </comment>
    <comment ref="CE118" authorId="3" shapeId="0" xr:uid="{A5D1B17E-FD45-4A1C-946E-82186A0E8524}">
      <text>
        <r>
          <rPr>
            <b/>
            <sz val="9"/>
            <color indexed="81"/>
            <rFont val="Tahoma"/>
            <family val="2"/>
          </rPr>
          <t>alfonso:</t>
        </r>
        <r>
          <rPr>
            <sz val="9"/>
            <color indexed="81"/>
            <rFont val="Tahoma"/>
            <family val="2"/>
          </rPr>
          <t xml:space="preserve">
Pienso perros y gatos</t>
        </r>
      </text>
    </comment>
    <comment ref="CH118" authorId="0" shapeId="0" xr:uid="{E25076B9-7B29-4E56-8E44-D75B538A0E7D}">
      <text>
        <r>
          <rPr>
            <b/>
            <sz val="9"/>
            <color indexed="81"/>
            <rFont val="Tahoma"/>
            <family val="2"/>
          </rPr>
          <t>Fra de Felix Vazquez Muñiz del 15/06/22.</t>
        </r>
        <r>
          <rPr>
            <sz val="9"/>
            <color indexed="81"/>
            <rFont val="Tahoma"/>
            <family val="2"/>
          </rPr>
          <t xml:space="preserve">
Herraje caballos: 314,60€.</t>
        </r>
      </text>
    </comment>
    <comment ref="CO118" authorId="0" shapeId="0" xr:uid="{6F32A953-72AC-46D6-B8D7-7961C0CB72F2}">
      <text>
        <r>
          <rPr>
            <b/>
            <sz val="9"/>
            <color indexed="81"/>
            <rFont val="Tahoma"/>
            <family val="2"/>
          </rPr>
          <t>Fra de Felix Vazquez Muñiz del 15/06/22.</t>
        </r>
        <r>
          <rPr>
            <sz val="9"/>
            <color indexed="81"/>
            <rFont val="Tahoma"/>
            <family val="2"/>
          </rPr>
          <t xml:space="preserve">
Herraje caballos: 314,60€.</t>
        </r>
      </text>
    </comment>
    <comment ref="CP118" authorId="3" shapeId="0" xr:uid="{F79135A0-CADA-4B03-8238-90DC93142BC0}">
      <text>
        <r>
          <rPr>
            <b/>
            <sz val="9"/>
            <color indexed="81"/>
            <rFont val="Tahoma"/>
            <family val="2"/>
          </rPr>
          <t>alfonso:</t>
        </r>
        <r>
          <rPr>
            <sz val="9"/>
            <color indexed="81"/>
            <rFont val="Tahoma"/>
            <family val="2"/>
          </rPr>
          <t xml:space="preserve">
Pienso perros y gatos</t>
        </r>
      </text>
    </comment>
    <comment ref="CQ118" authorId="0" shapeId="0" xr:uid="{980593BB-2F73-490A-A20A-3FF16E6B075D}">
      <text>
        <r>
          <rPr>
            <b/>
            <sz val="9"/>
            <color indexed="81"/>
            <rFont val="Tahoma"/>
            <family val="2"/>
          </rPr>
          <t xml:space="preserve">Juan romero
</t>
        </r>
        <r>
          <rPr>
            <sz val="9"/>
            <color indexed="81"/>
            <rFont val="Tahoma"/>
            <family val="2"/>
          </rPr>
          <t xml:space="preserve">Vacuna: 142,50€. 
Vacuna: 218,50€. 
</t>
        </r>
      </text>
    </comment>
    <comment ref="CT118" authorId="3" shapeId="0" xr:uid="{A6FEC3AD-7B0A-420C-B053-D6E066E4F778}">
      <text>
        <r>
          <rPr>
            <b/>
            <sz val="9"/>
            <color indexed="81"/>
            <rFont val="Tahoma"/>
            <family val="2"/>
          </rPr>
          <t>alfonso:</t>
        </r>
        <r>
          <rPr>
            <sz val="9"/>
            <color indexed="81"/>
            <rFont val="Tahoma"/>
            <family val="2"/>
          </rPr>
          <t xml:space="preserve">
Pienso perros y gatos</t>
        </r>
      </text>
    </comment>
    <comment ref="CW118" authorId="0" shapeId="0" xr:uid="{6ECB4DA9-A81B-4275-8D2E-BCB80E74F81A}">
      <text>
        <r>
          <rPr>
            <b/>
            <sz val="9"/>
            <color indexed="81"/>
            <rFont val="Tahoma"/>
            <family val="2"/>
          </rPr>
          <t>Fra de Felix Vazquez Muñiz del 15/06/22.</t>
        </r>
        <r>
          <rPr>
            <sz val="9"/>
            <color indexed="81"/>
            <rFont val="Tahoma"/>
            <family val="2"/>
          </rPr>
          <t xml:space="preserve">
Herraje caballos: 314,60€.</t>
        </r>
      </text>
    </comment>
    <comment ref="AJ131" authorId="0" shapeId="0" xr:uid="{52670918-CE51-4FD2-B184-59A3DDE4CA8A}">
      <text>
        <r>
          <rPr>
            <b/>
            <sz val="9"/>
            <color indexed="81"/>
            <rFont val="Tahoma"/>
            <family val="2"/>
          </rPr>
          <t xml:space="preserve">Fra Roland Winter del 03/01/24.
</t>
        </r>
        <r>
          <rPr>
            <sz val="9"/>
            <color indexed="81"/>
            <rFont val="Tahoma"/>
            <family val="2"/>
          </rPr>
          <t>Madres y sementales: 10.393,00€.
Info Alberto 15/01/24: Metedla en previsión para el 15/02/24
Transferencia Caixa realizada el 16/02/24</t>
        </r>
      </text>
    </comment>
    <comment ref="BC131" authorId="2" shapeId="0" xr:uid="{0A69C0E4-A598-4194-B253-7F9F0A264BE7}">
      <text>
        <r>
          <rPr>
            <b/>
            <sz val="9"/>
            <color indexed="81"/>
            <rFont val="Tahoma"/>
            <family val="2"/>
          </rPr>
          <t>Maria:</t>
        </r>
        <r>
          <rPr>
            <sz val="9"/>
            <color indexed="81"/>
            <rFont val="Tahoma"/>
            <family val="2"/>
          </rPr>
          <t xml:space="preserve">
Fra Eduardo manuel Masero del 27/05/25.
Derechos: 1068,48€. 
Urgente PAGAR. 
Cargado: 28/05/25.</t>
        </r>
      </text>
    </comment>
    <comment ref="AL132" authorId="0" shapeId="0" xr:uid="{BA3B97B2-26C7-4D15-9CFC-3A931C1F5A73}">
      <text>
        <r>
          <rPr>
            <b/>
            <sz val="9"/>
            <color indexed="81"/>
            <rFont val="Tahoma"/>
            <family val="2"/>
          </rPr>
          <t xml:space="preserve">Fra 67 NA del 16/04/24.
</t>
        </r>
        <r>
          <rPr>
            <sz val="9"/>
            <color indexed="81"/>
            <rFont val="Tahoma"/>
            <family val="2"/>
          </rPr>
          <t>Antonio José Guerra Blanco</t>
        </r>
        <r>
          <rPr>
            <b/>
            <sz val="9"/>
            <color indexed="81"/>
            <rFont val="Tahoma"/>
            <family val="2"/>
          </rPr>
          <t xml:space="preserve">
</t>
        </r>
        <r>
          <rPr>
            <sz val="9"/>
            <color indexed="81"/>
            <rFont val="Tahoma"/>
            <family val="2"/>
          </rPr>
          <t>Venta semental Angus: 2.750,00€.
Abonado: 29/04/24.</t>
        </r>
      </text>
    </comment>
    <comment ref="AW132" authorId="2" shapeId="0" xr:uid="{BCB30F2E-2A35-4B64-A1F2-507C08F711AD}">
      <text>
        <r>
          <rPr>
            <b/>
            <sz val="9"/>
            <color indexed="81"/>
            <rFont val="Tahoma"/>
            <family val="2"/>
          </rPr>
          <t>Maria:</t>
        </r>
        <r>
          <rPr>
            <sz val="9"/>
            <color indexed="81"/>
            <rFont val="Tahoma"/>
            <family val="2"/>
          </rPr>
          <t xml:space="preserve">
Fra N.º 101 de CAMPEAGRO del 21/11/24. 
Vneta de un toro: 2750,00€
Abono: 27/11/24
</t>
        </r>
      </text>
    </comment>
    <comment ref="AZ132" authorId="1" shapeId="0" xr:uid="{7671EB8E-9A63-4734-A88C-12CC4296AF2F}">
      <text>
        <r>
          <rPr>
            <b/>
            <sz val="9"/>
            <color indexed="81"/>
            <rFont val="Tahoma"/>
            <family val="2"/>
          </rPr>
          <t>1200 de venta toro con bulto en cuello.</t>
        </r>
      </text>
    </comment>
    <comment ref="BK132" authorId="2" shapeId="0" xr:uid="{9EC248E7-7AD2-431D-B38F-7EC12B6F66AA}">
      <text>
        <r>
          <rPr>
            <sz val="9"/>
            <color indexed="81"/>
            <rFont val="Tahoma"/>
            <family val="2"/>
          </rPr>
          <t>Fra Nº. 157 Juan Antonio Garcia Gonzalez (AGUSTÍN) del 14/10/2025.
1 toro 8727: 2250,4 + 10% iva = 2475 Eur
Incluido en factura con 7 terneros y 1 ternera (anotado en venta de terneros) por total de: 13.042,18€. 
Abonado: 17/10/25</t>
        </r>
      </text>
    </comment>
    <comment ref="AL133" authorId="0" shapeId="0" xr:uid="{0CCC7DFA-8BCD-4CC5-A918-27DA68D4FB28}">
      <text>
        <r>
          <rPr>
            <b/>
            <sz val="9"/>
            <color indexed="81"/>
            <rFont val="Tahoma"/>
            <family val="2"/>
          </rPr>
          <t xml:space="preserve">Fra Osborne del 29/01/24.
</t>
        </r>
        <r>
          <rPr>
            <sz val="9"/>
            <color indexed="81"/>
            <rFont val="Tahoma"/>
            <family val="2"/>
          </rPr>
          <t xml:space="preserve">8 cochinas y dos berracos ibéricos: 
- 8 cochinas: 43,909 @ * 50€/@= 2.195,45€.
- 2 verracos ibéricos: 13,130@ *60€/@= 787,80€
2.983,25€+IVA10%= 3.281,58€
Pendiente realizar transferencia: Info ALF 30/01/24: Poner el pago en la misma fecha en la que se cobra la montanera, pues compensaran y descontaran de lo que nos paguen. 
</t>
        </r>
      </text>
    </comment>
    <comment ref="AM133" authorId="0" shapeId="0" xr:uid="{8DA05086-62D7-4384-96E8-A1E88CA4FA14}">
      <text>
        <r>
          <rPr>
            <b/>
            <sz val="9"/>
            <color indexed="81"/>
            <rFont val="Tahoma"/>
            <family val="2"/>
          </rPr>
          <t xml:space="preserve">Fra Osborne del 19/04/24.
12 cochinas reproductoras a 50E /@: </t>
        </r>
        <r>
          <rPr>
            <sz val="9"/>
            <color indexed="81"/>
            <rFont val="Tahoma"/>
            <family val="2"/>
          </rPr>
          <t>€
aproximado: 5000€
Pendiente realizar transferencia: Info ALF 30/01/24: Poner el pago en la misma fecha en la que se cobra la montanera, pues compensaran y descontaran de lo que nos paguen. 
Transferncia realizada el 11/05/24.</t>
        </r>
      </text>
    </comment>
    <comment ref="AY133" authorId="2" shapeId="0" xr:uid="{654F4542-4D14-4BF2-8F41-7309336C0121}">
      <text>
        <r>
          <rPr>
            <b/>
            <sz val="9"/>
            <color indexed="81"/>
            <rFont val="Tahoma"/>
            <family val="2"/>
          </rPr>
          <t>Maria:</t>
        </r>
        <r>
          <rPr>
            <sz val="9"/>
            <color indexed="81"/>
            <rFont val="Tahoma"/>
            <family val="2"/>
          </rPr>
          <t xml:space="preserve">
Fra Osborne del 17/10/24.
Madres: 2.964,50€
Pagar a 60 días: 21/12/24.
Transf. Caixa realizada el 29/01/25
----------------
entran en caja 3340 por venta de 10 madres viejas</t>
        </r>
      </text>
    </comment>
    <comment ref="AZ134" authorId="1" shapeId="0" xr:uid="{CF8B8779-AFFE-4F77-A8A3-8BF863835B00}">
      <text>
        <r>
          <rPr>
            <b/>
            <sz val="9"/>
            <color indexed="81"/>
            <rFont val="Tahoma"/>
            <family val="2"/>
          </rPr>
          <t>420 a caja por venta 2 verracos viejos</t>
        </r>
      </text>
    </comment>
    <comment ref="AI135" authorId="0" shapeId="0" xr:uid="{0C77057F-F9D8-4512-AF0D-7C8F296DDDE6}">
      <text>
        <r>
          <rPr>
            <b/>
            <sz val="9"/>
            <color indexed="81"/>
            <rFont val="Tahoma"/>
            <family val="2"/>
          </rPr>
          <t xml:space="preserve">Fra Hierros y aluminios del 15/01/24.
</t>
        </r>
        <r>
          <rPr>
            <sz val="9"/>
            <color indexed="81"/>
            <rFont val="Tahoma"/>
            <family val="2"/>
          </rPr>
          <t>Tapas de bebederos: 544,50€.
Pendiente realizar transferencia. 
Transferencia realizada el 29/01/24.</t>
        </r>
      </text>
    </comment>
    <comment ref="AL135" authorId="0" shapeId="0" xr:uid="{4046B651-5AF3-4226-A6B2-40D5355DF353}">
      <text>
        <r>
          <rPr>
            <b/>
            <sz val="9"/>
            <color indexed="81"/>
            <rFont val="Tahoma"/>
            <family val="2"/>
          </rPr>
          <t>Fra De los reyes Reparacione del 30/12/23:</t>
        </r>
        <r>
          <rPr>
            <sz val="9"/>
            <color indexed="81"/>
            <rFont val="Tahoma"/>
            <family val="2"/>
          </rPr>
          <t xml:space="preserve">
Generador: 1.207,58€.
La fra coincide con el ppto
Transferencia Caixa realizada el 25/04/24</t>
        </r>
      </text>
    </comment>
    <comment ref="BC135" authorId="0" shapeId="0" xr:uid="{88450C2F-2220-4AE1-AA3A-56C2A4BF8437}">
      <text>
        <r>
          <rPr>
            <sz val="9"/>
            <color indexed="81"/>
            <rFont val="Tahoma"/>
            <family val="2"/>
          </rPr>
          <t xml:space="preserve">2.600€: Compra coche para campo Nissan Pick up
Pagado desde Caixa NA el 01/05/25
Pendiente transferencia desde NC
</t>
        </r>
      </text>
    </comment>
    <comment ref="BD135" authorId="0" shapeId="0" xr:uid="{49962DAC-FD3C-4153-A9DD-0E5FD224EED0}">
      <text>
        <r>
          <rPr>
            <sz val="9"/>
            <color indexed="81"/>
            <rFont val="Tahoma"/>
            <family val="2"/>
          </rPr>
          <t xml:space="preserve">-2.600€: Compra coche para campo Nissan Pick up
Pagado desde Caixa NA el 01/05/25
Traspaso realizado el 13/06/25
</t>
        </r>
      </text>
    </comment>
    <comment ref="BD141" authorId="1" shapeId="0" xr:uid="{B1096FE3-E34E-43BA-AA7D-E552C6E94410}">
      <text>
        <r>
          <rPr>
            <sz val="9"/>
            <color indexed="81"/>
            <rFont val="Tahoma"/>
            <family val="2"/>
          </rPr>
          <t>Prestamos de Alfonso a devolver 915 a caja</t>
        </r>
      </text>
    </comment>
    <comment ref="BJ141" authorId="1" shapeId="0" xr:uid="{C74EF7E6-6868-4C13-9832-6BB2F833265E}">
      <text>
        <r>
          <rPr>
            <sz val="9"/>
            <color indexed="81"/>
            <rFont val="Tahoma"/>
            <family val="2"/>
          </rPr>
          <t>Prestamos de Alfonso a devolver 1350 a caja</t>
        </r>
      </text>
    </comment>
    <comment ref="BL141" authorId="1" shapeId="0" xr:uid="{E74F437B-A45E-4E49-9377-031E84B44A3C}">
      <text>
        <r>
          <rPr>
            <sz val="9"/>
            <color indexed="81"/>
            <rFont val="Tahoma"/>
            <family val="2"/>
          </rPr>
          <t>Prestamos de Alfonso a devolver. 250 a caja</t>
        </r>
      </text>
    </comment>
    <comment ref="BM141" authorId="1" shapeId="0" xr:uid="{58971330-F02E-4343-B96A-8BE5C63AEE15}">
      <text>
        <r>
          <rPr>
            <sz val="9"/>
            <color indexed="81"/>
            <rFont val="Tahoma"/>
            <family val="2"/>
          </rPr>
          <t>850 Prestamos de Alfonso a devolver. A caja el 3/12/25
255 Devolucion a Alfonso de caja el 17/12/25</t>
        </r>
      </text>
    </comment>
    <comment ref="BP141" authorId="1" shapeId="0" xr:uid="{BA7E4D6C-93FC-41F6-861E-EAF87412A63F}">
      <text>
        <r>
          <rPr>
            <sz val="9"/>
            <color indexed="81"/>
            <rFont val="Tahoma"/>
            <family val="2"/>
          </rPr>
          <t>devolucion a Alfonso el 30/3/26</t>
        </r>
      </text>
    </comment>
    <comment ref="BQ141" authorId="1" shapeId="0" xr:uid="{03025225-E1F2-43B0-A20E-13C73CDE847D}">
      <text>
        <r>
          <rPr>
            <b/>
            <sz val="9"/>
            <color indexed="81"/>
            <rFont val="Tahoma"/>
            <family val="2"/>
          </rPr>
          <t>devolucion a Alfonso el 18.4.26</t>
        </r>
      </text>
    </comment>
    <comment ref="BS141" authorId="1" shapeId="0" xr:uid="{CAE1936F-9334-490E-8DAE-E443913E8882}">
      <text>
        <r>
          <rPr>
            <sz val="9"/>
            <color indexed="81"/>
            <rFont val="Tahoma"/>
            <family val="2"/>
          </rPr>
          <t>Pte devolucion a Alfonso de caja</t>
        </r>
      </text>
    </comment>
    <comment ref="B149" authorId="3" shapeId="0" xr:uid="{00000000-0006-0000-0500-0000EC010000}">
      <text>
        <r>
          <rPr>
            <b/>
            <sz val="9"/>
            <color indexed="81"/>
            <rFont val="Tahoma"/>
            <family val="2"/>
          </rPr>
          <t>alfonso:</t>
        </r>
        <r>
          <rPr>
            <sz val="9"/>
            <color indexed="81"/>
            <rFont val="Tahoma"/>
            <family val="2"/>
          </rPr>
          <t xml:space="preserve">
Prestamos de NIxal</t>
        </r>
      </text>
    </comment>
    <comment ref="D150" authorId="4" shapeId="0" xr:uid="{864643D3-FAA5-4B3E-A2A9-FA7DC73FA636}">
      <text>
        <r>
          <rPr>
            <sz val="9"/>
            <color indexed="81"/>
            <rFont val="Tahoma"/>
            <family val="2"/>
          </rPr>
          <t>500€: Traspaso a Nixal Agri
Abonado Caixa: 21/10/21
------------------------------</t>
        </r>
      </text>
    </comment>
    <comment ref="AA150" authorId="4" shapeId="0" xr:uid="{3EDCE7F1-7DDE-4478-BFE4-0A3BA0E57AF1}">
      <text>
        <r>
          <rPr>
            <b/>
            <sz val="9"/>
            <color indexed="81"/>
            <rFont val="Tahoma"/>
            <family val="2"/>
          </rPr>
          <t>4000€: Préstamo Nixal 29/08/23</t>
        </r>
      </text>
    </comment>
    <comment ref="AE150" authorId="4" shapeId="0" xr:uid="{F9411D38-6868-473F-8FD6-4210B770ACB6}">
      <text>
        <r>
          <rPr>
            <b/>
            <sz val="9"/>
            <color indexed="81"/>
            <rFont val="Tahoma"/>
            <family val="2"/>
          </rPr>
          <t>2.000€: Traspaso de fondos 15/09/23.
3.000€: Traspaso de fondos 29/09/23.</t>
        </r>
      </text>
    </comment>
    <comment ref="AF150" authorId="0" shapeId="0" xr:uid="{C2D89429-6373-400F-AC2B-DBE6A5E2BEE6}">
      <text>
        <r>
          <rPr>
            <sz val="9"/>
            <color indexed="81"/>
            <rFont val="Tahoma"/>
            <family val="2"/>
          </rPr>
          <t>3.000€: Traspaso de fondos 03/10/23.
--------------------------------
6.000€: Traspaso de fondos 04/10/23.</t>
        </r>
      </text>
    </comment>
    <comment ref="AW150" authorId="0" shapeId="0" xr:uid="{7384ED3D-4AAE-4596-B023-CD295F416A72}">
      <text>
        <r>
          <rPr>
            <sz val="9"/>
            <color indexed="81"/>
            <rFont val="Tahoma"/>
            <family val="2"/>
          </rPr>
          <t>10.000€: Traspaso de fondos 07/11/24</t>
        </r>
      </text>
    </comment>
    <comment ref="AX150" authorId="0" shapeId="0" xr:uid="{D4418BCF-2063-44BB-AB11-B733AD0F7D27}">
      <text>
        <r>
          <rPr>
            <sz val="9"/>
            <color indexed="81"/>
            <rFont val="Tahoma"/>
            <family val="2"/>
          </rPr>
          <t>15.000€: Traspaso de fondos 12/12/24 6.000€: Traspaso de fondos 24/12/24</t>
        </r>
      </text>
    </comment>
    <comment ref="AY150" authorId="0" shapeId="0" xr:uid="{5EDA5EA2-51BB-4C00-96B0-E2B67FE2EC53}">
      <text>
        <r>
          <rPr>
            <sz val="9"/>
            <color indexed="81"/>
            <rFont val="Tahoma"/>
            <family val="2"/>
          </rPr>
          <t>10.000€: Traspaso de fondos 24/01/25
5.000€: Traspaso de fondos 30/01/25</t>
        </r>
      </text>
    </comment>
    <comment ref="AZ150" authorId="0" shapeId="0" xr:uid="{28FB3CD7-195B-4616-8D9C-4B9B3D3AA38E}">
      <text>
        <r>
          <rPr>
            <sz val="9"/>
            <color indexed="81"/>
            <rFont val="Tahoma"/>
            <family val="2"/>
          </rPr>
          <t xml:space="preserve">10.000€: Traspaso de fondos 05/02/25
</t>
        </r>
      </text>
    </comment>
    <comment ref="BB150" authorId="0" shapeId="0" xr:uid="{50C47E6E-0CB4-4438-B6BA-40D0491A7A04}">
      <text>
        <r>
          <rPr>
            <sz val="9"/>
            <color indexed="81"/>
            <rFont val="Tahoma"/>
            <family val="2"/>
          </rPr>
          <t xml:space="preserve">10.000€: Traspaso de fondos 28/04/25
</t>
        </r>
      </text>
    </comment>
    <comment ref="BF150" authorId="0" shapeId="0" xr:uid="{C39B9FE0-03E4-44B4-9AA4-CE5DC0970579}">
      <text>
        <r>
          <rPr>
            <sz val="9"/>
            <color indexed="81"/>
            <rFont val="Tahoma"/>
            <family val="2"/>
          </rPr>
          <t xml:space="preserve">12.000€: Traspaso de fondos 01/08/25
</t>
        </r>
      </text>
    </comment>
    <comment ref="BJ150" authorId="2" shapeId="0" xr:uid="{AB7DE833-008B-4116-AAC6-CD01FC4AFA88}">
      <text>
        <r>
          <rPr>
            <b/>
            <sz val="9"/>
            <color indexed="81"/>
            <rFont val="Tahoma"/>
            <family val="2"/>
          </rPr>
          <t>Maria:</t>
        </r>
        <r>
          <rPr>
            <sz val="9"/>
            <color indexed="81"/>
            <rFont val="Tahoma"/>
            <family val="2"/>
          </rPr>
          <t xml:space="preserve">
4.000€: Traspaso de fondos 29/09/25
</t>
        </r>
      </text>
    </comment>
    <comment ref="BK150" authorId="0" shapeId="0" xr:uid="{EBEF7AAC-7763-4357-A6FC-7A9FA4D288EF}">
      <text>
        <r>
          <rPr>
            <sz val="9"/>
            <color indexed="81"/>
            <rFont val="Tahoma"/>
            <family val="2"/>
          </rPr>
          <t xml:space="preserve">3.000€: Traspaso de fondos 02/10/25
---------------------------------------
20.000€: Traspaso de fondos 09/10/25
-----------------------------------------
10.000€: Traspaso de fondos 14/10/25  ------------------------------------------
10.000€: Previsión oct
</t>
        </r>
      </text>
    </comment>
    <comment ref="BN150" authorId="0" shapeId="0" xr:uid="{4C82ECB0-0600-4DEA-BC9E-217AB004B5AA}">
      <text>
        <r>
          <rPr>
            <sz val="9"/>
            <color indexed="81"/>
            <rFont val="Tahoma"/>
            <family val="2"/>
          </rPr>
          <t xml:space="preserve">10.000€: Traspaso de fondos 27/01/26
---------------------------------------
2.000€: Traspaso de fondos 30/01/26
-----------------------------------------
</t>
        </r>
      </text>
    </comment>
    <comment ref="BO150" authorId="2" shapeId="0" xr:uid="{60582028-B981-43C4-93E1-2295B7A3F2BF}">
      <text>
        <r>
          <rPr>
            <b/>
            <sz val="9"/>
            <color indexed="81"/>
            <rFont val="Tahoma"/>
            <family val="2"/>
          </rPr>
          <t>Maria:</t>
        </r>
        <r>
          <rPr>
            <sz val="9"/>
            <color indexed="81"/>
            <rFont val="Tahoma"/>
            <family val="2"/>
          </rPr>
          <t xml:space="preserve">
Prestamo NC a NA el 02/02/26.
--------------------------
Prestamo NC a NA el 12/02/26.</t>
        </r>
      </text>
    </comment>
    <comment ref="BP150" authorId="2" shapeId="0" xr:uid="{26F3CB6D-3EB8-4B91-929D-523D173EAC37}">
      <text>
        <r>
          <rPr>
            <b/>
            <sz val="9"/>
            <color indexed="81"/>
            <rFont val="Tahoma"/>
            <family val="2"/>
          </rPr>
          <t>Maria:</t>
        </r>
        <r>
          <rPr>
            <sz val="9"/>
            <color indexed="81"/>
            <rFont val="Tahoma"/>
            <family val="2"/>
          </rPr>
          <t xml:space="preserve">
Prestamo NC a NA el 23/03/26.
--------------------------
Prestamo NC a NA el 31/03/26.</t>
        </r>
      </text>
    </comment>
    <comment ref="BQ150" authorId="2" shapeId="0" xr:uid="{91FFD5F0-7A93-47FF-9111-AE34CB0B4E1A}">
      <text>
        <r>
          <rPr>
            <sz val="9"/>
            <color indexed="81"/>
            <rFont val="Tahoma"/>
            <family val="2"/>
          </rPr>
          <t>20.000€: Devolución Prestamo NC a NA el 17/04/26.</t>
        </r>
      </text>
    </comment>
    <comment ref="BR150" authorId="2" shapeId="0" xr:uid="{2D1860EA-7798-4405-9EC8-307BF7FC7DBB}">
      <text>
        <r>
          <rPr>
            <b/>
            <sz val="9"/>
            <color indexed="81"/>
            <rFont val="Tahoma"/>
            <charset val="1"/>
          </rPr>
          <t>Maria:</t>
        </r>
        <r>
          <rPr>
            <sz val="9"/>
            <color indexed="81"/>
            <rFont val="Tahoma"/>
            <charset val="1"/>
          </rPr>
          <t xml:space="preserve">
Traspaso del 28/05/26</t>
        </r>
      </text>
    </comment>
    <comment ref="AE153" authorId="3" shapeId="0" xr:uid="{00EACB2E-F18E-4E67-9020-609B4A17F702}">
      <text>
        <r>
          <rPr>
            <sz val="9"/>
            <color indexed="81"/>
            <rFont val="Tahoma"/>
            <family val="2"/>
          </rPr>
          <t>4256,95 pagado a Alberto de Caja el 4/9/23</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Alfonso Carmona</author>
    <author>Alberto Carmona</author>
    <author>alfonso</author>
    <author>Maria</author>
  </authors>
  <commentList>
    <comment ref="C7" authorId="0" shapeId="0" xr:uid="{15C64C9C-F12E-456D-9821-AA1AAE46DD76}">
      <text>
        <r>
          <rPr>
            <b/>
            <sz val="9"/>
            <color indexed="81"/>
            <rFont val="Tahoma"/>
            <family val="2"/>
          </rPr>
          <t>Alfonso Carmona:</t>
        </r>
        <r>
          <rPr>
            <sz val="9"/>
            <color indexed="81"/>
            <rFont val="Tahoma"/>
            <family val="2"/>
          </rPr>
          <t xml:space="preserve">
15 reproductoras y 2 verracos viejos propios</t>
        </r>
      </text>
    </comment>
    <comment ref="P7" authorId="0" shapeId="0" xr:uid="{EBF7C890-D1E2-4656-AA8A-BAC479F53877}">
      <text>
        <r>
          <rPr>
            <sz val="9"/>
            <color indexed="81"/>
            <rFont val="Tahoma"/>
            <family val="2"/>
          </rPr>
          <t xml:space="preserve">REPRODUCCION
23 cochinas registradas de SRC
2 verracos registrados de SRC
3 cochinas viejas sin registro (como cebo en OCA)
DESECHO/CEBO
12 cochinas viejas
2 verracos viejos castrados </t>
        </r>
      </text>
    </comment>
    <comment ref="T7" authorId="0" shapeId="0" xr:uid="{1B25579D-87A1-4F3E-9F36-ABF04276B31A}">
      <text>
        <r>
          <rPr>
            <sz val="9"/>
            <color indexed="81"/>
            <rFont val="Tahoma"/>
            <family val="2"/>
          </rPr>
          <t xml:space="preserve">REPRODUCCION
23 cochinas registradas de SRC
2 verracos registrados de SRC
2 cochinas viejas sin registro (como cebo en OCA)
+3 crotal amarillo. nacen ene24 de 2 verracos y cochinas viejas.
+3 crotal rojo. nacen abr23 de verracos y cochinas viejas.
DESECHO/CEBO
2 verracos viejos castrados 
</t>
        </r>
      </text>
    </comment>
    <comment ref="U7" authorId="0" shapeId="0" xr:uid="{04FCC478-9B49-4AF2-B1B1-4720987E027B}">
      <text>
        <r>
          <rPr>
            <sz val="9"/>
            <color indexed="81"/>
            <rFont val="Tahoma"/>
            <family val="2"/>
          </rPr>
          <t xml:space="preserve">REPRODUCCION
23 cochinas registradas de SRC
2 verracos registrados de SRC
2 cochinas viejas sin registro (como cebo en OCA)
+3 crotal amarillo. nacen ene24 de 2 verracos y cochinas viejas.
+3 crotal rojo. nacen abr23 de verracos y cochinas viejas.
</t>
        </r>
      </text>
    </comment>
    <comment ref="X7" authorId="0" shapeId="0" xr:uid="{37AC31B0-D6CC-4AA7-9E34-A6385E01A718}">
      <text>
        <r>
          <rPr>
            <sz val="9"/>
            <color indexed="81"/>
            <rFont val="Tahoma"/>
            <family val="2"/>
          </rPr>
          <t xml:space="preserve">REPRODUCCION
21 cochinas registradas de SRC (maximo 23)
2 verracos registrados de SRC
2 cochinas viejas sin registro (como cebo en OCA)
+4 crotal amarillo. nacen ene24 de 2 verracos y cochinas viejas.
+3 crotal rojo. nacen abr23 de verracos y cochinas viejas.
</t>
        </r>
      </text>
    </comment>
    <comment ref="S9" authorId="0" shapeId="0" xr:uid="{F3D58079-D568-4071-B22D-E90BF8FE4A5C}">
      <text>
        <r>
          <rPr>
            <b/>
            <sz val="9"/>
            <color indexed="81"/>
            <rFont val="Tahoma"/>
            <family val="2"/>
          </rPr>
          <t>Alfonso Carmona:</t>
        </r>
        <r>
          <rPr>
            <sz val="9"/>
            <color indexed="81"/>
            <rFont val="Tahoma"/>
            <family val="2"/>
          </rPr>
          <t xml:space="preserve">
+3 crotal amarillo. nacen ene24 de 2 verracos y cochinas viejas.
+3 crotal rojo. nacen abr23 de verracos y cochinas viejas.</t>
        </r>
      </text>
    </comment>
    <comment ref="X9" authorId="0" shapeId="0" xr:uid="{FF245D4E-9125-4BE7-AD81-ABE347B5395F}">
      <text>
        <r>
          <rPr>
            <b/>
            <sz val="9"/>
            <color indexed="81"/>
            <rFont val="Tahoma"/>
            <family val="2"/>
          </rPr>
          <t>Alfonso Carmona:</t>
        </r>
        <r>
          <rPr>
            <sz val="9"/>
            <color indexed="81"/>
            <rFont val="Tahoma"/>
            <family val="2"/>
          </rPr>
          <t xml:space="preserve">
1 de crotal amarillo que aparece preñada</t>
        </r>
      </text>
    </comment>
    <comment ref="F10" authorId="0" shapeId="0" xr:uid="{8735C25F-4C9A-4885-BB5C-CF069D6717B6}">
      <text>
        <r>
          <rPr>
            <sz val="9"/>
            <color indexed="81"/>
            <rFont val="Tahoma"/>
            <family val="2"/>
          </rPr>
          <t>8 reproductoras y 2 verracos comprados a SRC</t>
        </r>
      </text>
    </comment>
    <comment ref="I10" authorId="0" shapeId="0" xr:uid="{84261ECD-755F-4E62-9DA9-B9D282C48248}">
      <text>
        <r>
          <rPr>
            <sz val="9"/>
            <color indexed="81"/>
            <rFont val="Tahoma"/>
            <family val="2"/>
          </rPr>
          <t>12 reproductoras compradas a SRC</t>
        </r>
      </text>
    </comment>
    <comment ref="O10" authorId="0" shapeId="0" xr:uid="{3AFE82D5-A0FE-4116-BAE8-B2DF51DE21DC}">
      <text>
        <r>
          <rPr>
            <sz val="9"/>
            <color indexed="81"/>
            <rFont val="Tahoma"/>
            <family val="2"/>
          </rPr>
          <t>5 reproductoras compradas a SRC</t>
        </r>
      </text>
    </comment>
    <comment ref="S12" authorId="0" shapeId="0" xr:uid="{ADB1F25B-0D0E-477B-B6BF-D95C46F9B551}">
      <text>
        <r>
          <rPr>
            <sz val="9"/>
            <color indexed="81"/>
            <rFont val="Tahoma"/>
            <family val="2"/>
          </rPr>
          <t xml:space="preserve">-10 madres desecho venta a granadino
-1 madre desecho se venden a Subteniente
-1 madre desecho se paga a Marianito
-1 madre desecho que sale con los de montanera de Ovipor en la primera carga por un total de 50 animales.
</t>
        </r>
      </text>
    </comment>
    <comment ref="T12" authorId="0" shapeId="0" xr:uid="{6FC730FB-1619-4903-8F0F-A259060983D0}">
      <text>
        <r>
          <rPr>
            <sz val="9"/>
            <color indexed="81"/>
            <rFont val="Tahoma"/>
            <family val="2"/>
          </rPr>
          <t>2 verracos viejos castrados vendidos al granadino</t>
        </r>
      </text>
    </comment>
    <comment ref="N13" authorId="0" shapeId="0" xr:uid="{E5AC90CA-3DC5-4BDB-8C07-BA319BA2E88C}">
      <text>
        <r>
          <rPr>
            <b/>
            <sz val="9"/>
            <color indexed="81"/>
            <rFont val="Tahoma"/>
            <family val="2"/>
          </rPr>
          <t>Alfonso Carmona:</t>
        </r>
        <r>
          <rPr>
            <sz val="9"/>
            <color indexed="81"/>
            <rFont val="Tahoma"/>
            <family val="2"/>
          </rPr>
          <t xml:space="preserve">
dos reproductoras de SRC muestas en parto con sus lechones muertos tb</t>
        </r>
      </text>
    </comment>
    <comment ref="V13" authorId="0" shapeId="0" xr:uid="{2185FC99-9C33-416C-B862-C8ABC062381E}">
      <text>
        <r>
          <rPr>
            <b/>
            <sz val="9"/>
            <color indexed="81"/>
            <rFont val="Tahoma"/>
            <family val="2"/>
          </rPr>
          <t>Alfonso Carmona:</t>
        </r>
        <r>
          <rPr>
            <sz val="9"/>
            <color indexed="81"/>
            <rFont val="Tahoma"/>
            <family val="2"/>
          </rPr>
          <t xml:space="preserve">
1 cochina SRC muerta</t>
        </r>
      </text>
    </comment>
    <comment ref="X13" authorId="0" shapeId="0" xr:uid="{A6B87120-E01E-4EBE-9C45-A22348C3ED76}">
      <text>
        <r>
          <rPr>
            <b/>
            <sz val="9"/>
            <color indexed="81"/>
            <rFont val="Tahoma"/>
            <family val="2"/>
          </rPr>
          <t>Alfonso Carmona:</t>
        </r>
        <r>
          <rPr>
            <sz val="9"/>
            <color indexed="81"/>
            <rFont val="Tahoma"/>
            <family val="2"/>
          </rPr>
          <t xml:space="preserve">
1 cochina SRC muerta</t>
        </r>
      </text>
    </comment>
    <comment ref="AB13" authorId="0" shapeId="0" xr:uid="{8B5105B3-DCD7-4F76-B356-83C524D9BDD9}">
      <text>
        <r>
          <rPr>
            <b/>
            <sz val="9"/>
            <color indexed="81"/>
            <rFont val="Tahoma"/>
            <family val="2"/>
          </rPr>
          <t>Alfonso Carmona:</t>
        </r>
        <r>
          <rPr>
            <sz val="9"/>
            <color indexed="81"/>
            <rFont val="Tahoma"/>
            <family val="2"/>
          </rPr>
          <t xml:space="preserve">
se pierde una cochina en Lucia de recria de crotal rojo.</t>
        </r>
      </text>
    </comment>
    <comment ref="C21" authorId="0" shapeId="0" xr:uid="{8B50A45E-646F-4DEF-8DA3-09A3E8CEA271}">
      <text>
        <r>
          <rPr>
            <b/>
            <sz val="9"/>
            <color indexed="81"/>
            <rFont val="Tahoma"/>
            <family val="2"/>
          </rPr>
          <t>Alfonso Carmona:</t>
        </r>
        <r>
          <rPr>
            <sz val="9"/>
            <color indexed="81"/>
            <rFont val="Tahoma"/>
            <family val="2"/>
          </rPr>
          <t xml:space="preserve">
puesta en repro cochinas propias viejas con 2 verracos viejos</t>
        </r>
      </text>
    </comment>
    <comment ref="F21" authorId="0" shapeId="0" xr:uid="{E44F23D7-59EA-4C93-ACC2-7BA4B134A135}">
      <text>
        <r>
          <rPr>
            <b/>
            <sz val="9"/>
            <color indexed="81"/>
            <rFont val="Tahoma"/>
            <family val="2"/>
          </rPr>
          <t>Alfonso Carmona:</t>
        </r>
        <r>
          <rPr>
            <sz val="9"/>
            <color indexed="81"/>
            <rFont val="Tahoma"/>
            <family val="2"/>
          </rPr>
          <t xml:space="preserve">
puesta cochinas propias viejas con 2 verracos SRC. </t>
        </r>
      </text>
    </comment>
    <comment ref="I21" authorId="0" shapeId="0" xr:uid="{47076EF6-1EEA-437B-A445-334AF78D4557}">
      <text>
        <r>
          <rPr>
            <b/>
            <sz val="9"/>
            <color indexed="81"/>
            <rFont val="Tahoma"/>
            <family val="2"/>
          </rPr>
          <t>Alfonso Carmona:</t>
        </r>
        <r>
          <rPr>
            <sz val="9"/>
            <color indexed="81"/>
            <rFont val="Tahoma"/>
            <family val="2"/>
          </rPr>
          <t xml:space="preserve">
puesta en repro 20 cochinas SRC con 2 verracos SRC</t>
        </r>
      </text>
    </comment>
    <comment ref="Q21" authorId="0" shapeId="0" xr:uid="{AB4DCBA7-390E-4520-904A-E98A5C12845C}">
      <text>
        <r>
          <rPr>
            <sz val="9"/>
            <color indexed="81"/>
            <rFont val="Tahoma"/>
            <family val="2"/>
          </rPr>
          <t>Puesta en repro 23 madres src con 2 verracos de SRC</t>
        </r>
      </text>
    </comment>
    <comment ref="R21" authorId="0" shapeId="0" xr:uid="{91C19F66-AD80-4A81-A6FC-6A97DCE1C35D}">
      <text>
        <r>
          <rPr>
            <sz val="9"/>
            <color indexed="81"/>
            <rFont val="Tahoma"/>
            <family val="2"/>
          </rPr>
          <t>Puesta en repro 3 madres propias viejas con 2 verracos de SRC</t>
        </r>
      </text>
    </comment>
    <comment ref="V21" authorId="0" shapeId="0" xr:uid="{3B4FA4E4-8B00-4DA2-A355-1BD33A750CD3}">
      <text>
        <r>
          <rPr>
            <sz val="9"/>
            <color indexed="81"/>
            <rFont val="Tahoma"/>
            <family val="2"/>
          </rPr>
          <t>Puesta en repro 23 madres src con 2 verracos de SRC</t>
        </r>
      </text>
    </comment>
    <comment ref="AC21" authorId="0" shapeId="0" xr:uid="{9A850569-D071-4E08-9C48-012A6884A1C4}">
      <text>
        <r>
          <rPr>
            <sz val="9"/>
            <color indexed="81"/>
            <rFont val="Tahoma"/>
            <family val="2"/>
          </rPr>
          <t>Puesta en repro 23 madres src con 2 verracos de SRC</t>
        </r>
      </text>
    </comment>
    <comment ref="AD21" authorId="0" shapeId="0" xr:uid="{77C45DBF-DE9F-44AF-8E54-75C85D184225}">
      <text>
        <r>
          <rPr>
            <sz val="9"/>
            <color indexed="81"/>
            <rFont val="Tahoma"/>
            <family val="2"/>
          </rPr>
          <t>Puesta en repro 3 madres propias viejas con 2 verracos de SRC</t>
        </r>
      </text>
    </comment>
    <comment ref="AH21" authorId="0" shapeId="0" xr:uid="{B51BF8CA-A6F8-4A05-AE00-71695D861124}">
      <text>
        <r>
          <rPr>
            <sz val="9"/>
            <color indexed="81"/>
            <rFont val="Tahoma"/>
            <family val="2"/>
          </rPr>
          <t>Puesta en repro 23 madres src con 2 verracos de SRC</t>
        </r>
      </text>
    </comment>
    <comment ref="AO21" authorId="0" shapeId="0" xr:uid="{D2627B0E-5558-4558-A25B-3F4A52BF1508}">
      <text>
        <r>
          <rPr>
            <sz val="9"/>
            <color indexed="81"/>
            <rFont val="Tahoma"/>
            <family val="2"/>
          </rPr>
          <t>Puesta en repro 23 madres src con 2 verracos de SRC</t>
        </r>
      </text>
    </comment>
    <comment ref="AP21" authorId="0" shapeId="0" xr:uid="{42E4CA83-CE34-4EFA-83C1-1CE3C90D03F3}">
      <text>
        <r>
          <rPr>
            <sz val="9"/>
            <color indexed="81"/>
            <rFont val="Tahoma"/>
            <family val="2"/>
          </rPr>
          <t>Puesta en repro 3 madres propias viejas con 2 verracos de SRC</t>
        </r>
      </text>
    </comment>
    <comment ref="AT21" authorId="0" shapeId="0" xr:uid="{645E73F3-AAE3-4F92-B3A6-DBB99710C728}">
      <text>
        <r>
          <rPr>
            <sz val="9"/>
            <color indexed="81"/>
            <rFont val="Tahoma"/>
            <family val="2"/>
          </rPr>
          <t>Puesta en repro 23 madres src con 2 verracos de SRC</t>
        </r>
      </text>
    </comment>
    <comment ref="G25" authorId="0" shapeId="0" xr:uid="{284D579C-189C-406C-8A08-7A5A5CA9B674}">
      <text>
        <r>
          <rPr>
            <sz val="9"/>
            <color indexed="81"/>
            <rFont val="Tahoma"/>
            <family val="2"/>
          </rPr>
          <t>48 - repro sep23 / nacidos ene24 de 2 verracos viejos y cochinas viejas (eran para cebo campo pero destinamos a montanera). Crotal amarillo</t>
        </r>
      </text>
    </comment>
    <comment ref="J25" authorId="0" shapeId="0" xr:uid="{75A841D2-8EB1-4AD7-810C-095A526155D9}">
      <text>
        <r>
          <rPr>
            <sz val="9"/>
            <color indexed="81"/>
            <rFont val="Tahoma"/>
            <family val="2"/>
          </rPr>
          <t>32 - repro dic23 / nacen abr24 de 2 verracos SRC y cochinas viejas. Crotal verde</t>
        </r>
      </text>
    </comment>
    <comment ref="M25" authorId="0" shapeId="0" xr:uid="{9B41CB97-600A-4611-8E43-153D373D0FEF}">
      <text>
        <r>
          <rPr>
            <sz val="9"/>
            <color indexed="81"/>
            <rFont val="Tahoma"/>
            <family val="2"/>
          </rPr>
          <t>30 repro marz24 / nacen Jul24
de 20 cochinas SRC con 2 verracos SRC. Crotal azul</t>
        </r>
      </text>
    </comment>
    <comment ref="S25" authorId="0" shapeId="0" xr:uid="{FECABE4B-D23F-4F90-AA5F-2444E28DDDE0}">
      <text>
        <r>
          <rPr>
            <sz val="9"/>
            <color indexed="81"/>
            <rFont val="Tahoma"/>
            <family val="2"/>
          </rPr>
          <t>6 de madre crotal amarillo</t>
        </r>
      </text>
    </comment>
    <comment ref="T25" authorId="0" shapeId="0" xr:uid="{F2E2B7C1-1173-4104-BB95-CCED861B0538}">
      <text>
        <r>
          <rPr>
            <sz val="9"/>
            <color indexed="81"/>
            <rFont val="Tahoma"/>
            <family val="2"/>
          </rPr>
          <t xml:space="preserve">5 de madre crotal amarillo
5 de madre crotal amarillo
8 de madre crotal rojo
8 de madre crotal rojo
5 de madre crotal rojo
</t>
        </r>
      </text>
    </comment>
    <comment ref="U25" authorId="0" shapeId="0" xr:uid="{8F270114-D113-40E3-816F-946DE4F73172}">
      <text>
        <r>
          <rPr>
            <sz val="9"/>
            <color indexed="81"/>
            <rFont val="Tahoma"/>
            <family val="2"/>
          </rPr>
          <t>157 nacimientos definitivos de puesta en repro 23 madres src con 2 verracos de SRC en nov 24
6 de madre crotal rojo</t>
        </r>
      </text>
    </comment>
    <comment ref="AI25" authorId="0" shapeId="0" xr:uid="{06D4F74D-D628-4CC1-B85C-2BCBF3105460}">
      <text>
        <r>
          <rPr>
            <sz val="9"/>
            <color indexed="81"/>
            <rFont val="Tahoma"/>
            <family val="2"/>
          </rPr>
          <t>150 nacimientos previstos de puesta en repro 30 madres</t>
        </r>
      </text>
    </comment>
    <comment ref="AL25" authorId="0" shapeId="0" xr:uid="{4E8E64AA-E629-4AAE-A96B-A44E0A3D8AF7}">
      <text>
        <r>
          <rPr>
            <sz val="9"/>
            <color indexed="81"/>
            <rFont val="Tahoma"/>
            <family val="2"/>
          </rPr>
          <t>160 nacimientos previstos de puesta en repro 30 madres</t>
        </r>
      </text>
    </comment>
    <comment ref="AM25" authorId="0" shapeId="0" xr:uid="{FF96FEC7-4320-481D-A2A8-F23BB3B9D142}">
      <text>
        <r>
          <rPr>
            <sz val="9"/>
            <color indexed="81"/>
            <rFont val="Tahoma"/>
            <family val="2"/>
          </rPr>
          <t>160 nacimientos previstos de puesta en repro 30 madres</t>
        </r>
      </text>
    </comment>
    <comment ref="AR25" authorId="0" shapeId="0" xr:uid="{551DF947-8075-4D51-AD7F-018905801D13}">
      <text>
        <r>
          <rPr>
            <sz val="9"/>
            <color indexed="81"/>
            <rFont val="Tahoma"/>
            <family val="2"/>
          </rPr>
          <t>160 nacimientos previstos de puesta en repro 30 madres</t>
        </r>
      </text>
    </comment>
    <comment ref="AS25" authorId="0" shapeId="0" xr:uid="{1600E30E-11F3-43FD-AFA9-1D33A87737A7}">
      <text>
        <r>
          <rPr>
            <sz val="9"/>
            <color indexed="81"/>
            <rFont val="Tahoma"/>
            <family val="2"/>
          </rPr>
          <t>160 nacimientos previstos de puesta en repro 30 madres</t>
        </r>
      </text>
    </comment>
    <comment ref="AX25" authorId="0" shapeId="0" xr:uid="{106F7BCB-A91A-421C-87FC-3BFCD3BECDF8}">
      <text>
        <r>
          <rPr>
            <sz val="9"/>
            <color indexed="81"/>
            <rFont val="Tahoma"/>
            <family val="2"/>
          </rPr>
          <t>160 nacimientos previstos de puesta en repro 30 madres</t>
        </r>
      </text>
    </comment>
    <comment ref="AY25" authorId="0" shapeId="0" xr:uid="{BB290D2A-3726-44E1-90E7-6988F54753A7}">
      <text>
        <r>
          <rPr>
            <sz val="9"/>
            <color indexed="81"/>
            <rFont val="Tahoma"/>
            <family val="2"/>
          </rPr>
          <t>160 nacimientos previstos de puesta en repro 30 madres</t>
        </r>
      </text>
    </comment>
    <comment ref="BD25" authorId="0" shapeId="0" xr:uid="{3524A2D9-0039-41AA-8609-1017B9EBF398}">
      <text>
        <r>
          <rPr>
            <sz val="9"/>
            <color indexed="81"/>
            <rFont val="Tahoma"/>
            <family val="2"/>
          </rPr>
          <t>160 nacimientos previstos de puesta en repro 30 madres</t>
        </r>
      </text>
    </comment>
    <comment ref="BE25" authorId="0" shapeId="0" xr:uid="{726F1DB2-6E8F-4E28-A273-AF2642561004}">
      <text>
        <r>
          <rPr>
            <sz val="9"/>
            <color indexed="81"/>
            <rFont val="Tahoma"/>
            <family val="2"/>
          </rPr>
          <t>160 nacimientos previstos de puesta en repro 30 madres</t>
        </r>
      </text>
    </comment>
    <comment ref="BJ25" authorId="0" shapeId="0" xr:uid="{3B2714F4-28EA-4444-A0B3-797AE44FB04E}">
      <text>
        <r>
          <rPr>
            <sz val="9"/>
            <color indexed="81"/>
            <rFont val="Tahoma"/>
            <family val="2"/>
          </rPr>
          <t>160 nacimientos previstos de puesta en repro 30 madres</t>
        </r>
      </text>
    </comment>
    <comment ref="B26" authorId="1" shapeId="0" xr:uid="{BDA717EB-E34F-4EE5-85C6-2E6622433842}">
      <text>
        <r>
          <rPr>
            <sz val="9"/>
            <color indexed="81"/>
            <rFont val="Tahoma"/>
            <family val="2"/>
          </rPr>
          <t>Destetamos con 2 meses, una semana más de lechon a pienso lechon y pasamos a marrano</t>
        </r>
      </text>
    </comment>
    <comment ref="J26" authorId="0" shapeId="0" xr:uid="{E609C020-F3B8-48C9-A4C8-942A006A98A0}">
      <text>
        <r>
          <rPr>
            <sz val="9"/>
            <color indexed="81"/>
            <rFont val="Tahoma"/>
            <family val="2"/>
          </rPr>
          <t>48 - repro sep23 / nacidos ene24 de 2 verracos viejos y cochinas viejas (eran para cebo campo pero destinamos a montanera). Crotal amarillo</t>
        </r>
      </text>
    </comment>
    <comment ref="M26" authorId="0" shapeId="0" xr:uid="{138C9DE1-B0B0-4D68-980D-EA5E5D95D2CA}">
      <text>
        <r>
          <rPr>
            <sz val="9"/>
            <color indexed="81"/>
            <rFont val="Tahoma"/>
            <family val="2"/>
          </rPr>
          <t>36 - repro dic23 / nacen abr24 de 2 verracos SRC y cochinas viejas. Crotal verde</t>
        </r>
      </text>
    </comment>
    <comment ref="P26" authorId="0" shapeId="0" xr:uid="{0FC6F1C3-AAE7-4B1A-B5BA-B717F22E6C11}">
      <text>
        <r>
          <rPr>
            <sz val="9"/>
            <color indexed="81"/>
            <rFont val="Tahoma"/>
            <family val="2"/>
          </rPr>
          <t>30 repro marz24 / nacen Jul24
de 20 cochinas SRC con 2 verracos SRC. Crotal azul</t>
        </r>
      </text>
    </comment>
    <comment ref="U26" authorId="0" shapeId="0" xr:uid="{382D696B-55E9-447D-930E-B9838A4FA0B6}">
      <text>
        <r>
          <rPr>
            <sz val="9"/>
            <color indexed="81"/>
            <rFont val="Tahoma"/>
            <family val="2"/>
          </rPr>
          <t>pasan a Marrano</t>
        </r>
      </text>
    </comment>
    <comment ref="W26" authorId="0" shapeId="0" xr:uid="{7C44C614-B752-4668-B853-1ACAD99DCB8E}">
      <text>
        <r>
          <rPr>
            <sz val="9"/>
            <color indexed="81"/>
            <rFont val="Tahoma"/>
            <family val="2"/>
          </rPr>
          <t>pasan a Marrano</t>
        </r>
      </text>
    </comment>
    <comment ref="S27" authorId="0" shapeId="0" xr:uid="{02D08763-EE38-4823-994D-ABF8BB53B3A8}">
      <text>
        <r>
          <rPr>
            <b/>
            <sz val="9"/>
            <color indexed="81"/>
            <rFont val="Tahoma"/>
            <family val="2"/>
          </rPr>
          <t>Alfonso Carmona:</t>
        </r>
        <r>
          <rPr>
            <sz val="9"/>
            <color indexed="81"/>
            <rFont val="Tahoma"/>
            <family val="2"/>
          </rPr>
          <t xml:space="preserve">
Muere 1 de madre crotal amarillo</t>
        </r>
      </text>
    </comment>
    <comment ref="T27" authorId="0" shapeId="0" xr:uid="{ABE64348-835F-40CE-A4CA-2509D819DDC7}">
      <text>
        <r>
          <rPr>
            <b/>
            <sz val="9"/>
            <color indexed="81"/>
            <rFont val="Tahoma"/>
            <family val="2"/>
          </rPr>
          <t>Alfonso Carmona:</t>
        </r>
        <r>
          <rPr>
            <sz val="9"/>
            <color indexed="81"/>
            <rFont val="Tahoma"/>
            <family val="2"/>
          </rPr>
          <t xml:space="preserve">
Muere 2 de madre crotal rojo
Muere 7 de madre crotal rojo
Muere 2 de madre crotal rojo</t>
        </r>
      </text>
    </comment>
    <comment ref="U27" authorId="0" shapeId="0" xr:uid="{6D603DB2-D871-41CA-89BB-58C614C7D7CD}">
      <text>
        <r>
          <rPr>
            <sz val="9"/>
            <color indexed="81"/>
            <rFont val="Tahoma"/>
            <family val="2"/>
          </rPr>
          <t>bajas</t>
        </r>
      </text>
    </comment>
    <comment ref="V27" authorId="0" shapeId="0" xr:uid="{8F0B1AC4-7368-4EEA-9C4C-AD22DD3766AA}">
      <text>
        <r>
          <rPr>
            <sz val="9"/>
            <color indexed="81"/>
            <rFont val="Tahoma"/>
            <family val="2"/>
          </rPr>
          <t>bajas</t>
        </r>
      </text>
    </comment>
    <comment ref="W27" authorId="0" shapeId="0" xr:uid="{A1763A5B-0D89-46AC-BA90-161CB2B7770D}">
      <text>
        <r>
          <rPr>
            <sz val="9"/>
            <color indexed="81"/>
            <rFont val="Tahoma"/>
            <family val="2"/>
          </rPr>
          <t>bajas</t>
        </r>
      </text>
    </comment>
    <comment ref="C31" authorId="0" shapeId="0" xr:uid="{DE191EAB-BA7B-4D27-B08D-2E19BB5D6B8E}">
      <text>
        <r>
          <rPr>
            <sz val="9"/>
            <color indexed="81"/>
            <rFont val="Tahoma"/>
            <family val="2"/>
          </rPr>
          <t xml:space="preserve">87 - nacidos en abril 23 de cochinas viejas. Crotal rojo.
</t>
        </r>
      </text>
    </comment>
    <comment ref="J32" authorId="0" shapeId="0" xr:uid="{D07896C7-4279-4F8E-80AA-423047F045B2}">
      <text>
        <r>
          <rPr>
            <sz val="9"/>
            <color indexed="81"/>
            <rFont val="Tahoma"/>
            <family val="2"/>
          </rPr>
          <t>48 - repro sep23 / nacidos ene24 de 2 verracos viejos y cochinas viejas (eran para cebo campo pero destinamos a montanera). Crotal amarillo</t>
        </r>
      </text>
    </comment>
    <comment ref="M32" authorId="0" shapeId="0" xr:uid="{F7F04B2E-5B41-4472-8CF9-913EAEA04FF9}">
      <text>
        <r>
          <rPr>
            <sz val="9"/>
            <color indexed="81"/>
            <rFont val="Tahoma"/>
            <family val="2"/>
          </rPr>
          <t>32 - repro dic23 / nacen abr24 de 2 verracos SRC y cochinas viejas. Crotal verde</t>
        </r>
      </text>
    </comment>
    <comment ref="P32" authorId="0" shapeId="0" xr:uid="{0F1C95BC-0ABA-47C3-97F3-E84D265F1835}">
      <text>
        <r>
          <rPr>
            <sz val="9"/>
            <color indexed="81"/>
            <rFont val="Tahoma"/>
            <family val="2"/>
          </rPr>
          <t>30 repro marz24 / nacen Jul24
de 20 cochinas SRC con 2 verracos SRC. Crotal azul</t>
        </r>
      </text>
    </comment>
    <comment ref="X32" authorId="0" shapeId="0" xr:uid="{C3B0240F-C3EE-4119-9AE1-77271576693B}">
      <text>
        <r>
          <rPr>
            <sz val="9"/>
            <color indexed="81"/>
            <rFont val="Tahoma"/>
            <family val="2"/>
          </rPr>
          <t xml:space="preserve">18 marranos comprados a Jaime, Jose Domingo y cuñado Mariano </t>
        </r>
      </text>
    </comment>
    <comment ref="AA33" authorId="0" shapeId="0" xr:uid="{137B601E-768E-4294-AFD1-7D05F8CEDCBD}">
      <text>
        <r>
          <rPr>
            <b/>
            <sz val="9"/>
            <color indexed="81"/>
            <rFont val="Tahoma"/>
            <family val="2"/>
          </rPr>
          <t>Alfonso Carmona:</t>
        </r>
        <r>
          <rPr>
            <sz val="9"/>
            <color indexed="81"/>
            <rFont val="Tahoma"/>
            <family val="2"/>
          </rPr>
          <t xml:space="preserve">
Merma que no debe pasar. Ana Mari dice:
Nose si esq yo no he descontado los q se han ido muriendo o se han muerto y se los han comido ellos mismo o la cuenta la teníamos mal, no se.</t>
        </r>
      </text>
    </comment>
    <comment ref="F34" authorId="0" shapeId="0" xr:uid="{762074ED-C50C-4847-AEDD-B28885F0FACD}">
      <text>
        <r>
          <rPr>
            <sz val="9"/>
            <color indexed="81"/>
            <rFont val="Tahoma"/>
            <family val="2"/>
          </rPr>
          <t xml:space="preserve">87 - nacidos en abril 23 de cochinas viejas. Crotal rojo.
</t>
        </r>
      </text>
    </comment>
    <comment ref="M34" authorId="0" shapeId="0" xr:uid="{64A03C02-697C-4AD5-8B09-0B1A56C6AC23}">
      <text>
        <r>
          <rPr>
            <sz val="9"/>
            <color indexed="81"/>
            <rFont val="Tahoma"/>
            <family val="2"/>
          </rPr>
          <t>15 de los 48 - repro sep23 / nacidos ene24 de 2 verracos viejos y cochinas viejas (eran para cebo campo pero destinamos a montanera). Crotal amarillo
Los juntamos estos que estan más gordos con primales para montanera 25</t>
        </r>
      </text>
    </comment>
    <comment ref="S34" authorId="0" shapeId="0" xr:uid="{70EFE074-5E47-4D2E-B047-D8374175FFCC}">
      <text>
        <r>
          <rPr>
            <b/>
            <sz val="9"/>
            <color indexed="81"/>
            <rFont val="Tahoma"/>
            <family val="2"/>
          </rPr>
          <t>32 - repro dic23 / nacen abr24 de 2 verracos SRC y cochinas viejas. Crotal verde</t>
        </r>
        <r>
          <rPr>
            <sz val="9"/>
            <color indexed="81"/>
            <rFont val="Tahoma"/>
            <family val="2"/>
          </rPr>
          <t xml:space="preserve">
</t>
        </r>
        <r>
          <rPr>
            <b/>
            <sz val="9"/>
            <color indexed="81"/>
            <rFont val="Tahoma"/>
            <family val="2"/>
          </rPr>
          <t>33 - de los 48 repro sep23 / nacidos ene24 de 2 verracos viejos y cochinas viejas (eran para cebo campo pero destinamos a montanera). Crotal amarillo, q van sobrados de tiempo para montanera 26. Dejamos su crotal amarillo.</t>
        </r>
      </text>
    </comment>
    <comment ref="T34" authorId="0" shapeId="0" xr:uid="{FB220143-04A5-41AE-8B4A-8BA49F55FBFC}">
      <text>
        <r>
          <rPr>
            <sz val="9"/>
            <color indexed="81"/>
            <rFont val="Tahoma"/>
            <family val="2"/>
          </rPr>
          <t>17 repro marz24 / nacen Jul24
de 20 cochinas SRC con 2 verracos SRC. Crotal azul</t>
        </r>
      </text>
    </comment>
    <comment ref="U34" authorId="0" shapeId="0" xr:uid="{6C16F26C-371A-4B65-96E4-5BD36817E677}">
      <text>
        <r>
          <rPr>
            <sz val="9"/>
            <color indexed="81"/>
            <rFont val="Tahoma"/>
            <family val="2"/>
          </rPr>
          <t>13 repro marz24 / nacen Jul24
de 20 cochinas SRC con 2 verracos SRC. Crotal azul</t>
        </r>
      </text>
    </comment>
    <comment ref="C38" authorId="0" shapeId="0" xr:uid="{2C7E325B-273A-40CB-B5B3-9BD0A8DE6879}">
      <text>
        <r>
          <rPr>
            <b/>
            <sz val="9"/>
            <color indexed="81"/>
            <rFont val="Tahoma"/>
            <family val="2"/>
          </rPr>
          <t>Alfonso Carmona:</t>
        </r>
        <r>
          <rPr>
            <sz val="9"/>
            <color indexed="81"/>
            <rFont val="Tahoma"/>
            <family val="2"/>
          </rPr>
          <t xml:space="preserve">
nacidos en abril 22 de cochinas viejas. </t>
        </r>
      </text>
    </comment>
    <comment ref="F39" authorId="0" shapeId="0" xr:uid="{7792C05E-D1C6-4972-911B-E8BD3C0D1A95}">
      <text>
        <r>
          <rPr>
            <sz val="9"/>
            <color indexed="81"/>
            <rFont val="Tahoma"/>
            <family val="2"/>
          </rPr>
          <t xml:space="preserve">87 - nacidos en abril 23 de cochinas viejas. Crotal rojo.
</t>
        </r>
      </text>
    </comment>
    <comment ref="M39" authorId="0" shapeId="0" xr:uid="{180AD10F-F3A8-4747-BFDD-0C5738382723}">
      <text>
        <r>
          <rPr>
            <sz val="9"/>
            <color indexed="81"/>
            <rFont val="Tahoma"/>
            <family val="2"/>
          </rPr>
          <t>15 de los 48 - repro sep23 / nacidos ene24 de 2 verracos viejos y cochinas viejas (eran para cebo campo pero destinamos a montanera). Crotal amarillo
Los juntamos estos que estan más gordos con primales para montanera 25</t>
        </r>
      </text>
    </comment>
    <comment ref="S39" authorId="0" shapeId="0" xr:uid="{019F787C-13D6-46C7-ABAC-6C2FB5E48D98}">
      <text>
        <r>
          <rPr>
            <b/>
            <sz val="9"/>
            <color indexed="81"/>
            <rFont val="Tahoma"/>
            <family val="2"/>
          </rPr>
          <t>32 - repro dic23 / nacen abr24 de 2 verracos SRC y cochinas viejas. Crotal verde</t>
        </r>
        <r>
          <rPr>
            <sz val="9"/>
            <color indexed="81"/>
            <rFont val="Tahoma"/>
            <family val="2"/>
          </rPr>
          <t xml:space="preserve">
</t>
        </r>
        <r>
          <rPr>
            <b/>
            <sz val="9"/>
            <color indexed="81"/>
            <rFont val="Tahoma"/>
            <family val="2"/>
          </rPr>
          <t>33 - de los 48 repro sep23 / nacidos ene24 de 2 verracos viejos y cochinas viejas (eran para cebo campo pero destinamos a montanera). Crotal amarillo, q van sobrados de tiempo para montanera 26. Dejamos su crotal amarillo.</t>
        </r>
      </text>
    </comment>
    <comment ref="U39" authorId="0" shapeId="0" xr:uid="{E8B802EA-D140-4859-B464-CD7B1E3FE922}">
      <text>
        <r>
          <rPr>
            <sz val="9"/>
            <color indexed="81"/>
            <rFont val="Tahoma"/>
            <family val="2"/>
          </rPr>
          <t>30 repro marz24 / nacen Jul24
de 20 cochinas SRC con 2 verracos SRC. Crotal azul</t>
        </r>
      </text>
    </comment>
    <comment ref="S40" authorId="0" shapeId="0" xr:uid="{0467916C-F0A2-40A7-8804-594568AA06F5}">
      <text>
        <r>
          <rPr>
            <sz val="9"/>
            <color indexed="81"/>
            <rFont val="Tahoma"/>
            <family val="2"/>
          </rPr>
          <t xml:space="preserve">-2 primales crotal verde a Don Pablo
-3 primales crotal amarillo preñadas a reposición/madres
+4 Aparecen 4 de crotal verde en uno de los recuentos imprecisos.
</t>
        </r>
      </text>
    </comment>
    <comment ref="W40" authorId="0" shapeId="0" xr:uid="{73B745C3-4425-4E89-96A8-365A1952A207}">
      <text>
        <r>
          <rPr>
            <b/>
            <sz val="9"/>
            <color indexed="81"/>
            <rFont val="Tahoma"/>
            <family val="2"/>
          </rPr>
          <t>Muere uno de crotal azul</t>
        </r>
      </text>
    </comment>
    <comment ref="X40" authorId="0" shapeId="0" xr:uid="{FC158BEB-52FC-45B1-A24D-CFE05A60A02D}">
      <text>
        <r>
          <rPr>
            <b/>
            <sz val="9"/>
            <color indexed="81"/>
            <rFont val="Tahoma"/>
            <family val="2"/>
          </rPr>
          <t>Alfonso Carmona:</t>
        </r>
        <r>
          <rPr>
            <sz val="9"/>
            <color indexed="81"/>
            <rFont val="Tahoma"/>
            <family val="2"/>
          </rPr>
          <t xml:space="preserve">
hay un primal menos en un recuento</t>
        </r>
      </text>
    </comment>
    <comment ref="E41" authorId="0" shapeId="0" xr:uid="{7F5EFD1E-F4E9-4CF9-A8E2-481F55B9FDD4}">
      <text>
        <r>
          <rPr>
            <b/>
            <sz val="9"/>
            <color indexed="81"/>
            <rFont val="Tahoma"/>
            <family val="2"/>
          </rPr>
          <t>Alfonso Carmona:</t>
        </r>
        <r>
          <rPr>
            <sz val="9"/>
            <color indexed="81"/>
            <rFont val="Tahoma"/>
            <family val="2"/>
          </rPr>
          <t xml:space="preserve">
nacidos en abril 22 de cochinas viejas. </t>
        </r>
      </text>
    </comment>
    <comment ref="Q41" authorId="0" shapeId="0" xr:uid="{4774DC71-6243-4F9C-94C1-D39FCDB12876}">
      <text>
        <r>
          <rPr>
            <b/>
            <sz val="9"/>
            <color indexed="81"/>
            <rFont val="Tahoma"/>
            <family val="2"/>
          </rPr>
          <t>87 - nacidos en abril 23 de cochinas viejas. Crotal rojo.
15 de los 48 - repro sep23 / nacidos ene24 de 2 verracos viejos y cochinas viejas (eran para cebo campo pero destinamos a montanera). Crotal amarillo
Los juntamos estos que estan más gordos con primales para montanera 25</t>
        </r>
        <r>
          <rPr>
            <sz val="9"/>
            <color indexed="81"/>
            <rFont val="Tahoma"/>
            <family val="2"/>
          </rPr>
          <t xml:space="preserve">
</t>
        </r>
      </text>
    </comment>
    <comment ref="AB41" authorId="0" shapeId="0" xr:uid="{3E16F730-5D1A-4E0E-8DEC-D490321AAB70}">
      <text>
        <r>
          <rPr>
            <sz val="9"/>
            <color indexed="81"/>
            <rFont val="Tahoma"/>
            <family val="2"/>
          </rPr>
          <t>34 - repro dic23 / nacen abr24 de 2 verracos SRC y cochinas viejas. Crotal verde
29 - de los 48 repro sep23 / nacidos ene24 de 2 verracos viejos y cochinas viejas (eran para cebo campo pero destinamos a montanera). Crotal amarillo, q van sobrados de tiempo para montanera 26. Dejamos su crotal amarillo.
24 - repro marz24 / nacen Jul24
de 20 cochinas SRC con 2 verracos SRC. Crotal azul
5 - repro marz24 / nacen Jul24 se quedan como primales por pequeños.
de 20 cochinas SRC con 2 verracos SRC. Crotal azul
1 - Montanera 24-25 que se quedo atrofiado. Pte venta a cebo desecho</t>
        </r>
      </text>
    </comment>
    <comment ref="E46" authorId="0" shapeId="0" xr:uid="{AC608A9B-4D87-4009-9ACE-5E741093767E}">
      <text>
        <r>
          <rPr>
            <b/>
            <sz val="9"/>
            <color indexed="81"/>
            <rFont val="Tahoma"/>
            <family val="2"/>
          </rPr>
          <t>Alfonso Carmona:</t>
        </r>
        <r>
          <rPr>
            <sz val="9"/>
            <color indexed="81"/>
            <rFont val="Tahoma"/>
            <family val="2"/>
          </rPr>
          <t xml:space="preserve">
nacidos en abril 22 de cochinas viejas. </t>
        </r>
      </text>
    </comment>
    <comment ref="Q46" authorId="0" shapeId="0" xr:uid="{68EC6BB8-68BE-4161-AE6D-11E2DA3D15FB}">
      <text>
        <r>
          <rPr>
            <b/>
            <sz val="9"/>
            <color indexed="81"/>
            <rFont val="Tahoma"/>
            <family val="2"/>
          </rPr>
          <t>87 - nacidos en abril 23 de cochinas viejas. Crotal rojo.
15 de los 48 - repro sep23 / nacidos ene24 de 2 verracos viejos y cochinas viejas (eran para cebo campo pero destinamos a montanera). Crotal amarillo
Los juntamos estos que estan más gordos con primales para montanera 25</t>
        </r>
        <r>
          <rPr>
            <sz val="9"/>
            <color indexed="81"/>
            <rFont val="Tahoma"/>
            <family val="2"/>
          </rPr>
          <t xml:space="preserve">
</t>
        </r>
      </text>
    </comment>
    <comment ref="S47" authorId="0" shapeId="0" xr:uid="{2EF08856-EF95-4D77-B734-2B9D453FC0E3}">
      <text>
        <r>
          <rPr>
            <b/>
            <sz val="9"/>
            <color indexed="81"/>
            <rFont val="Tahoma"/>
            <family val="2"/>
          </rPr>
          <t>-1 montantera crotal rojo a Don Pablo</t>
        </r>
        <r>
          <rPr>
            <sz val="9"/>
            <color indexed="81"/>
            <rFont val="Tahoma"/>
            <family val="2"/>
          </rPr>
          <t xml:space="preserve">
</t>
        </r>
        <r>
          <rPr>
            <b/>
            <sz val="9"/>
            <color indexed="81"/>
            <rFont val="Tahoma"/>
            <family val="2"/>
          </rPr>
          <t>-2 montanera crotal rojo preñadas a reposición/madres</t>
        </r>
      </text>
    </comment>
    <comment ref="AF47" authorId="0" shapeId="0" xr:uid="{FF0D56E4-B4CF-45A6-BFE4-9FF35804652A}">
      <text>
        <r>
          <rPr>
            <sz val="9"/>
            <color indexed="81"/>
            <rFont val="Tahoma"/>
            <family val="2"/>
          </rPr>
          <t>3 D. Pablo pago alquiler finca</t>
        </r>
      </text>
    </comment>
    <comment ref="AG47" authorId="0" shapeId="0" xr:uid="{9CD8A562-ED68-40A2-BD41-F2A7001323DB}">
      <text>
        <r>
          <rPr>
            <sz val="9"/>
            <color indexed="81"/>
            <rFont val="Tahoma"/>
            <family val="2"/>
          </rPr>
          <t>6 entran de SRC que se quedaron cortos de peso
1 Cerreño pago alquiler finca
46 nos quedamos para maquila</t>
        </r>
      </text>
    </comment>
    <comment ref="H48" authorId="0" shapeId="0" xr:uid="{D100984C-7E8E-487B-AFF9-6EF98DFFE0CD}">
      <text>
        <r>
          <rPr>
            <sz val="9"/>
            <color indexed="81"/>
            <rFont val="Tahoma"/>
            <family val="2"/>
          </rPr>
          <t>Parte de los 84 nacidos en abril 22 de cochinas viejas. Vendidoa a ovipor</t>
        </r>
      </text>
    </comment>
    <comment ref="I48" authorId="0" shapeId="0" xr:uid="{CA378157-951C-47E2-B12A-841EDD66390D}">
      <text>
        <r>
          <rPr>
            <sz val="9"/>
            <color indexed="81"/>
            <rFont val="Tahoma"/>
            <family val="2"/>
          </rPr>
          <t>Parte de los 84 nacidos en abril 22 de cochinas viejas. Vendidoa a ovipor</t>
        </r>
      </text>
    </comment>
    <comment ref="S48" authorId="0" shapeId="0" xr:uid="{3C2D2745-C997-428A-A2D3-486703E0086D}">
      <text>
        <r>
          <rPr>
            <b/>
            <sz val="9"/>
            <color indexed="81"/>
            <rFont val="Tahoma"/>
            <family val="2"/>
          </rPr>
          <t xml:space="preserve">-46 crotal rojo a ovipor
-3 crotal amarillo a ovipor
</t>
        </r>
      </text>
    </comment>
    <comment ref="U48" authorId="0" shapeId="0" xr:uid="{C3B8C95E-9969-4EE9-90C3-D97611848ACD}">
      <text>
        <r>
          <rPr>
            <b/>
            <sz val="9"/>
            <color indexed="81"/>
            <rFont val="Tahoma"/>
            <family val="2"/>
          </rPr>
          <t>-38 crotal rojo a ovipor
-11 crotal amarillo a ovipor</t>
        </r>
        <r>
          <rPr>
            <sz val="9"/>
            <color indexed="81"/>
            <rFont val="Tahoma"/>
            <family val="2"/>
          </rPr>
          <t xml:space="preserve">
</t>
        </r>
      </text>
    </comment>
    <comment ref="V48" authorId="0" shapeId="0" xr:uid="{B405DE9D-935F-4AB2-8C17-802AB8F7007B}">
      <text>
        <r>
          <rPr>
            <b/>
            <sz val="9"/>
            <color indexed="81"/>
            <rFont val="Tahoma"/>
            <family val="2"/>
          </rPr>
          <t>Alfonso Carmona:</t>
        </r>
        <r>
          <rPr>
            <sz val="9"/>
            <color indexed="81"/>
            <rFont val="Tahoma"/>
            <family val="2"/>
          </rPr>
          <t xml:space="preserve">
1 amarillo (que se le cambio a rojo) para salir de cebo campo a Ovipor a final de marzo ppio abril</t>
        </r>
      </text>
    </comment>
    <comment ref="AF48" authorId="0" shapeId="0" xr:uid="{8740398E-8B05-4D86-9668-383D204288E2}">
      <text>
        <r>
          <rPr>
            <sz val="9"/>
            <color indexed="81"/>
            <rFont val="Tahoma"/>
            <family val="2"/>
          </rPr>
          <t>40 vendido a Ovipor
2 vendido hermano Mariano</t>
        </r>
      </text>
    </comment>
    <comment ref="AG48" authorId="0" shapeId="0" xr:uid="{60766DF4-9EBF-43B7-86F8-40DA95EB199B}">
      <text>
        <r>
          <rPr>
            <b/>
            <sz val="9"/>
            <color indexed="81"/>
            <rFont val="Tahoma"/>
            <family val="2"/>
          </rPr>
          <t>1 vendido a Subteniente</t>
        </r>
      </text>
    </comment>
    <comment ref="E53" authorId="0" shapeId="0" xr:uid="{26181109-C7E4-4F96-85B5-44F01E9678A4}">
      <text>
        <r>
          <rPr>
            <b/>
            <sz val="9"/>
            <color indexed="81"/>
            <rFont val="Tahoma"/>
            <family val="2"/>
          </rPr>
          <t>Alfonso Carmona:</t>
        </r>
        <r>
          <rPr>
            <sz val="9"/>
            <color indexed="81"/>
            <rFont val="Tahoma"/>
            <family val="2"/>
          </rPr>
          <t xml:space="preserve">
150 entran de SRC de primales de Zalamea</t>
        </r>
      </text>
    </comment>
    <comment ref="Q54" authorId="0" shapeId="0" xr:uid="{FE84863B-BECC-49A2-B567-517F117E7DE0}">
      <text>
        <r>
          <rPr>
            <b/>
            <sz val="9"/>
            <color indexed="81"/>
            <rFont val="Tahoma"/>
            <family val="2"/>
          </rPr>
          <t>Alfonso Carmona:</t>
        </r>
        <r>
          <rPr>
            <sz val="9"/>
            <color indexed="81"/>
            <rFont val="Tahoma"/>
            <family val="2"/>
          </rPr>
          <t xml:space="preserve">
1 muerto o desaparecido</t>
        </r>
      </text>
    </comment>
    <comment ref="AG54" authorId="0" shapeId="0" xr:uid="{B7C6614F-AFEA-42F1-BDAA-3359B1F7EE3F}">
      <text>
        <r>
          <rPr>
            <b/>
            <sz val="9"/>
            <color indexed="81"/>
            <rFont val="Tahoma"/>
            <family val="2"/>
          </rPr>
          <t>Alfonso Carmona:</t>
        </r>
        <r>
          <rPr>
            <sz val="9"/>
            <color indexed="81"/>
            <rFont val="Tahoma"/>
            <family val="2"/>
          </rPr>
          <t xml:space="preserve">
Pasan a propios que se quedaron cortos de peso</t>
        </r>
      </text>
    </comment>
    <comment ref="H55" authorId="0" shapeId="0" xr:uid="{F92E927D-0F08-4DEF-9BF4-C766AA1285A2}">
      <text>
        <r>
          <rPr>
            <b/>
            <sz val="9"/>
            <color indexed="81"/>
            <rFont val="Tahoma"/>
            <family val="2"/>
          </rPr>
          <t>Alfonso Carmona:</t>
        </r>
        <r>
          <rPr>
            <sz val="9"/>
            <color indexed="81"/>
            <rFont val="Tahoma"/>
            <family val="2"/>
          </rPr>
          <t xml:space="preserve">
150 entran de SRC de primales de Zalamea</t>
        </r>
      </text>
    </comment>
    <comment ref="I55" authorId="0" shapeId="0" xr:uid="{CDB413CB-A871-41FC-A384-C244D369D3F6}">
      <text>
        <r>
          <rPr>
            <b/>
            <sz val="9"/>
            <color indexed="81"/>
            <rFont val="Tahoma"/>
            <family val="2"/>
          </rPr>
          <t>Alfonso Carmona:</t>
        </r>
        <r>
          <rPr>
            <sz val="9"/>
            <color indexed="81"/>
            <rFont val="Tahoma"/>
            <family val="2"/>
          </rPr>
          <t xml:space="preserve">
150 entran de SRC de primales de Zalamea</t>
        </r>
      </text>
    </comment>
    <comment ref="W55" authorId="0" shapeId="0" xr:uid="{C0007515-151C-4D20-A430-A520CAA4F130}">
      <text>
        <r>
          <rPr>
            <b/>
            <sz val="9"/>
            <color indexed="81"/>
            <rFont val="Tahoma"/>
            <family val="2"/>
          </rPr>
          <t>Alfonso Carmona:</t>
        </r>
        <r>
          <rPr>
            <sz val="9"/>
            <color indexed="81"/>
            <rFont val="Tahoma"/>
            <family val="2"/>
          </rPr>
          <t xml:space="preserve">
2 para salir de cebo campo a Ovipor a final de marzo ppio abril.
SRC lo descuenta en la liquidación de las cuentas de reposición</t>
        </r>
      </text>
    </comment>
    <comment ref="AF55" authorId="0" shapeId="0" xr:uid="{B07F3863-5AB6-4D83-B161-0934908134EF}">
      <text>
        <r>
          <rPr>
            <b/>
            <sz val="9"/>
            <color indexed="81"/>
            <rFont val="Tahoma"/>
            <family val="2"/>
          </rPr>
          <t>100 a SRC</t>
        </r>
      </text>
    </comment>
    <comment ref="AG55" authorId="0" shapeId="0" xr:uid="{4F1825D3-0122-4FF3-9CB1-926B3B05FFA0}">
      <text>
        <r>
          <rPr>
            <b/>
            <sz val="9"/>
            <color indexed="81"/>
            <rFont val="Tahoma"/>
            <family val="2"/>
          </rPr>
          <t>94 a SRC</t>
        </r>
      </text>
    </comment>
    <comment ref="AF77" authorId="0" shapeId="0" xr:uid="{59BBB00D-566F-4626-8753-F723AF05D2C5}">
      <text>
        <r>
          <rPr>
            <b/>
            <sz val="9"/>
            <color indexed="81"/>
            <rFont val="Tahoma"/>
            <family val="2"/>
          </rPr>
          <t>Alfonso Carmona:</t>
        </r>
        <r>
          <rPr>
            <sz val="9"/>
            <color indexed="81"/>
            <rFont val="Tahoma"/>
            <family val="2"/>
          </rPr>
          <t xml:space="preserve">
consumo ajustado para dejar almacen a cero y pq en marzo este modelo considera que no hubo ningun cochino de montanera</t>
        </r>
      </text>
    </comment>
    <comment ref="N93" authorId="0" shapeId="0" xr:uid="{51842465-F279-4C4E-A2A8-A7A974F0320B}">
      <text>
        <r>
          <rPr>
            <b/>
            <sz val="9"/>
            <color indexed="81"/>
            <rFont val="Tahoma"/>
            <family val="2"/>
          </rPr>
          <t>Alfonso Carmona:</t>
        </r>
        <r>
          <rPr>
            <sz val="9"/>
            <color indexed="81"/>
            <rFont val="Tahoma"/>
            <family val="2"/>
          </rPr>
          <t xml:space="preserve">
3 hembras y un toro</t>
        </r>
      </text>
    </comment>
    <comment ref="AI93" authorId="0" shapeId="0" xr:uid="{07C2FAD0-952F-4627-AFF0-0B034866DF4A}">
      <text>
        <r>
          <rPr>
            <sz val="9"/>
            <color indexed="81"/>
            <rFont val="Tahoma"/>
            <family val="2"/>
          </rPr>
          <t xml:space="preserve">7 madres jovenes + 2 sementales jovenes pasan a adultos y a repro.
</t>
        </r>
      </text>
    </comment>
    <comment ref="AJ93" authorId="0" shapeId="0" xr:uid="{43AA4556-BFED-4A6B-ADFA-8B36328F46FA}">
      <text>
        <r>
          <rPr>
            <b/>
            <sz val="9"/>
            <color indexed="81"/>
            <rFont val="Tahoma"/>
            <family val="2"/>
          </rPr>
          <t xml:space="preserve">7 recria a repro.
</t>
        </r>
        <r>
          <rPr>
            <sz val="9"/>
            <color indexed="81"/>
            <rFont val="Tahoma"/>
            <family val="2"/>
          </rPr>
          <t xml:space="preserve">
</t>
        </r>
      </text>
    </comment>
    <comment ref="AK93" authorId="0" shapeId="0" xr:uid="{A68A69E0-E402-48A0-8122-C5BDA8881D39}">
      <text>
        <r>
          <rPr>
            <b/>
            <sz val="9"/>
            <color indexed="81"/>
            <rFont val="Tahoma"/>
            <family val="2"/>
          </rPr>
          <t xml:space="preserve">7 recria a repro.
</t>
        </r>
        <r>
          <rPr>
            <sz val="9"/>
            <color indexed="81"/>
            <rFont val="Tahoma"/>
            <family val="2"/>
          </rPr>
          <t xml:space="preserve">
</t>
        </r>
        <r>
          <rPr>
            <b/>
            <sz val="9"/>
            <color indexed="81"/>
            <rFont val="Tahoma"/>
            <family val="2"/>
          </rPr>
          <t xml:space="preserve">4 novillas Elvas pasan a repro
</t>
        </r>
      </text>
    </comment>
    <comment ref="AL93" authorId="0" shapeId="0" xr:uid="{155C9FF2-8C96-486B-935B-19E79464FAE2}">
      <text>
        <r>
          <rPr>
            <b/>
            <sz val="9"/>
            <color indexed="81"/>
            <rFont val="Tahoma"/>
            <family val="2"/>
          </rPr>
          <t xml:space="preserve">7 recria a repro.
</t>
        </r>
        <r>
          <rPr>
            <sz val="9"/>
            <color indexed="81"/>
            <rFont val="Tahoma"/>
            <family val="2"/>
          </rPr>
          <t xml:space="preserve">
</t>
        </r>
        <r>
          <rPr>
            <b/>
            <sz val="9"/>
            <color indexed="81"/>
            <rFont val="Tahoma"/>
            <family val="2"/>
          </rPr>
          <t xml:space="preserve">7 novillas Elvas pasan a repro
</t>
        </r>
      </text>
    </comment>
    <comment ref="AO93" authorId="0" shapeId="0" xr:uid="{4CB69AC1-1692-46B3-BD63-D4D764E51D08}">
      <text>
        <r>
          <rPr>
            <b/>
            <sz val="9"/>
            <color indexed="81"/>
            <rFont val="Tahoma"/>
            <family val="2"/>
          </rPr>
          <t xml:space="preserve">13 recria a repro.
1 toro recria a semental
4 novillas Elvas pasan a repro
</t>
        </r>
      </text>
    </comment>
    <comment ref="AP93" authorId="0" shapeId="0" xr:uid="{7882EF59-B459-4B45-9904-FE728415801A}">
      <text>
        <r>
          <rPr>
            <b/>
            <sz val="9"/>
            <color indexed="81"/>
            <rFont val="Tahoma"/>
            <family val="2"/>
          </rPr>
          <t>2 recria a repro.
1 de cebo int del saldo de mayo a repro</t>
        </r>
      </text>
    </comment>
    <comment ref="AR93" authorId="0" shapeId="0" xr:uid="{2594E0ED-2D11-40EF-9970-0F46A420D426}">
      <text>
        <r>
          <rPr>
            <b/>
            <sz val="9"/>
            <color indexed="81"/>
            <rFont val="Tahoma"/>
            <family val="2"/>
          </rPr>
          <t>4 de cebo int del saldo de mayo a repro</t>
        </r>
      </text>
    </comment>
    <comment ref="AS93" authorId="0" shapeId="0" xr:uid="{1597070E-A199-45F1-BCB1-8F2147BC0B48}">
      <text>
        <r>
          <rPr>
            <b/>
            <sz val="9"/>
            <color indexed="81"/>
            <rFont val="Tahoma"/>
            <family val="2"/>
          </rPr>
          <t>7 de cebo int del saldo de mayo a repro</t>
        </r>
      </text>
    </comment>
    <comment ref="AT93" authorId="0" shapeId="0" xr:uid="{3E222522-7662-4B83-9888-04581F49FFE5}">
      <text>
        <r>
          <rPr>
            <b/>
            <sz val="9"/>
            <color indexed="81"/>
            <rFont val="Tahoma"/>
            <family val="2"/>
          </rPr>
          <t>6 de cebo int del saldo de mayo a repro</t>
        </r>
      </text>
    </comment>
    <comment ref="AU93" authorId="0" shapeId="0" xr:uid="{8C77D0B8-DAAC-4D62-8588-2926F6C87431}">
      <text>
        <r>
          <rPr>
            <b/>
            <sz val="9"/>
            <color indexed="81"/>
            <rFont val="Tahoma"/>
            <family val="2"/>
          </rPr>
          <t>6 de cebo int del saldo de mayo a repro</t>
        </r>
      </text>
    </comment>
    <comment ref="AX93" authorId="0" shapeId="0" xr:uid="{5833FFE0-BC12-4C5A-8EC3-F28DD30B65BD}">
      <text>
        <r>
          <rPr>
            <sz val="9"/>
            <color indexed="81"/>
            <rFont val="Tahoma"/>
            <family val="2"/>
          </rPr>
          <t>6 de los 13 destetados en junio (ESTIMACION) a repro</t>
        </r>
      </text>
    </comment>
    <comment ref="AY93" authorId="0" shapeId="0" xr:uid="{1D43BA7C-1AC8-46D3-9EE5-88F5361D6042}">
      <text>
        <r>
          <rPr>
            <sz val="9"/>
            <color indexed="81"/>
            <rFont val="Tahoma"/>
            <family val="2"/>
          </rPr>
          <t>5 de los 10 destetados en julio (ESTIMACION) a repro</t>
        </r>
      </text>
    </comment>
    <comment ref="AZ93" authorId="0" shapeId="0" xr:uid="{838C60CF-5F63-4EA0-A001-EFB50AE6A9B5}">
      <text>
        <r>
          <rPr>
            <sz val="9"/>
            <color indexed="81"/>
            <rFont val="Tahoma"/>
            <family val="2"/>
          </rPr>
          <t>15 de los 30 destetados en ago (ESTIMACION) a repro</t>
        </r>
      </text>
    </comment>
    <comment ref="BA93" authorId="0" shapeId="0" xr:uid="{51E238FD-08AC-4D7A-A927-8E26C3A862C2}">
      <text>
        <r>
          <rPr>
            <sz val="9"/>
            <color indexed="81"/>
            <rFont val="Tahoma"/>
            <family val="2"/>
          </rPr>
          <t>3 de los 7 destetados en sep (ESTIMACION) a repro</t>
        </r>
      </text>
    </comment>
    <comment ref="F94" authorId="0" shapeId="0" xr:uid="{94AAFB54-72B6-4425-B875-1593B6963242}">
      <text>
        <r>
          <rPr>
            <b/>
            <sz val="9"/>
            <color indexed="81"/>
            <rFont val="Tahoma"/>
            <family val="2"/>
          </rPr>
          <t>Alfonso Carmona:</t>
        </r>
        <r>
          <rPr>
            <sz val="9"/>
            <color indexed="81"/>
            <rFont val="Tahoma"/>
            <family val="2"/>
          </rPr>
          <t xml:space="preserve">
6 novillas compradas a Rolland</t>
        </r>
      </text>
    </comment>
    <comment ref="E96" authorId="0" shapeId="0" xr:uid="{E9968D4A-DA62-41C2-9BDB-4A9F3FB11419}">
      <text>
        <r>
          <rPr>
            <b/>
            <sz val="9"/>
            <color indexed="81"/>
            <rFont val="Tahoma"/>
            <family val="2"/>
          </rPr>
          <t>Alfonso Carmona:</t>
        </r>
        <r>
          <rPr>
            <sz val="9"/>
            <color indexed="81"/>
            <rFont val="Tahoma"/>
            <family val="2"/>
          </rPr>
          <t xml:space="preserve">
-1 Buey pasa a cebo</t>
        </r>
      </text>
    </comment>
    <comment ref="J96" authorId="0" shapeId="0" xr:uid="{EE07D6E2-EE3A-4F68-8A8E-826F445287CB}">
      <text>
        <r>
          <rPr>
            <b/>
            <sz val="9"/>
            <color indexed="81"/>
            <rFont val="Tahoma"/>
            <family val="2"/>
          </rPr>
          <t>Alfonso Carmona:</t>
        </r>
        <r>
          <rPr>
            <sz val="9"/>
            <color indexed="81"/>
            <rFont val="Tahoma"/>
            <family val="2"/>
          </rPr>
          <t xml:space="preserve">
-2 madres pasan a desecho y cebo
-1 semental vendido</t>
        </r>
      </text>
    </comment>
    <comment ref="Q96" authorId="0" shapeId="0" xr:uid="{E3798173-8A1E-4915-9846-94A1E9404919}">
      <text>
        <r>
          <rPr>
            <b/>
            <sz val="9"/>
            <color indexed="81"/>
            <rFont val="Tahoma"/>
            <family val="2"/>
          </rPr>
          <t>Alfonso Carmona:</t>
        </r>
        <r>
          <rPr>
            <sz val="9"/>
            <color indexed="81"/>
            <rFont val="Tahoma"/>
            <family val="2"/>
          </rPr>
          <t xml:space="preserve">
1 semental vendido
1 semental a desecho
1 madre a desecho</t>
        </r>
      </text>
    </comment>
    <comment ref="R96" authorId="0" shapeId="0" xr:uid="{E6761397-D9EF-468C-892D-F056B0229DDB}">
      <text>
        <r>
          <rPr>
            <sz val="9"/>
            <color indexed="81"/>
            <rFont val="Tahoma"/>
            <family val="2"/>
          </rPr>
          <t xml:space="preserve">2 madre a desecho
</t>
        </r>
      </text>
    </comment>
    <comment ref="AB96" authorId="0" shapeId="0" xr:uid="{298C8472-5D6D-4B79-8C04-4EEEF84F1FEB}">
      <text>
        <r>
          <rPr>
            <b/>
            <sz val="9"/>
            <color indexed="81"/>
            <rFont val="Tahoma"/>
            <family val="2"/>
          </rPr>
          <t>Alfonso Carmona:</t>
        </r>
        <r>
          <rPr>
            <sz val="9"/>
            <color indexed="81"/>
            <rFont val="Tahoma"/>
            <family val="2"/>
          </rPr>
          <t xml:space="preserve">
venta semental más viejo 8727 
</t>
        </r>
      </text>
    </comment>
    <comment ref="AD96" authorId="0" shapeId="0" xr:uid="{1A511F68-8D37-4343-AFD8-BE2B6D7A8188}">
      <text>
        <r>
          <rPr>
            <b/>
            <sz val="9"/>
            <color indexed="81"/>
            <rFont val="Tahoma"/>
            <family val="2"/>
          </rPr>
          <t>Alfonso Carmona:</t>
        </r>
        <r>
          <rPr>
            <sz val="9"/>
            <color indexed="81"/>
            <rFont val="Tahoma"/>
            <family val="2"/>
          </rPr>
          <t xml:space="preserve">
3 vacas de desecho pasan a cebo</t>
        </r>
      </text>
    </comment>
    <comment ref="Y97" authorId="0" shapeId="0" xr:uid="{325E8C59-AB4E-4081-95C5-303655BF3009}">
      <text>
        <r>
          <rPr>
            <b/>
            <sz val="9"/>
            <color indexed="81"/>
            <rFont val="Tahoma"/>
            <family val="2"/>
          </rPr>
          <t>Alfonso Carmona:</t>
        </r>
        <r>
          <rPr>
            <sz val="9"/>
            <color indexed="81"/>
            <rFont val="Tahoma"/>
            <family val="2"/>
          </rPr>
          <t xml:space="preserve">
muere toro neumonia 0510</t>
        </r>
      </text>
    </comment>
    <comment ref="AE97" authorId="0" shapeId="0" xr:uid="{169F6841-1840-4C96-B1EA-AD9B5C5B2C26}">
      <text>
        <r>
          <rPr>
            <b/>
            <sz val="9"/>
            <color indexed="81"/>
            <rFont val="Tahoma"/>
            <family val="2"/>
          </rPr>
          <t>Alfonso Carmona:</t>
        </r>
        <r>
          <rPr>
            <sz val="9"/>
            <color indexed="81"/>
            <rFont val="Tahoma"/>
            <family val="2"/>
          </rPr>
          <t xml:space="preserve">
2 madres muertas</t>
        </r>
      </text>
    </comment>
    <comment ref="AG97" authorId="0" shapeId="0" xr:uid="{48EEF6E3-263B-4B51-BC41-D7F17EB0D22E}">
      <text>
        <r>
          <rPr>
            <b/>
            <sz val="9"/>
            <color indexed="81"/>
            <rFont val="Tahoma"/>
            <family val="2"/>
          </rPr>
          <t>1 madre muerta</t>
        </r>
      </text>
    </comment>
    <comment ref="AH97" authorId="0" shapeId="0" xr:uid="{10A9DACF-6588-4419-B4CE-8C1C0F3C16B9}">
      <text>
        <r>
          <rPr>
            <b/>
            <sz val="9"/>
            <color indexed="81"/>
            <rFont val="Tahoma"/>
            <family val="2"/>
          </rPr>
          <t>1 madre muerta</t>
        </r>
      </text>
    </comment>
    <comment ref="AI97" authorId="0" shapeId="0" xr:uid="{0EF423CD-1F03-4578-8A03-B6CC16094DA0}">
      <text>
        <r>
          <rPr>
            <b/>
            <sz val="9"/>
            <color indexed="81"/>
            <rFont val="Tahoma"/>
            <family val="2"/>
          </rPr>
          <t>Alfonso Carmona:</t>
        </r>
        <r>
          <rPr>
            <sz val="9"/>
            <color indexed="81"/>
            <rFont val="Tahoma"/>
            <family val="2"/>
          </rPr>
          <t xml:space="preserve">
toro semental adulto cojo a desecho/remate</t>
        </r>
      </text>
    </comment>
    <comment ref="D104" authorId="2" shapeId="0" xr:uid="{1EA639D9-EE1E-4C93-A67B-91AA96B6306B}">
      <text>
        <r>
          <rPr>
            <b/>
            <sz val="9"/>
            <color indexed="81"/>
            <rFont val="Tahoma"/>
            <family val="2"/>
          </rPr>
          <t>alfonso:</t>
        </r>
        <r>
          <rPr>
            <sz val="9"/>
            <color indexed="81"/>
            <rFont val="Tahoma"/>
            <family val="2"/>
          </rPr>
          <t xml:space="preserve">
26 madres que pasan de la piara de cebo crecimiento hembras a reproducción.</t>
        </r>
      </text>
    </comment>
    <comment ref="F104" authorId="0" shapeId="0" xr:uid="{9C4E080C-FD02-445B-83D4-4391691EE5ED}">
      <text>
        <r>
          <rPr>
            <b/>
            <sz val="9"/>
            <color indexed="81"/>
            <rFont val="Tahoma"/>
            <family val="2"/>
          </rPr>
          <t>Alfonso Carmona:</t>
        </r>
        <r>
          <rPr>
            <sz val="9"/>
            <color indexed="81"/>
            <rFont val="Tahoma"/>
            <family val="2"/>
          </rPr>
          <t xml:space="preserve">
6 madres compradas a Rolland, todavía jovenes para la monta.</t>
        </r>
      </text>
    </comment>
    <comment ref="I104" authorId="0" shapeId="0" xr:uid="{E487190B-81F8-4874-9FEA-67EC9AE72627}">
      <text>
        <r>
          <rPr>
            <b/>
            <sz val="9"/>
            <color indexed="81"/>
            <rFont val="Tahoma"/>
            <family val="2"/>
          </rPr>
          <t>Alfonso Carmona:</t>
        </r>
        <r>
          <rPr>
            <sz val="9"/>
            <color indexed="81"/>
            <rFont val="Tahoma"/>
            <family val="2"/>
          </rPr>
          <t xml:space="preserve">
6 madres de Rolland ya maduras que pasan a Reproducción</t>
        </r>
      </text>
    </comment>
    <comment ref="N104" authorId="0" shapeId="0" xr:uid="{484733BC-1DD6-4AFC-85F0-0C1DA0544D84}">
      <text>
        <r>
          <rPr>
            <b/>
            <sz val="9"/>
            <color indexed="81"/>
            <rFont val="Tahoma"/>
            <family val="2"/>
          </rPr>
          <t>Alfonso Carmona:</t>
        </r>
        <r>
          <rPr>
            <sz val="9"/>
            <color indexed="81"/>
            <rFont val="Tahoma"/>
            <family val="2"/>
          </rPr>
          <t xml:space="preserve">
3 madres de Reposicion no maduras todavia
1 toro joven de reposición</t>
        </r>
      </text>
    </comment>
    <comment ref="W104" authorId="0" shapeId="0" xr:uid="{9A3C6A9A-C500-4AC3-A3C5-CCCA3B79CD1A}">
      <text>
        <r>
          <rPr>
            <sz val="9"/>
            <color indexed="81"/>
            <rFont val="Tahoma"/>
            <family val="2"/>
          </rPr>
          <t>3 madres y 1 toro de Reposicion pasan a repro pero las hembras siguen aquí 10 meses más hasta parto en marzo 26</t>
        </r>
      </text>
    </comment>
    <comment ref="AB105" authorId="0" shapeId="0" xr:uid="{8CA8499E-5B10-44D2-A21E-13E3E83DE633}">
      <text>
        <r>
          <rPr>
            <b/>
            <sz val="9"/>
            <color indexed="81"/>
            <rFont val="Tahoma"/>
            <family val="2"/>
          </rPr>
          <t>Alfonso Carmona:</t>
        </r>
        <r>
          <rPr>
            <sz val="9"/>
            <color indexed="81"/>
            <rFont val="Tahoma"/>
            <family val="2"/>
          </rPr>
          <t xml:space="preserve">
semental adulto vendido</t>
        </r>
      </text>
    </comment>
    <comment ref="B115" authorId="1" shapeId="0" xr:uid="{138F7357-2E0B-4110-A079-AB32B9569018}">
      <text>
        <r>
          <rPr>
            <b/>
            <sz val="9"/>
            <color indexed="81"/>
            <rFont val="Tahoma"/>
            <family val="2"/>
          </rPr>
          <t>Alberto Carmona:</t>
        </r>
        <r>
          <rPr>
            <sz val="9"/>
            <color indexed="81"/>
            <rFont val="Tahoma"/>
            <family val="2"/>
          </rPr>
          <t xml:space="preserve">
Destetamos con 4-5 meses </t>
        </r>
      </text>
    </comment>
    <comment ref="G115" authorId="0" shapeId="0" xr:uid="{17BFFF5A-91FA-4976-B4A0-6F79A506A3E7}">
      <text>
        <r>
          <rPr>
            <b/>
            <sz val="9"/>
            <color indexed="81"/>
            <rFont val="Tahoma"/>
            <family val="2"/>
          </rPr>
          <t>Alfonso Carmona:</t>
        </r>
        <r>
          <rPr>
            <sz val="9"/>
            <color indexed="81"/>
            <rFont val="Tahoma"/>
            <family val="2"/>
          </rPr>
          <t xml:space="preserve">
12 destetados de temp 23/24 a cebo inicio 24</t>
        </r>
      </text>
    </comment>
    <comment ref="H115" authorId="0" shapeId="0" xr:uid="{B070A992-F9FC-4DC8-B7AD-D587171A4978}">
      <text>
        <r>
          <rPr>
            <b/>
            <sz val="9"/>
            <color indexed="81"/>
            <rFont val="Tahoma"/>
            <family val="2"/>
          </rPr>
          <t>Alfonso Carmona:</t>
        </r>
        <r>
          <rPr>
            <sz val="9"/>
            <color indexed="81"/>
            <rFont val="Tahoma"/>
            <family val="2"/>
          </rPr>
          <t xml:space="preserve">
6 destetados de temp 23/24 a cebo inicio 24</t>
        </r>
      </text>
    </comment>
    <comment ref="I115" authorId="0" shapeId="0" xr:uid="{5018D60B-6E77-4844-90CE-2D0CDE31D1B6}">
      <text>
        <r>
          <rPr>
            <b/>
            <sz val="9"/>
            <color indexed="81"/>
            <rFont val="Tahoma"/>
            <family val="2"/>
          </rPr>
          <t>Alfonso Carmona:</t>
        </r>
        <r>
          <rPr>
            <sz val="9"/>
            <color indexed="81"/>
            <rFont val="Tahoma"/>
            <family val="2"/>
          </rPr>
          <t xml:space="preserve">
16 destetados de temp 23/24 a cebo inicio 24</t>
        </r>
      </text>
    </comment>
    <comment ref="J115" authorId="0" shapeId="0" xr:uid="{9F743A27-DE76-4D41-9AA0-A8A0F0DBE5D8}">
      <text>
        <r>
          <rPr>
            <b/>
            <sz val="9"/>
            <color indexed="81"/>
            <rFont val="Tahoma"/>
            <family val="2"/>
          </rPr>
          <t>Alfonso Carmona:</t>
        </r>
        <r>
          <rPr>
            <sz val="9"/>
            <color indexed="81"/>
            <rFont val="Tahoma"/>
            <family val="2"/>
          </rPr>
          <t xml:space="preserve">
26 destetados de temp 23/24 a cebo inicio 24</t>
        </r>
      </text>
    </comment>
    <comment ref="K115" authorId="0" shapeId="0" xr:uid="{4D7172A6-E203-4F3F-8515-2FCAB66022EC}">
      <text>
        <r>
          <rPr>
            <b/>
            <sz val="9"/>
            <color indexed="81"/>
            <rFont val="Tahoma"/>
            <family val="2"/>
          </rPr>
          <t>Alfonso Carmona:</t>
        </r>
        <r>
          <rPr>
            <sz val="9"/>
            <color indexed="81"/>
            <rFont val="Tahoma"/>
            <family val="2"/>
          </rPr>
          <t xml:space="preserve">
3 destetados de temp 23/24 a cebo inicio 24</t>
        </r>
      </text>
    </comment>
    <comment ref="L115" authorId="0" shapeId="0" xr:uid="{468C6AD6-A3E1-4C1A-8C4A-9ECFBC6CEB8B}">
      <text>
        <r>
          <rPr>
            <b/>
            <sz val="9"/>
            <color indexed="81"/>
            <rFont val="Tahoma"/>
            <family val="2"/>
          </rPr>
          <t>Alfonso Carmona:</t>
        </r>
        <r>
          <rPr>
            <sz val="9"/>
            <color indexed="81"/>
            <rFont val="Tahoma"/>
            <family val="2"/>
          </rPr>
          <t xml:space="preserve">
4 destetados de temp 23/24 a cebo inicio 24</t>
        </r>
      </text>
    </comment>
    <comment ref="M115" authorId="0" shapeId="0" xr:uid="{22923A33-1F6E-4612-8C9E-51B4798B5374}">
      <text>
        <r>
          <rPr>
            <b/>
            <sz val="9"/>
            <color indexed="81"/>
            <rFont val="Tahoma"/>
            <family val="2"/>
          </rPr>
          <t>Alfonso Carmona:</t>
        </r>
        <r>
          <rPr>
            <sz val="9"/>
            <color indexed="81"/>
            <rFont val="Tahoma"/>
            <family val="2"/>
          </rPr>
          <t xml:space="preserve">
17 destetados de temp 23/24 a cebo inicio 24</t>
        </r>
      </text>
    </comment>
    <comment ref="B116" authorId="1" shapeId="0" xr:uid="{539F9534-4143-44A0-A9F8-6AE404433AEE}">
      <text>
        <r>
          <rPr>
            <b/>
            <sz val="9"/>
            <color indexed="81"/>
            <rFont val="Tahoma"/>
            <family val="2"/>
          </rPr>
          <t>Alberto Carmona:</t>
        </r>
        <r>
          <rPr>
            <sz val="9"/>
            <color indexed="81"/>
            <rFont val="Tahoma"/>
            <family val="2"/>
          </rPr>
          <t xml:space="preserve">
no meter merma si no hay parto, o la fórmula no funciona</t>
        </r>
      </text>
    </comment>
    <comment ref="N116" authorId="0" shapeId="0" xr:uid="{52324F56-0759-4278-B5D7-72414A0F2F94}">
      <text>
        <r>
          <rPr>
            <b/>
            <sz val="9"/>
            <color indexed="81"/>
            <rFont val="Tahoma"/>
            <family val="2"/>
          </rPr>
          <t>Alfonso Carmona:</t>
        </r>
        <r>
          <rPr>
            <sz val="9"/>
            <color indexed="81"/>
            <rFont val="Tahoma"/>
            <family val="2"/>
          </rPr>
          <t xml:space="preserve">
9 abortos que ponemos a boleo por vacas preñadas que en eco siguiente quedaron vacias, motivo probable lengua azul</t>
        </r>
      </text>
    </comment>
    <comment ref="O116" authorId="0" shapeId="0" xr:uid="{FABC5972-3281-4BC6-BFE1-ACEC8F626F07}">
      <text>
        <r>
          <rPr>
            <b/>
            <sz val="9"/>
            <color indexed="81"/>
            <rFont val="Tahoma"/>
            <family val="2"/>
          </rPr>
          <t>Alfonso Carmona:</t>
        </r>
        <r>
          <rPr>
            <sz val="9"/>
            <color indexed="81"/>
            <rFont val="Tahoma"/>
            <family val="2"/>
          </rPr>
          <t xml:space="preserve">
una muerte en parto</t>
        </r>
      </text>
    </comment>
    <comment ref="Q116" authorId="0" shapeId="0" xr:uid="{F5AC6B8E-7B21-4C0F-84F6-13B75A162A43}">
      <text>
        <r>
          <rPr>
            <b/>
            <sz val="9"/>
            <color indexed="81"/>
            <rFont val="Tahoma"/>
            <family val="2"/>
          </rPr>
          <t>Alfonso Carmona:</t>
        </r>
        <r>
          <rPr>
            <sz val="9"/>
            <color indexed="81"/>
            <rFont val="Tahoma"/>
            <family val="2"/>
          </rPr>
          <t xml:space="preserve">
1 aborto</t>
        </r>
      </text>
    </comment>
    <comment ref="R116" authorId="0" shapeId="0" xr:uid="{86BBDC48-A11E-43CD-8AFB-057CAFC553B9}">
      <text>
        <r>
          <rPr>
            <b/>
            <sz val="9"/>
            <color indexed="81"/>
            <rFont val="Tahoma"/>
            <family val="2"/>
          </rPr>
          <t>Alfonso Carmona:</t>
        </r>
        <r>
          <rPr>
            <sz val="9"/>
            <color indexed="81"/>
            <rFont val="Tahoma"/>
            <family val="2"/>
          </rPr>
          <t xml:space="preserve">
3 son abortos</t>
        </r>
      </text>
    </comment>
    <comment ref="T116" authorId="0" shapeId="0" xr:uid="{B001D306-C7E2-4AAB-A426-17FC025C6086}">
      <text>
        <r>
          <rPr>
            <b/>
            <sz val="9"/>
            <color indexed="81"/>
            <rFont val="Tahoma"/>
            <family val="2"/>
          </rPr>
          <t>Alfonso Carmona:</t>
        </r>
        <r>
          <rPr>
            <sz val="9"/>
            <color indexed="81"/>
            <rFont val="Tahoma"/>
            <family val="2"/>
          </rPr>
          <t xml:space="preserve">
1 aborto</t>
        </r>
      </text>
    </comment>
    <comment ref="X116" authorId="0" shapeId="0" xr:uid="{22FAA5AC-C70E-4023-8B88-A8C3E62FFC76}">
      <text>
        <r>
          <rPr>
            <b/>
            <sz val="9"/>
            <color indexed="81"/>
            <rFont val="Tahoma"/>
            <family val="2"/>
          </rPr>
          <t>Alfonso Carmona:</t>
        </r>
        <r>
          <rPr>
            <sz val="9"/>
            <color indexed="81"/>
            <rFont val="Tahoma"/>
            <family val="2"/>
          </rPr>
          <t xml:space="preserve">
muerte 7372
</t>
        </r>
      </text>
    </comment>
    <comment ref="Y116" authorId="0" shapeId="0" xr:uid="{1833A827-E4CA-4A10-A44E-E3FF9DDD07D2}">
      <text>
        <r>
          <rPr>
            <sz val="9"/>
            <color indexed="81"/>
            <rFont val="Tahoma"/>
            <family val="2"/>
          </rPr>
          <t xml:space="preserve">muerte 7355
</t>
        </r>
      </text>
    </comment>
    <comment ref="AB116" authorId="0" shapeId="0" xr:uid="{91ABF06C-5EB1-4ED7-94F6-FC098C30674E}">
      <text>
        <r>
          <rPr>
            <b/>
            <sz val="9"/>
            <color indexed="81"/>
            <rFont val="Tahoma"/>
            <family val="2"/>
          </rPr>
          <t>Alfonso Carmona:</t>
        </r>
        <r>
          <rPr>
            <sz val="9"/>
            <color indexed="81"/>
            <rFont val="Tahoma"/>
            <family val="2"/>
          </rPr>
          <t xml:space="preserve">
muere un nacido en ago25</t>
        </r>
      </text>
    </comment>
    <comment ref="AC116" authorId="0" shapeId="0" xr:uid="{C79233D8-AF6E-41B1-93CA-4DB89ABD88B4}">
      <text>
        <r>
          <rPr>
            <b/>
            <sz val="9"/>
            <color indexed="81"/>
            <rFont val="Tahoma"/>
            <family val="2"/>
          </rPr>
          <t>Alfonso Carmona:</t>
        </r>
        <r>
          <rPr>
            <sz val="9"/>
            <color indexed="81"/>
            <rFont val="Tahoma"/>
            <family val="2"/>
          </rPr>
          <t xml:space="preserve">
muere un nacido en sep25</t>
        </r>
      </text>
    </comment>
    <comment ref="AD116" authorId="0" shapeId="0" xr:uid="{5B2ECD4B-34F6-4A8E-9FAA-A458443FE5DC}">
      <text>
        <r>
          <rPr>
            <b/>
            <sz val="9"/>
            <color indexed="81"/>
            <rFont val="Tahoma"/>
            <family val="2"/>
          </rPr>
          <t>Alfonso Carmona:</t>
        </r>
        <r>
          <rPr>
            <sz val="9"/>
            <color indexed="81"/>
            <rFont val="Tahoma"/>
            <family val="2"/>
          </rPr>
          <t xml:space="preserve">
muere un nacido en ago25</t>
        </r>
      </text>
    </comment>
    <comment ref="AF116" authorId="0" shapeId="0" xr:uid="{E7B9256E-B7CB-4691-A3EC-10CC9C4AA64F}">
      <text>
        <r>
          <rPr>
            <b/>
            <sz val="9"/>
            <color indexed="81"/>
            <rFont val="Tahoma"/>
            <family val="2"/>
          </rPr>
          <t>Alfonso Carmona:</t>
        </r>
        <r>
          <rPr>
            <sz val="9"/>
            <color indexed="81"/>
            <rFont val="Tahoma"/>
            <family val="2"/>
          </rPr>
          <t xml:space="preserve">
Muere 1 nacido en enero
+ otros tres que se verifican en mayo pero mueren en febrero.</t>
        </r>
      </text>
    </comment>
    <comment ref="L123" authorId="0" shapeId="0" xr:uid="{BDC92E2B-5940-4137-B7D1-39CF71E898BF}">
      <text>
        <r>
          <rPr>
            <b/>
            <sz val="9"/>
            <color indexed="81"/>
            <rFont val="Tahoma"/>
            <family val="2"/>
          </rPr>
          <t>Alfonso Carmona:</t>
        </r>
        <r>
          <rPr>
            <sz val="9"/>
            <color indexed="81"/>
            <rFont val="Tahoma"/>
            <family val="2"/>
          </rPr>
          <t xml:space="preserve">
7530 muere en campo el 3.6.24</t>
        </r>
      </text>
    </comment>
    <comment ref="N123" authorId="0" shapeId="0" xr:uid="{C288B7FB-C7ED-43FF-B8A4-8B2DE0935CF3}">
      <text>
        <r>
          <rPr>
            <b/>
            <sz val="9"/>
            <color indexed="81"/>
            <rFont val="Tahoma"/>
            <family val="2"/>
          </rPr>
          <t>Alfonso Carmona:</t>
        </r>
        <r>
          <rPr>
            <sz val="9"/>
            <color indexed="81"/>
            <rFont val="Tahoma"/>
            <family val="2"/>
          </rPr>
          <t xml:space="preserve">
-3 hembras -1 toro de recria
</t>
        </r>
      </text>
    </comment>
    <comment ref="V123" authorId="0" shapeId="0" xr:uid="{C5667C6D-364A-41BE-A5D4-020C2815E775}">
      <text>
        <r>
          <rPr>
            <b/>
            <sz val="9"/>
            <color indexed="81"/>
            <rFont val="Tahoma"/>
            <family val="2"/>
          </rPr>
          <t>Alfonso Carmona:</t>
        </r>
        <r>
          <rPr>
            <sz val="9"/>
            <color indexed="81"/>
            <rFont val="Tahoma"/>
            <family val="2"/>
          </rPr>
          <t xml:space="preserve">
muerte 3/4/25 el 7302</t>
        </r>
      </text>
    </comment>
    <comment ref="X124" authorId="0" shapeId="0" xr:uid="{F7CD87AB-B1FC-4104-B5CC-1E69D3607E83}">
      <text>
        <r>
          <rPr>
            <b/>
            <sz val="9"/>
            <color indexed="81"/>
            <rFont val="Tahoma"/>
            <family val="2"/>
          </rPr>
          <t>Alfonso Carmona:</t>
        </r>
        <r>
          <rPr>
            <sz val="9"/>
            <color indexed="81"/>
            <rFont val="Tahoma"/>
            <family val="2"/>
          </rPr>
          <t xml:space="preserve">
Pasan todos a ser tratados como cebo intermedio</t>
        </r>
      </text>
    </comment>
    <comment ref="Y124" authorId="0" shapeId="0" xr:uid="{6859B6CC-E34B-4602-B315-E03EA2F490A6}">
      <text>
        <r>
          <rPr>
            <b/>
            <sz val="9"/>
            <color indexed="81"/>
            <rFont val="Tahoma"/>
            <family val="2"/>
          </rPr>
          <t>Alfonso Carmona:</t>
        </r>
        <r>
          <rPr>
            <sz val="9"/>
            <color indexed="81"/>
            <rFont val="Tahoma"/>
            <family val="2"/>
          </rPr>
          <t xml:space="preserve">
Pasan todos a ser tratados como cebo intermedio</t>
        </r>
      </text>
    </comment>
    <comment ref="Z124" authorId="0" shapeId="0" xr:uid="{7117E46C-6C9D-4815-B77F-F91EF0773944}">
      <text>
        <r>
          <rPr>
            <b/>
            <sz val="9"/>
            <color indexed="81"/>
            <rFont val="Tahoma"/>
            <family val="2"/>
          </rPr>
          <t>Alfonso Carmona:</t>
        </r>
        <r>
          <rPr>
            <sz val="9"/>
            <color indexed="81"/>
            <rFont val="Tahoma"/>
            <family val="2"/>
          </rPr>
          <t xml:space="preserve">
Pasan todos a ser tratados como cebo intermedio</t>
        </r>
      </text>
    </comment>
    <comment ref="AA124" authorId="0" shapeId="0" xr:uid="{2FE6B7F2-E38D-4EC7-B118-04CD83AC7BAF}">
      <text>
        <r>
          <rPr>
            <b/>
            <sz val="9"/>
            <color indexed="81"/>
            <rFont val="Tahoma"/>
            <family val="2"/>
          </rPr>
          <t>Alfonso Carmona:</t>
        </r>
        <r>
          <rPr>
            <sz val="9"/>
            <color indexed="81"/>
            <rFont val="Tahoma"/>
            <family val="2"/>
          </rPr>
          <t xml:space="preserve">
Pasan todos a ser tratados como cebo intermedio</t>
        </r>
      </text>
    </comment>
    <comment ref="AB124" authorId="0" shapeId="0" xr:uid="{354088EB-DA96-4BCC-A923-C2BC84734DC0}">
      <text>
        <r>
          <rPr>
            <b/>
            <sz val="9"/>
            <color indexed="81"/>
            <rFont val="Tahoma"/>
            <family val="2"/>
          </rPr>
          <t>Alfonso Carmona:</t>
        </r>
        <r>
          <rPr>
            <sz val="9"/>
            <color indexed="81"/>
            <rFont val="Tahoma"/>
            <family val="2"/>
          </rPr>
          <t xml:space="preserve">
Pasan todos a ser tratados como cebo intermedio</t>
        </r>
      </text>
    </comment>
    <comment ref="AC124" authorId="0" shapeId="0" xr:uid="{EC448569-BA4C-426D-83D2-58281AFAEB99}">
      <text>
        <r>
          <rPr>
            <b/>
            <sz val="9"/>
            <color indexed="81"/>
            <rFont val="Tahoma"/>
            <family val="2"/>
          </rPr>
          <t>Alfonso Carmona:</t>
        </r>
        <r>
          <rPr>
            <sz val="9"/>
            <color indexed="81"/>
            <rFont val="Tahoma"/>
            <family val="2"/>
          </rPr>
          <t xml:space="preserve">
Pasan todos a ser tratados como cebo intermedio</t>
        </r>
      </text>
    </comment>
    <comment ref="D125" authorId="2" shapeId="0" xr:uid="{865E21EC-79B7-4FDF-8EFC-E9E9CBF32F27}">
      <text>
        <r>
          <rPr>
            <b/>
            <sz val="9"/>
            <color indexed="81"/>
            <rFont val="Tahoma"/>
            <family val="2"/>
          </rPr>
          <t>alfonso:</t>
        </r>
        <r>
          <rPr>
            <sz val="9"/>
            <color indexed="81"/>
            <rFont val="Tahoma"/>
            <family val="2"/>
          </rPr>
          <t xml:space="preserve">
se venden 61 en peso en octubre a Flor de las Cruces de cebo inicio 23</t>
        </r>
      </text>
    </comment>
    <comment ref="G125" authorId="0" shapeId="0" xr:uid="{1CEECD12-D840-4FB2-B25F-BCF3623544EF}">
      <text>
        <r>
          <rPr>
            <sz val="9"/>
            <color indexed="81"/>
            <rFont val="Tahoma"/>
            <family val="2"/>
          </rPr>
          <t xml:space="preserve">-12 Venta a Flor de Las Cruces de cebo inicio 23
-46 venta Flor de las cruces de cebo inicio 23
-3-9 venta a Velasco de cebo inicio 23
</t>
        </r>
      </text>
    </comment>
    <comment ref="J125" authorId="0" shapeId="0" xr:uid="{8EF2EA39-6CFE-44E9-91AB-2C662C8DE531}">
      <text>
        <r>
          <rPr>
            <b/>
            <sz val="9"/>
            <color indexed="81"/>
            <rFont val="Tahoma"/>
            <family val="2"/>
          </rPr>
          <t xml:space="preserve">-1 Venta Agustin Salamnca. Ultimo de cebo 23 (Termina el stock de lo nacidos en 22/23) 
-24 Venta Agustin Salamnca. Priemra partida de cebo 24
</t>
        </r>
      </text>
    </comment>
    <comment ref="K125" authorId="0" shapeId="0" xr:uid="{D146DB02-680A-4C35-967A-A2B7082B2F4D}">
      <text>
        <r>
          <rPr>
            <b/>
            <sz val="9"/>
            <color indexed="81"/>
            <rFont val="Tahoma"/>
            <family val="2"/>
          </rPr>
          <t>Alfonso Carmona:</t>
        </r>
        <r>
          <rPr>
            <sz val="9"/>
            <color indexed="81"/>
            <rFont val="Tahoma"/>
            <family val="2"/>
          </rPr>
          <t xml:space="preserve">
-1 macho de cebo 24 vendido a Carlos Roque para vida
</t>
        </r>
      </text>
    </comment>
    <comment ref="L125" authorId="0" shapeId="0" xr:uid="{D91D6604-BA3D-42CB-8421-3B547E75A699}">
      <text>
        <r>
          <rPr>
            <b/>
            <sz val="9"/>
            <color indexed="81"/>
            <rFont val="Tahoma"/>
            <family val="2"/>
          </rPr>
          <t xml:space="preserve">Alfonso Carmona:
</t>
        </r>
        <r>
          <rPr>
            <sz val="9"/>
            <color indexed="81"/>
            <rFont val="Tahoma"/>
            <family val="2"/>
          </rPr>
          <t xml:space="preserve">-21 Venta Agustin Salamnca. De cebo 24
</t>
        </r>
        <r>
          <rPr>
            <sz val="9"/>
            <color indexed="81"/>
            <rFont val="Tahoma"/>
            <family val="2"/>
          </rPr>
          <t xml:space="preserve">
</t>
        </r>
      </text>
    </comment>
    <comment ref="N125" authorId="0" shapeId="0" xr:uid="{8C1F1338-EEE6-4D36-B7E9-8F2AEF1AA2A5}">
      <text>
        <r>
          <rPr>
            <sz val="9"/>
            <color indexed="81"/>
            <rFont val="Tahoma"/>
            <family val="2"/>
          </rPr>
          <t>-14 Venta Agustin Salamnca. De cebo 24
-1 a Carlos Roque</t>
        </r>
      </text>
    </comment>
    <comment ref="O125" authorId="0" shapeId="0" xr:uid="{8972B5BA-FDC0-4398-B516-ECA70A51E300}">
      <text>
        <r>
          <rPr>
            <sz val="9"/>
            <color indexed="81"/>
            <rFont val="Tahoma"/>
            <family val="2"/>
          </rPr>
          <t xml:space="preserve">Juan Antonio Garcia 
5 terneras y 16 terneros: </t>
        </r>
      </text>
    </comment>
    <comment ref="AG131" authorId="0" shapeId="0" xr:uid="{7DB01624-B2DD-4B7E-B50F-A71F41ECFB37}">
      <text>
        <r>
          <rPr>
            <sz val="9"/>
            <color indexed="81"/>
            <rFont val="Tahoma"/>
            <family val="2"/>
          </rPr>
          <t>15 angus compradas en Elbas, Portugal</t>
        </r>
      </text>
    </comment>
    <comment ref="AH131" authorId="0" shapeId="0" xr:uid="{2AC837FE-F6F9-4065-BF38-B39BAFA21B86}">
      <text>
        <r>
          <rPr>
            <b/>
            <sz val="9"/>
            <color indexed="81"/>
            <rFont val="Tahoma"/>
            <family val="2"/>
          </rPr>
          <t>Alfonso Carmona:</t>
        </r>
        <r>
          <rPr>
            <sz val="9"/>
            <color indexed="81"/>
            <rFont val="Tahoma"/>
            <family val="2"/>
          </rPr>
          <t xml:space="preserve">
1 cebo intermedio recria muerta</t>
        </r>
      </text>
    </comment>
    <comment ref="AI131" authorId="0" shapeId="0" xr:uid="{585D44D3-40BA-4E7E-BB9D-35ACE0B34001}">
      <text>
        <r>
          <rPr>
            <sz val="9"/>
            <color indexed="81"/>
            <rFont val="Tahoma"/>
            <family val="2"/>
          </rPr>
          <t xml:space="preserve">7 madres jovenes + 2 sementales jovenes pasan a adultos y a repro.
</t>
        </r>
      </text>
    </comment>
    <comment ref="AJ131" authorId="0" shapeId="0" xr:uid="{2EDC0012-6D5E-4958-8FF0-A0AAE2C5FB12}">
      <text>
        <r>
          <rPr>
            <b/>
            <sz val="9"/>
            <color indexed="81"/>
            <rFont val="Tahoma"/>
            <family val="2"/>
          </rPr>
          <t xml:space="preserve">7 recria a repro.
</t>
        </r>
        <r>
          <rPr>
            <sz val="9"/>
            <color indexed="81"/>
            <rFont val="Tahoma"/>
            <family val="2"/>
          </rPr>
          <t xml:space="preserve">
</t>
        </r>
      </text>
    </comment>
    <comment ref="AK131" authorId="0" shapeId="0" xr:uid="{9518AA0F-8238-4EA4-B97D-4B23F097DE15}">
      <text>
        <r>
          <rPr>
            <b/>
            <sz val="9"/>
            <color indexed="81"/>
            <rFont val="Tahoma"/>
            <family val="2"/>
          </rPr>
          <t xml:space="preserve">7 recria a repro.
</t>
        </r>
        <r>
          <rPr>
            <sz val="9"/>
            <color indexed="81"/>
            <rFont val="Tahoma"/>
            <family val="2"/>
          </rPr>
          <t xml:space="preserve">
</t>
        </r>
        <r>
          <rPr>
            <b/>
            <sz val="9"/>
            <color indexed="81"/>
            <rFont val="Tahoma"/>
            <family val="2"/>
          </rPr>
          <t xml:space="preserve">4 novillas Elvas pasan a repro
</t>
        </r>
      </text>
    </comment>
    <comment ref="AL131" authorId="0" shapeId="0" xr:uid="{69623766-B342-4CBE-A3E4-D9C8E4BDE2DD}">
      <text>
        <r>
          <rPr>
            <b/>
            <sz val="9"/>
            <color indexed="81"/>
            <rFont val="Tahoma"/>
            <family val="2"/>
          </rPr>
          <t xml:space="preserve">7 recria a repro.
</t>
        </r>
        <r>
          <rPr>
            <sz val="9"/>
            <color indexed="81"/>
            <rFont val="Tahoma"/>
            <family val="2"/>
          </rPr>
          <t xml:space="preserve">
</t>
        </r>
        <r>
          <rPr>
            <b/>
            <sz val="9"/>
            <color indexed="81"/>
            <rFont val="Tahoma"/>
            <family val="2"/>
          </rPr>
          <t xml:space="preserve">7 novillas Elvas pasan a repro
</t>
        </r>
      </text>
    </comment>
    <comment ref="AO131" authorId="0" shapeId="0" xr:uid="{4D85B037-A005-4E51-A3E0-D160D4F0A604}">
      <text>
        <r>
          <rPr>
            <b/>
            <sz val="9"/>
            <color indexed="81"/>
            <rFont val="Tahoma"/>
            <family val="2"/>
          </rPr>
          <t xml:space="preserve">13 recria a repro.
1 toro recria a semental
4 novillas Elvas pasan a repro
</t>
        </r>
      </text>
    </comment>
    <comment ref="AP131" authorId="0" shapeId="0" xr:uid="{8DD28D88-DF58-4F12-AD9C-73F6658BA768}">
      <text>
        <r>
          <rPr>
            <b/>
            <sz val="9"/>
            <color indexed="81"/>
            <rFont val="Tahoma"/>
            <family val="2"/>
          </rPr>
          <t>2 recria a repro.
1 de cebo int del saldo de mayo a repro</t>
        </r>
      </text>
    </comment>
    <comment ref="AR131" authorId="0" shapeId="0" xr:uid="{7512D1E1-4E6D-439A-8A48-817450E25440}">
      <text>
        <r>
          <rPr>
            <b/>
            <sz val="9"/>
            <color indexed="81"/>
            <rFont val="Tahoma"/>
            <family val="2"/>
          </rPr>
          <t>4 de cebo int del saldo de mayo a repro</t>
        </r>
      </text>
    </comment>
    <comment ref="AS131" authorId="0" shapeId="0" xr:uid="{678D854B-4F68-4F44-958A-242544B18A02}">
      <text>
        <r>
          <rPr>
            <b/>
            <sz val="9"/>
            <color indexed="81"/>
            <rFont val="Tahoma"/>
            <family val="2"/>
          </rPr>
          <t>7 de cebo int del saldo de mayo a repro</t>
        </r>
      </text>
    </comment>
    <comment ref="AT131" authorId="0" shapeId="0" xr:uid="{821AA074-598C-4966-A261-1EE359A0A282}">
      <text>
        <r>
          <rPr>
            <b/>
            <sz val="9"/>
            <color indexed="81"/>
            <rFont val="Tahoma"/>
            <family val="2"/>
          </rPr>
          <t>6 de cebo int del saldo de mayo a repro</t>
        </r>
      </text>
    </comment>
    <comment ref="AU131" authorId="0" shapeId="0" xr:uid="{04CEAA28-34E7-4358-B8DA-4F1D52983621}">
      <text>
        <r>
          <rPr>
            <b/>
            <sz val="9"/>
            <color indexed="81"/>
            <rFont val="Tahoma"/>
            <family val="2"/>
          </rPr>
          <t>6 de cebo int del saldo de mayo a repro</t>
        </r>
      </text>
    </comment>
    <comment ref="AX131" authorId="0" shapeId="0" xr:uid="{3D601AB1-B3A2-4ADC-A90A-6A7CEAD29E84}">
      <text>
        <r>
          <rPr>
            <sz val="9"/>
            <color indexed="81"/>
            <rFont val="Tahoma"/>
            <family val="2"/>
          </rPr>
          <t>6 de los 13 destetados en junio (ESTIMACION) a repro</t>
        </r>
      </text>
    </comment>
    <comment ref="AY131" authorId="0" shapeId="0" xr:uid="{16B3AE3C-72A0-426C-B964-40D7389C10AB}">
      <text>
        <r>
          <rPr>
            <sz val="9"/>
            <color indexed="81"/>
            <rFont val="Tahoma"/>
            <family val="2"/>
          </rPr>
          <t>5 de los 10 destetados en julio (ESTIMACION) a repro</t>
        </r>
      </text>
    </comment>
    <comment ref="AZ131" authorId="0" shapeId="0" xr:uid="{B6AE18C7-32B7-49D2-8CA8-D2BC6F4E358B}">
      <text>
        <r>
          <rPr>
            <sz val="9"/>
            <color indexed="81"/>
            <rFont val="Tahoma"/>
            <family val="2"/>
          </rPr>
          <t>15 de los 30 destetados en ago (ESTIMACION) a repro</t>
        </r>
      </text>
    </comment>
    <comment ref="BA131" authorId="0" shapeId="0" xr:uid="{7532C202-2803-44E4-9CBA-9224BD2CC24C}">
      <text>
        <r>
          <rPr>
            <sz val="9"/>
            <color indexed="81"/>
            <rFont val="Tahoma"/>
            <family val="2"/>
          </rPr>
          <t>3 de los 7 destetados en sep (ESTIMACION) a repro</t>
        </r>
      </text>
    </comment>
    <comment ref="E133" authorId="0" shapeId="0" xr:uid="{EBF85FC9-147D-4DEC-9F72-29DBF6E067B6}">
      <text>
        <r>
          <rPr>
            <b/>
            <sz val="9"/>
            <color indexed="81"/>
            <rFont val="Tahoma"/>
            <family val="2"/>
          </rPr>
          <t>Alfonso Carmona:</t>
        </r>
        <r>
          <rPr>
            <sz val="9"/>
            <color indexed="81"/>
            <rFont val="Tahoma"/>
            <family val="2"/>
          </rPr>
          <t xml:space="preserve">
se venden 17+36 Ganadero de Toledo</t>
        </r>
      </text>
    </comment>
    <comment ref="Z133" authorId="0" shapeId="0" xr:uid="{34410307-78C0-4E52-8193-2BB72458E2F1}">
      <text>
        <r>
          <rPr>
            <sz val="9"/>
            <color indexed="81"/>
            <rFont val="Tahoma"/>
            <family val="2"/>
          </rPr>
          <t xml:space="preserve">machos a venta </t>
        </r>
      </text>
    </comment>
    <comment ref="AB133" authorId="0" shapeId="0" xr:uid="{49648202-9CE7-46AD-9B3C-27552C4ECF93}">
      <text>
        <r>
          <rPr>
            <sz val="9"/>
            <color indexed="81"/>
            <rFont val="Tahoma"/>
            <family val="2"/>
          </rPr>
          <t>8 machos a venta 
1 hembra de recria</t>
        </r>
      </text>
    </comment>
    <comment ref="AC133" authorId="0" shapeId="0" xr:uid="{556BCB12-A8E5-45AA-875A-446D880C1642}">
      <text>
        <r>
          <rPr>
            <b/>
            <sz val="9"/>
            <color indexed="81"/>
            <rFont val="Tahoma"/>
            <family val="2"/>
          </rPr>
          <t>Alfonso Carmona:</t>
        </r>
        <r>
          <rPr>
            <sz val="9"/>
            <color indexed="81"/>
            <rFont val="Tahoma"/>
            <family val="2"/>
          </rPr>
          <t xml:space="preserve">
machos a venta</t>
        </r>
      </text>
    </comment>
    <comment ref="AD133" authorId="0" shapeId="0" xr:uid="{FB12BE5B-A494-4044-8054-1737EFCCDD41}">
      <text>
        <r>
          <rPr>
            <b/>
            <sz val="9"/>
            <color indexed="81"/>
            <rFont val="Tahoma"/>
            <family val="2"/>
          </rPr>
          <t>Alfonso Carmona:</t>
        </r>
        <r>
          <rPr>
            <sz val="9"/>
            <color indexed="81"/>
            <rFont val="Tahoma"/>
            <family val="2"/>
          </rPr>
          <t xml:space="preserve">
6 salen a venta a Agustín (5 machos y 1 hembra)</t>
        </r>
      </text>
    </comment>
    <comment ref="AL133" authorId="0" shapeId="0" xr:uid="{71A528E9-B186-4DF4-A138-CDA5D1951798}">
      <text>
        <r>
          <rPr>
            <b/>
            <sz val="9"/>
            <color indexed="81"/>
            <rFont val="Tahoma"/>
            <family val="2"/>
          </rPr>
          <t>5 ultimos presentes tras el destete de mayo
7 de los 13 destetados en junio (ESTIMACION)</t>
        </r>
      </text>
    </comment>
    <comment ref="AM133" authorId="0" shapeId="0" xr:uid="{B12AB5E6-E0CB-45E5-9BC9-261891E279DA}">
      <text>
        <r>
          <rPr>
            <b/>
            <sz val="9"/>
            <color indexed="81"/>
            <rFont val="Tahoma"/>
            <family val="2"/>
          </rPr>
          <t>5 de los 10 destetados en julio (ESTIMACION)</t>
        </r>
      </text>
    </comment>
    <comment ref="AN133" authorId="0" shapeId="0" xr:uid="{7078E718-E1F6-4867-B304-B45914D93538}">
      <text>
        <r>
          <rPr>
            <b/>
            <sz val="9"/>
            <color indexed="81"/>
            <rFont val="Tahoma"/>
            <family val="2"/>
          </rPr>
          <t>15 de los 30 destetados en ago (ESTIMACION)</t>
        </r>
      </text>
    </comment>
    <comment ref="AO133" authorId="0" shapeId="0" xr:uid="{1A837213-AA98-447C-A5E6-93DB5D5ED4AC}">
      <text>
        <r>
          <rPr>
            <b/>
            <sz val="9"/>
            <color indexed="81"/>
            <rFont val="Tahoma"/>
            <family val="2"/>
          </rPr>
          <t>4 de los 7 destetados en setp (ESTIMACION)</t>
        </r>
      </text>
    </comment>
    <comment ref="J139" authorId="0" shapeId="0" xr:uid="{F65AC406-19D7-4212-9EC0-01F7586AFDA9}">
      <text>
        <r>
          <rPr>
            <b/>
            <sz val="9"/>
            <color indexed="81"/>
            <rFont val="Tahoma"/>
            <family val="2"/>
          </rPr>
          <t>Alfonso Carmona:</t>
        </r>
        <r>
          <rPr>
            <sz val="9"/>
            <color indexed="81"/>
            <rFont val="Tahoma"/>
            <family val="2"/>
          </rPr>
          <t xml:space="preserve">
2 madres que pasamos a desecho y remate</t>
        </r>
      </text>
    </comment>
    <comment ref="Q139" authorId="0" shapeId="0" xr:uid="{CBC9196A-4D6A-4206-AABB-F1A6A8730782}">
      <text>
        <r>
          <rPr>
            <b/>
            <sz val="9"/>
            <color indexed="81"/>
            <rFont val="Tahoma"/>
            <family val="2"/>
          </rPr>
          <t>Alfonso Carmona:</t>
        </r>
        <r>
          <rPr>
            <sz val="9"/>
            <color indexed="81"/>
            <rFont val="Tahoma"/>
            <family val="2"/>
          </rPr>
          <t xml:space="preserve">
1 semental a desecho
1 madre a desecho</t>
        </r>
      </text>
    </comment>
    <comment ref="R139" authorId="0" shapeId="0" xr:uid="{9A0F012D-AB3E-489E-AD4A-3265703BD950}">
      <text>
        <r>
          <rPr>
            <sz val="9"/>
            <color indexed="81"/>
            <rFont val="Tahoma"/>
            <family val="2"/>
          </rPr>
          <t xml:space="preserve">2 madre a desecho
</t>
        </r>
      </text>
    </comment>
    <comment ref="AD139" authorId="0" shapeId="0" xr:uid="{C89E2568-EA63-4528-85CE-7BABC973C3A3}">
      <text>
        <r>
          <rPr>
            <b/>
            <sz val="9"/>
            <color indexed="81"/>
            <rFont val="Tahoma"/>
            <family val="2"/>
          </rPr>
          <t>Alfonso Carmona:</t>
        </r>
        <r>
          <rPr>
            <sz val="9"/>
            <color indexed="81"/>
            <rFont val="Tahoma"/>
            <family val="2"/>
          </rPr>
          <t xml:space="preserve">
3 vacas de desecho que entran a cebo</t>
        </r>
      </text>
    </comment>
    <comment ref="AI139" authorId="0" shapeId="0" xr:uid="{6543543C-9675-43AE-AC08-BBBE619184D0}">
      <text>
        <r>
          <rPr>
            <b/>
            <sz val="9"/>
            <color indexed="81"/>
            <rFont val="Tahoma"/>
            <family val="2"/>
          </rPr>
          <t>Alfonso Carmona:</t>
        </r>
        <r>
          <rPr>
            <sz val="9"/>
            <color indexed="81"/>
            <rFont val="Tahoma"/>
            <family val="2"/>
          </rPr>
          <t xml:space="preserve">
toro semental adulto cojo a desecho/remate</t>
        </r>
      </text>
    </comment>
    <comment ref="AD140" authorId="0" shapeId="0" xr:uid="{40306F4A-7487-4668-B9EC-9E730A658113}">
      <text>
        <r>
          <rPr>
            <b/>
            <sz val="9"/>
            <color indexed="81"/>
            <rFont val="Tahoma"/>
            <family val="2"/>
          </rPr>
          <t>Alfonso Carmona:</t>
        </r>
        <r>
          <rPr>
            <sz val="9"/>
            <color indexed="81"/>
            <rFont val="Tahoma"/>
            <family val="2"/>
          </rPr>
          <t xml:space="preserve">
macho de remate muerto de basquilla</t>
        </r>
      </text>
    </comment>
    <comment ref="AE140" authorId="0" shapeId="0" xr:uid="{72C2F95C-DC7F-41D6-8EB2-8E9B1290B56B}">
      <text>
        <r>
          <rPr>
            <b/>
            <sz val="9"/>
            <color indexed="81"/>
            <rFont val="Tahoma"/>
            <family val="2"/>
          </rPr>
          <t>Alfonso Carmona:</t>
        </r>
        <r>
          <rPr>
            <sz val="9"/>
            <color indexed="81"/>
            <rFont val="Tahoma"/>
            <family val="2"/>
          </rPr>
          <t xml:space="preserve">
macho de remate muerto de basquilla</t>
        </r>
      </text>
    </comment>
    <comment ref="H141" authorId="0" shapeId="0" xr:uid="{CA43C1D0-6CD8-4AFE-B121-A61D73B57A7C}">
      <text>
        <r>
          <rPr>
            <sz val="9"/>
            <color indexed="81"/>
            <rFont val="Tahoma"/>
            <family val="2"/>
          </rPr>
          <t>Venta Hamburdehesa
-8 animales
Se queda el buey solo en remate</t>
        </r>
      </text>
    </comment>
    <comment ref="M141" authorId="0" shapeId="0" xr:uid="{362495A5-1291-4BDE-9662-51596BC87F22}">
      <text>
        <r>
          <rPr>
            <sz val="9"/>
            <color indexed="81"/>
            <rFont val="Tahoma"/>
            <family val="2"/>
          </rPr>
          <t>Venta Hamburdehesa
-2 vacas de desecho
Se queda el buey solo en remate</t>
        </r>
      </text>
    </comment>
    <comment ref="T141" authorId="0" shapeId="0" xr:uid="{0A3DA0F4-3ABC-40D3-9A8E-EAC955E09A05}">
      <text>
        <r>
          <rPr>
            <b/>
            <sz val="9"/>
            <color indexed="81"/>
            <rFont val="Tahoma"/>
            <family val="2"/>
          </rPr>
          <t>Alfonso Carmona:</t>
        </r>
        <r>
          <rPr>
            <sz val="9"/>
            <color indexed="81"/>
            <rFont val="Tahoma"/>
            <family val="2"/>
          </rPr>
          <t xml:space="preserve">
Venta como desecho a Granadino carnicero</t>
        </r>
      </text>
    </comment>
    <comment ref="V141" authorId="0" shapeId="0" xr:uid="{2B63ACD6-BA5E-4F5A-9553-45C9593A7842}">
      <text>
        <r>
          <rPr>
            <sz val="9"/>
            <color indexed="81"/>
            <rFont val="Tahoma"/>
            <family val="2"/>
          </rPr>
          <t>venta 1 Buey y 3 hembras madres desecho</t>
        </r>
      </text>
    </comment>
    <comment ref="B144" authorId="1" shapeId="0" xr:uid="{22898381-1BDD-42DB-B320-A6934D09122F}">
      <text>
        <r>
          <rPr>
            <b/>
            <sz val="9"/>
            <color indexed="81"/>
            <rFont val="Tahoma"/>
            <family val="2"/>
          </rPr>
          <t>Alberto Carmona:</t>
        </r>
        <r>
          <rPr>
            <sz val="9"/>
            <color indexed="81"/>
            <rFont val="Tahoma"/>
            <family val="2"/>
          </rPr>
          <t xml:space="preserve">
Complemento si fuera necesario (harina, taco, etc.)</t>
        </r>
      </text>
    </comment>
    <comment ref="B147" authorId="1" shapeId="0" xr:uid="{440A16C9-D15D-4D9D-8E1D-26FE3149B3CD}">
      <text>
        <r>
          <rPr>
            <b/>
            <sz val="9"/>
            <color indexed="81"/>
            <rFont val="Tahoma"/>
            <family val="2"/>
          </rPr>
          <t>Alberto Carmona:</t>
        </r>
        <r>
          <rPr>
            <sz val="9"/>
            <color indexed="81"/>
            <rFont val="Tahoma"/>
            <family val="2"/>
          </rPr>
          <t xml:space="preserve">
A partir del 3er mes combinan leche y harina</t>
        </r>
      </text>
    </comment>
    <comment ref="P212" authorId="0" shapeId="0" xr:uid="{6226ABBE-5605-4DBE-9902-0B76EE608A4E}">
      <text>
        <r>
          <rPr>
            <b/>
            <sz val="9"/>
            <color indexed="81"/>
            <rFont val="Tahoma"/>
            <family val="2"/>
          </rPr>
          <t>Alfonso Carmona:</t>
        </r>
        <r>
          <rPr>
            <sz val="9"/>
            <color indexed="81"/>
            <rFont val="Tahoma"/>
            <family val="2"/>
          </rPr>
          <t xml:space="preserve">
ajuste manual de stock</t>
        </r>
      </text>
    </comment>
    <comment ref="S212" authorId="0" shapeId="0" xr:uid="{A641C9AD-C8AA-4130-A5BD-4A2006FC428A}">
      <text>
        <r>
          <rPr>
            <b/>
            <sz val="9"/>
            <color indexed="81"/>
            <rFont val="Tahoma"/>
            <family val="2"/>
          </rPr>
          <t>Alfonso Carmona:</t>
        </r>
        <r>
          <rPr>
            <sz val="9"/>
            <color indexed="81"/>
            <rFont val="Tahoma"/>
            <family val="2"/>
          </rPr>
          <t xml:space="preserve">
stock ajustado a mano</t>
        </r>
      </text>
    </comment>
    <comment ref="X212" authorId="0" shapeId="0" xr:uid="{E7338BB8-92C3-4520-A772-643FBC97C536}">
      <text>
        <r>
          <rPr>
            <b/>
            <sz val="9"/>
            <color indexed="81"/>
            <rFont val="Tahoma"/>
            <family val="2"/>
          </rPr>
          <t>Alfonso Carmona:</t>
        </r>
        <r>
          <rPr>
            <sz val="9"/>
            <color indexed="81"/>
            <rFont val="Tahoma"/>
            <family val="2"/>
          </rPr>
          <t xml:space="preserve">
stock ajustado a mano</t>
        </r>
      </text>
    </comment>
    <comment ref="AD212" authorId="0" shapeId="0" xr:uid="{CAF17358-D92F-45CA-AB4F-7D8F53B6E163}">
      <text>
        <r>
          <rPr>
            <b/>
            <sz val="9"/>
            <color indexed="81"/>
            <rFont val="Tahoma"/>
            <family val="2"/>
          </rPr>
          <t>Alfonso Carmona:</t>
        </r>
        <r>
          <rPr>
            <sz val="9"/>
            <color indexed="81"/>
            <rFont val="Tahoma"/>
            <family val="2"/>
          </rPr>
          <t xml:space="preserve">
stock ajustado a mano</t>
        </r>
      </text>
    </comment>
    <comment ref="AH212" authorId="0" shapeId="0" xr:uid="{7863377B-C728-4906-AD17-B6C4C1025EAC}">
      <text>
        <r>
          <rPr>
            <b/>
            <sz val="9"/>
            <color indexed="81"/>
            <rFont val="Tahoma"/>
            <family val="2"/>
          </rPr>
          <t>Alfonso Carmona:</t>
        </r>
        <r>
          <rPr>
            <sz val="9"/>
            <color indexed="81"/>
            <rFont val="Tahoma"/>
            <family val="2"/>
          </rPr>
          <t xml:space="preserve">
stock ajustado a mano</t>
        </r>
      </text>
    </comment>
    <comment ref="AE213" authorId="3" shapeId="0" xr:uid="{E1D7E11D-D09D-4272-A3A7-4C3D3C80FDE4}">
      <text>
        <r>
          <rPr>
            <b/>
            <sz val="9"/>
            <color indexed="81"/>
            <rFont val="Tahoma"/>
            <family val="2"/>
          </rPr>
          <t>Maria:</t>
        </r>
        <r>
          <rPr>
            <sz val="9"/>
            <color indexed="81"/>
            <rFont val="Tahoma"/>
            <family val="2"/>
          </rPr>
          <t xml:space="preserve">
Entran 6000 kg de avena que entraron como siembra en octubre y se destinan ahora como alimento. </t>
        </r>
      </text>
    </comment>
    <comment ref="AH213" authorId="3" shapeId="0" xr:uid="{3F9CD472-40CE-462A-9EF8-66CD2DE4D360}">
      <text>
        <r>
          <rPr>
            <b/>
            <sz val="9"/>
            <color indexed="81"/>
            <rFont val="Tahoma"/>
            <family val="2"/>
          </rPr>
          <t>Maria:</t>
        </r>
        <r>
          <rPr>
            <sz val="9"/>
            <color indexed="81"/>
            <rFont val="Tahoma"/>
            <family val="2"/>
          </rPr>
          <t xml:space="preserve">
Entra pedido de trigo de cereales mendez. </t>
        </r>
      </text>
    </comment>
    <comment ref="P219" authorId="0" shapeId="0" xr:uid="{AEAE7136-9983-4A75-8539-B6165E7FE3AC}">
      <text>
        <r>
          <rPr>
            <b/>
            <sz val="9"/>
            <color indexed="81"/>
            <rFont val="Tahoma"/>
            <family val="2"/>
          </rPr>
          <t>Alfonso Carmona:</t>
        </r>
        <r>
          <rPr>
            <sz val="9"/>
            <color indexed="81"/>
            <rFont val="Tahoma"/>
            <family val="2"/>
          </rPr>
          <t xml:space="preserve">
ajuste manual de stock</t>
        </r>
      </text>
    </comment>
    <comment ref="AI219" authorId="0" shapeId="0" xr:uid="{9414BCBB-2BB1-4D09-8F1C-BA174340592F}">
      <text>
        <r>
          <rPr>
            <b/>
            <sz val="9"/>
            <color indexed="81"/>
            <rFont val="Tahoma"/>
            <family val="2"/>
          </rPr>
          <t>Alfonso Carmona:</t>
        </r>
        <r>
          <rPr>
            <sz val="9"/>
            <color indexed="81"/>
            <rFont val="Tahoma"/>
            <family val="2"/>
          </rPr>
          <t xml:space="preserve">
stock ajustado a mano</t>
        </r>
      </text>
    </comment>
    <comment ref="AH220" authorId="0" shapeId="0" xr:uid="{6BC8283E-DB5C-4E04-AD8A-B90EEF8E5057}">
      <text>
        <r>
          <rPr>
            <b/>
            <sz val="9"/>
            <color indexed="81"/>
            <rFont val="Tahoma"/>
            <family val="2"/>
          </rPr>
          <t>Alfonso Carmona:</t>
        </r>
        <r>
          <rPr>
            <sz val="9"/>
            <color indexed="81"/>
            <rFont val="Tahoma"/>
            <family val="2"/>
          </rPr>
          <t xml:space="preserve">
4500 kg de semilla vieja (ceral picado, solo es leguminosa)</t>
        </r>
      </text>
    </comment>
    <comment ref="P240" authorId="0" shapeId="0" xr:uid="{C78939C0-DCA0-4502-BFCD-A328D2B4322D}">
      <text>
        <r>
          <rPr>
            <b/>
            <sz val="9"/>
            <color indexed="81"/>
            <rFont val="Tahoma"/>
            <family val="2"/>
          </rPr>
          <t>Alfonso Carmona:</t>
        </r>
        <r>
          <rPr>
            <sz val="9"/>
            <color indexed="81"/>
            <rFont val="Tahoma"/>
            <family val="2"/>
          </rPr>
          <t xml:space="preserve">
ajuste manual de stock</t>
        </r>
      </text>
    </comment>
    <comment ref="X240" authorId="0" shapeId="0" xr:uid="{79B08983-2BE6-4032-B3A9-0256C742A360}">
      <text>
        <r>
          <rPr>
            <b/>
            <sz val="9"/>
            <color indexed="81"/>
            <rFont val="Tahoma"/>
            <family val="2"/>
          </rPr>
          <t>Alfonso Carmona:</t>
        </r>
        <r>
          <rPr>
            <sz val="9"/>
            <color indexed="81"/>
            <rFont val="Tahoma"/>
            <family val="2"/>
          </rPr>
          <t xml:space="preserve">
stock ajustado a mano</t>
        </r>
      </text>
    </comment>
    <comment ref="AE240" authorId="0" shapeId="0" xr:uid="{12FB2AEA-A541-4571-A3AD-CC74AC3CB315}">
      <text>
        <r>
          <rPr>
            <b/>
            <sz val="9"/>
            <color indexed="81"/>
            <rFont val="Tahoma"/>
            <family val="2"/>
          </rPr>
          <t>Alfonso Carmona:</t>
        </r>
        <r>
          <rPr>
            <sz val="9"/>
            <color indexed="81"/>
            <rFont val="Tahoma"/>
            <family val="2"/>
          </rPr>
          <t xml:space="preserve">
stock ajustado a mano</t>
        </r>
      </text>
    </comment>
    <comment ref="P247" authorId="0" shapeId="0" xr:uid="{32BF0B3F-DEFC-40BD-9B40-BCFD4B6FD3B8}">
      <text>
        <r>
          <rPr>
            <b/>
            <sz val="9"/>
            <color indexed="81"/>
            <rFont val="Tahoma"/>
            <family val="2"/>
          </rPr>
          <t>Alfonso Carmona:</t>
        </r>
        <r>
          <rPr>
            <sz val="9"/>
            <color indexed="81"/>
            <rFont val="Tahoma"/>
            <family val="2"/>
          </rPr>
          <t xml:space="preserve">
ajuste manual de stock</t>
        </r>
      </text>
    </comment>
    <comment ref="T247" authorId="3" shapeId="0" xr:uid="{DFD95DC1-63FE-4826-80E6-B715B4D5F08A}">
      <text>
        <r>
          <rPr>
            <b/>
            <sz val="9"/>
            <color indexed="81"/>
            <rFont val="Tahoma"/>
            <family val="2"/>
          </rPr>
          <t>Maria:</t>
        </r>
        <r>
          <rPr>
            <sz val="9"/>
            <color indexed="81"/>
            <rFont val="Tahoma"/>
            <family val="2"/>
          </rPr>
          <t xml:space="preserve">
reduccion manual stok
</t>
        </r>
      </text>
    </comment>
    <comment ref="W247" authorId="0" shapeId="0" xr:uid="{18A17CD9-9FD3-4E13-866A-0C814F4E61EF}">
      <text>
        <r>
          <rPr>
            <b/>
            <sz val="9"/>
            <color indexed="81"/>
            <rFont val="Tahoma"/>
            <family val="2"/>
          </rPr>
          <t>Alfonso Carmona:</t>
        </r>
        <r>
          <rPr>
            <sz val="9"/>
            <color indexed="81"/>
            <rFont val="Tahoma"/>
            <family val="2"/>
          </rPr>
          <t xml:space="preserve">
stock ajustado a mano</t>
        </r>
      </text>
    </comment>
    <comment ref="AA247" authorId="0" shapeId="0" xr:uid="{C9DD917A-8BA4-4BB0-8D07-25314ABB4AC0}">
      <text>
        <r>
          <rPr>
            <b/>
            <sz val="9"/>
            <color indexed="81"/>
            <rFont val="Tahoma"/>
            <family val="2"/>
          </rPr>
          <t>Alfonso Carmona:</t>
        </r>
        <r>
          <rPr>
            <sz val="9"/>
            <color indexed="81"/>
            <rFont val="Tahoma"/>
            <family val="2"/>
          </rPr>
          <t xml:space="preserve">
stock ajustado a mano
18/8 indica Ana Mari que se termina, asi que lo comprado menos lo que se consume desde el 19/8 hasta que dejan de comer el 8/9 quedan 8000 kg</t>
        </r>
      </text>
    </comment>
    <comment ref="AH247" authorId="0" shapeId="0" xr:uid="{DA656A05-32CC-4274-B9AA-88BDC556A512}">
      <text>
        <r>
          <rPr>
            <b/>
            <sz val="9"/>
            <color indexed="81"/>
            <rFont val="Tahoma"/>
            <family val="2"/>
          </rPr>
          <t>Alfonso Carmona:</t>
        </r>
        <r>
          <rPr>
            <sz val="9"/>
            <color indexed="81"/>
            <rFont val="Tahoma"/>
            <family val="2"/>
          </rPr>
          <t xml:space="preserve">
stock ajustado a mano</t>
        </r>
      </text>
    </comment>
    <comment ref="P254" authorId="0" shapeId="0" xr:uid="{92778550-B4FE-4A91-8F8A-7355CC403A49}">
      <text>
        <r>
          <rPr>
            <b/>
            <sz val="9"/>
            <color indexed="81"/>
            <rFont val="Tahoma"/>
            <family val="2"/>
          </rPr>
          <t>Alfonso Carmona:</t>
        </r>
        <r>
          <rPr>
            <sz val="9"/>
            <color indexed="81"/>
            <rFont val="Tahoma"/>
            <family val="2"/>
          </rPr>
          <t xml:space="preserve">
ajuste manual de stock</t>
        </r>
      </text>
    </comment>
    <comment ref="U254" authorId="3" shapeId="0" xr:uid="{E4AE7536-C58C-479A-807C-1EE025B580D6}">
      <text>
        <r>
          <rPr>
            <b/>
            <sz val="9"/>
            <color indexed="81"/>
            <rFont val="Tahoma"/>
            <family val="2"/>
          </rPr>
          <t xml:space="preserve">Maria:Ajuste aprximado a la espera de la salida de montanera. </t>
        </r>
        <r>
          <rPr>
            <sz val="9"/>
            <color indexed="81"/>
            <rFont val="Tahoma"/>
            <family val="2"/>
          </rPr>
          <t xml:space="preserve">
</t>
        </r>
      </text>
    </comment>
    <comment ref="AB254" authorId="0" shapeId="0" xr:uid="{A5D05425-5E7B-4355-B56F-17FAA1D206D7}">
      <text>
        <r>
          <rPr>
            <b/>
            <sz val="9"/>
            <color indexed="81"/>
            <rFont val="Tahoma"/>
            <family val="2"/>
          </rPr>
          <t>Alfonso Carmona:</t>
        </r>
        <r>
          <rPr>
            <sz val="9"/>
            <color indexed="81"/>
            <rFont val="Tahoma"/>
            <family val="2"/>
          </rPr>
          <t xml:space="preserve">
stock ajustado a mano</t>
        </r>
      </text>
    </comment>
    <comment ref="AG254" authorId="0" shapeId="0" xr:uid="{74AC96A4-37CE-4A75-A0BB-5BBC6B962E33}">
      <text>
        <r>
          <rPr>
            <b/>
            <sz val="9"/>
            <color indexed="81"/>
            <rFont val="Tahoma"/>
            <family val="2"/>
          </rPr>
          <t>Alfonso Carmona:</t>
        </r>
        <r>
          <rPr>
            <sz val="9"/>
            <color indexed="81"/>
            <rFont val="Tahoma"/>
            <family val="2"/>
          </rPr>
          <t xml:space="preserve">
stock ajustado a mano</t>
        </r>
      </text>
    </comment>
    <comment ref="P261" authorId="0" shapeId="0" xr:uid="{8FB99EA3-CCB6-4023-BEB9-F95E1B6D3390}">
      <text>
        <r>
          <rPr>
            <b/>
            <sz val="9"/>
            <color indexed="81"/>
            <rFont val="Tahoma"/>
            <family val="2"/>
          </rPr>
          <t>Alfonso Carmona:</t>
        </r>
        <r>
          <rPr>
            <sz val="9"/>
            <color indexed="81"/>
            <rFont val="Tahoma"/>
            <family val="2"/>
          </rPr>
          <t xml:space="preserve">
ajuste manual de stock</t>
        </r>
      </text>
    </comment>
    <comment ref="W261" authorId="0" shapeId="0" xr:uid="{DA79D30D-6BD3-4FED-B1DA-10B7DBEF2233}">
      <text>
        <r>
          <rPr>
            <b/>
            <sz val="9"/>
            <color indexed="81"/>
            <rFont val="Tahoma"/>
            <family val="2"/>
          </rPr>
          <t>Alfonso Carmona:</t>
        </r>
        <r>
          <rPr>
            <sz val="9"/>
            <color indexed="81"/>
            <rFont val="Tahoma"/>
            <family val="2"/>
          </rPr>
          <t xml:space="preserve">
stock ajustado a mano</t>
        </r>
      </text>
    </comment>
    <comment ref="AA261" authorId="0" shapeId="0" xr:uid="{0B82BA15-F7E3-40D7-BEB0-79780D37597F}">
      <text>
        <r>
          <rPr>
            <b/>
            <sz val="9"/>
            <color indexed="81"/>
            <rFont val="Tahoma"/>
            <family val="2"/>
          </rPr>
          <t>Alfonso Carmona:</t>
        </r>
        <r>
          <rPr>
            <sz val="9"/>
            <color indexed="81"/>
            <rFont val="Tahoma"/>
            <family val="2"/>
          </rPr>
          <t xml:space="preserve">
stock ajustado a mano</t>
        </r>
      </text>
    </comment>
    <comment ref="AB261" authorId="0" shapeId="0" xr:uid="{226C7E5E-ECDC-453E-B15F-5578C475EFF0}">
      <text>
        <r>
          <rPr>
            <b/>
            <sz val="9"/>
            <color indexed="81"/>
            <rFont val="Tahoma"/>
            <family val="2"/>
          </rPr>
          <t>Alfonso Carmona:</t>
        </r>
        <r>
          <rPr>
            <sz val="9"/>
            <color indexed="81"/>
            <rFont val="Tahoma"/>
            <family val="2"/>
          </rPr>
          <t xml:space="preserve">
stock ajustado a mano</t>
        </r>
      </text>
    </comment>
    <comment ref="AC261" authorId="0" shapeId="0" xr:uid="{ED81B8FD-903D-43AB-B064-34AC39471ACC}">
      <text>
        <r>
          <rPr>
            <b/>
            <sz val="9"/>
            <color indexed="81"/>
            <rFont val="Tahoma"/>
            <family val="2"/>
          </rPr>
          <t>Alfonso Carmona:</t>
        </r>
        <r>
          <rPr>
            <sz val="9"/>
            <color indexed="81"/>
            <rFont val="Tahoma"/>
            <family val="2"/>
          </rPr>
          <t xml:space="preserve">
stock ajustado a mano</t>
        </r>
      </text>
    </comment>
    <comment ref="P268" authorId="0" shapeId="0" xr:uid="{EFEC27C0-872A-450D-92D2-AF6B2D343CA5}">
      <text>
        <r>
          <rPr>
            <b/>
            <sz val="9"/>
            <color indexed="81"/>
            <rFont val="Tahoma"/>
            <family val="2"/>
          </rPr>
          <t>Alfonso Carmona:</t>
        </r>
        <r>
          <rPr>
            <sz val="9"/>
            <color indexed="81"/>
            <rFont val="Tahoma"/>
            <family val="2"/>
          </rPr>
          <t xml:space="preserve">
ajuste manual de stock</t>
        </r>
      </text>
    </comment>
    <comment ref="W268" authorId="0" shapeId="0" xr:uid="{BB133F58-AC8F-4F41-8CB1-5E373D840D69}">
      <text>
        <r>
          <rPr>
            <b/>
            <sz val="9"/>
            <color indexed="81"/>
            <rFont val="Tahoma"/>
            <family val="2"/>
          </rPr>
          <t>Alfonso Carmona:</t>
        </r>
        <r>
          <rPr>
            <sz val="9"/>
            <color indexed="81"/>
            <rFont val="Tahoma"/>
            <family val="2"/>
          </rPr>
          <t xml:space="preserve">
stock ajustado a mano</t>
        </r>
      </text>
    </comment>
    <comment ref="AG268" authorId="0" shapeId="0" xr:uid="{F9D2B373-236C-41E3-9B7C-67B94F2FDA59}">
      <text>
        <r>
          <rPr>
            <b/>
            <sz val="9"/>
            <color indexed="81"/>
            <rFont val="Tahoma"/>
            <family val="2"/>
          </rPr>
          <t>Alfonso Carmona:</t>
        </r>
        <r>
          <rPr>
            <sz val="9"/>
            <color indexed="81"/>
            <rFont val="Tahoma"/>
            <family val="2"/>
          </rPr>
          <t xml:space="preserve">
stock ajustado a mano</t>
        </r>
      </text>
    </comment>
    <comment ref="P275" authorId="0" shapeId="0" xr:uid="{63994FA3-C1B5-4661-A100-DA8A459FC11F}">
      <text>
        <r>
          <rPr>
            <b/>
            <sz val="9"/>
            <color indexed="81"/>
            <rFont val="Tahoma"/>
            <family val="2"/>
          </rPr>
          <t>Alfonso Carmona:</t>
        </r>
        <r>
          <rPr>
            <sz val="9"/>
            <color indexed="81"/>
            <rFont val="Tahoma"/>
            <family val="2"/>
          </rPr>
          <t xml:space="preserve">
ajuste manual de stock</t>
        </r>
      </text>
    </comment>
    <comment ref="T275" authorId="3" shapeId="0" xr:uid="{10F2663D-BA4A-4956-BB83-07A2DAEC1761}">
      <text>
        <r>
          <rPr>
            <sz val="9"/>
            <color indexed="81"/>
            <rFont val="Tahoma"/>
            <family val="2"/>
          </rPr>
          <t xml:space="preserve">
</t>
        </r>
        <r>
          <rPr>
            <b/>
            <sz val="9"/>
            <color indexed="81"/>
            <rFont val="Tahoma"/>
            <family val="2"/>
          </rPr>
          <t>Maria: ajuste manual</t>
        </r>
        <r>
          <rPr>
            <sz val="9"/>
            <color indexed="81"/>
            <rFont val="Tahoma"/>
            <family val="2"/>
          </rPr>
          <t xml:space="preserve">
Almacén puesto a cero según dato de registro de alimento el 12/02/25.
En base a esto ajustado los consumos de taco futuros. </t>
        </r>
      </text>
    </comment>
    <comment ref="AG275" authorId="0" shapeId="0" xr:uid="{82EE1854-87AC-47CA-9E59-7078B3C1E819}">
      <text>
        <r>
          <rPr>
            <b/>
            <sz val="9"/>
            <color indexed="81"/>
            <rFont val="Tahoma"/>
            <family val="2"/>
          </rPr>
          <t>Alfonso Carmona:</t>
        </r>
        <r>
          <rPr>
            <sz val="9"/>
            <color indexed="81"/>
            <rFont val="Tahoma"/>
            <family val="2"/>
          </rPr>
          <t xml:space="preserve">
stock ajustado a mano</t>
        </r>
      </text>
    </comment>
    <comment ref="AX275" authorId="0" shapeId="0" xr:uid="{AC0A696A-6656-46D8-A6B3-9CBE72168484}">
      <text>
        <r>
          <rPr>
            <b/>
            <sz val="9"/>
            <color indexed="81"/>
            <rFont val="Tahoma"/>
            <family val="2"/>
          </rPr>
          <t>Alfonso Carmona:</t>
        </r>
        <r>
          <rPr>
            <sz val="9"/>
            <color indexed="81"/>
            <rFont val="Tahoma"/>
            <family val="2"/>
          </rPr>
          <t xml:space="preserve">
stock ajustado a mano</t>
        </r>
      </text>
    </comment>
    <comment ref="D307" authorId="2" shapeId="0" xr:uid="{0692A141-6B1D-49D8-A3C9-76C803705504}">
      <text>
        <r>
          <rPr>
            <sz val="9"/>
            <color indexed="81"/>
            <rFont val="Tahoma"/>
            <family val="2"/>
          </rPr>
          <t>venta 61 terneros media 190 Kg al bajo de segunda (2,89 machos y 2,12 hembras. Peso final descontado 3%: 
machos 7688,45 
hembras 3703,23</t>
        </r>
      </text>
    </comment>
    <comment ref="G307" authorId="2" shapeId="0" xr:uid="{AE7FE32B-2FAB-4F52-89A0-FD1FB4C4078D}">
      <text>
        <r>
          <rPr>
            <b/>
            <sz val="9"/>
            <color indexed="81"/>
            <rFont val="Tahoma"/>
            <family val="2"/>
          </rPr>
          <t xml:space="preserve">Flor de las Cruces
</t>
        </r>
        <r>
          <rPr>
            <sz val="9"/>
            <color indexed="81"/>
            <rFont val="Tahoma"/>
            <family val="2"/>
          </rPr>
          <t xml:space="preserve">25 machos x 200 kg de media x 3,04 Eur/kg
25 machos x 10,64 kg s/200kg de media x 3,04/2 Eur/kg
33 hembras x 198,06 kg de media x 2,24 Eur/Kg
</t>
        </r>
        <r>
          <rPr>
            <b/>
            <sz val="9"/>
            <color indexed="81"/>
            <rFont val="Tahoma"/>
            <family val="2"/>
          </rPr>
          <t xml:space="preserve">29.337,57 EUr
--------------------
Velasco
</t>
        </r>
        <r>
          <rPr>
            <sz val="9"/>
            <color indexed="81"/>
            <rFont val="Tahoma"/>
            <family val="2"/>
          </rPr>
          <t>3 machos x 159,67 kg de media x 3,04 Eur/Kg
9 hembras x 165,44 kg de media x 2,24 eur/kg
-3%</t>
        </r>
        <r>
          <rPr>
            <b/>
            <sz val="9"/>
            <color indexed="81"/>
            <rFont val="Tahoma"/>
            <family val="2"/>
          </rPr>
          <t xml:space="preserve">
=4647,78 Eur
</t>
        </r>
      </text>
    </comment>
    <comment ref="J307" authorId="0" shapeId="0" xr:uid="{6336974A-6A4B-40A2-9B96-160D0E83721F}">
      <text>
        <r>
          <rPr>
            <b/>
            <sz val="9"/>
            <color indexed="81"/>
            <rFont val="Tahoma"/>
            <family val="2"/>
          </rPr>
          <t xml:space="preserve">Agustin Salamanca:
</t>
        </r>
        <r>
          <rPr>
            <sz val="9"/>
            <color indexed="81"/>
            <rFont val="Tahoma"/>
            <family val="2"/>
          </rPr>
          <t xml:space="preserve">11 machos; 2063 kg totales x 4,14 Eur/kg
14 hembras; 2505 Kg totales x 2,97 Eur/Kg
</t>
        </r>
        <r>
          <rPr>
            <b/>
            <sz val="9"/>
            <color indexed="81"/>
            <rFont val="Tahoma"/>
            <family val="2"/>
          </rPr>
          <t xml:space="preserve">15980,67 Eur
</t>
        </r>
      </text>
    </comment>
    <comment ref="K307" authorId="0" shapeId="0" xr:uid="{85580ABF-04EB-450E-A14B-110EEEE9DAE2}">
      <text>
        <r>
          <rPr>
            <b/>
            <sz val="9"/>
            <color indexed="81"/>
            <rFont val="Tahoma"/>
            <family val="2"/>
          </rPr>
          <t>Alfonso Carmona:</t>
        </r>
        <r>
          <rPr>
            <sz val="9"/>
            <color indexed="81"/>
            <rFont val="Tahoma"/>
            <family val="2"/>
          </rPr>
          <t xml:space="preserve">
venta ternero macho a Carlos Roque para vida a maxima.</t>
        </r>
      </text>
    </comment>
    <comment ref="L307" authorId="0" shapeId="0" xr:uid="{B8D83A8F-CEA1-4B80-9712-7A66387477DA}">
      <text>
        <r>
          <rPr>
            <b/>
            <sz val="9"/>
            <color indexed="81"/>
            <rFont val="Tahoma"/>
            <family val="2"/>
          </rPr>
          <t xml:space="preserve">Agustin Salamanca:
</t>
        </r>
        <r>
          <rPr>
            <sz val="9"/>
            <color indexed="81"/>
            <rFont val="Tahoma"/>
            <family val="2"/>
          </rPr>
          <t xml:space="preserve">13 machos; 2891 kg totales
8 hembras; 1615 Kg totales
</t>
        </r>
        <r>
          <rPr>
            <b/>
            <sz val="9"/>
            <color indexed="81"/>
            <rFont val="Tahoma"/>
            <family val="2"/>
          </rPr>
          <t xml:space="preserve">16064,97 Eur
</t>
        </r>
      </text>
    </comment>
    <comment ref="N307" authorId="0" shapeId="0" xr:uid="{C63803E9-247E-4E91-A7E7-B2E0FE13A012}">
      <text>
        <r>
          <rPr>
            <b/>
            <sz val="9"/>
            <color indexed="81"/>
            <rFont val="Tahoma"/>
            <family val="2"/>
          </rPr>
          <t xml:space="preserve">Agustin Salamanca:
</t>
        </r>
        <r>
          <rPr>
            <sz val="9"/>
            <color indexed="81"/>
            <rFont val="Tahoma"/>
            <family val="2"/>
          </rPr>
          <t xml:space="preserve">5 terneros y 9 terneras: 10.727,95€ 
</t>
        </r>
      </text>
    </comment>
    <comment ref="E308" authorId="2" shapeId="0" xr:uid="{9F9D8D12-312A-4478-8405-4BFE6F2D2A96}">
      <text>
        <r>
          <rPr>
            <b/>
            <sz val="9"/>
            <color indexed="81"/>
            <rFont val="Tahoma"/>
            <family val="2"/>
          </rPr>
          <t xml:space="preserve">real
</t>
        </r>
        <r>
          <rPr>
            <sz val="9"/>
            <color indexed="81"/>
            <rFont val="Tahoma"/>
            <family val="2"/>
          </rPr>
          <t xml:space="preserve">Venta  a TOLEDO de (Animales cebo 231-400 Kg) 17 hembras x800 Eur/animal y 36 machos x 900 Eur/animal 
</t>
        </r>
        <r>
          <rPr>
            <b/>
            <sz val="9"/>
            <color indexed="81"/>
            <rFont val="Tahoma"/>
            <family val="2"/>
          </rPr>
          <t xml:space="preserve">Prevision
</t>
        </r>
        <r>
          <rPr>
            <sz val="9"/>
            <color indexed="81"/>
            <rFont val="Tahoma"/>
            <family val="2"/>
          </rPr>
          <t>venta 9 &gt;400Kg 4138 Kg x55% canal x 5 Eur/Kg/canal</t>
        </r>
      </text>
    </comment>
    <comment ref="H309" authorId="0" shapeId="0" xr:uid="{BFE6589D-B065-4695-943F-17AEFA917F91}">
      <text>
        <r>
          <rPr>
            <b/>
            <sz val="9"/>
            <color indexed="81"/>
            <rFont val="Tahoma"/>
            <family val="2"/>
          </rPr>
          <t>Alfonso Carmona:</t>
        </r>
        <r>
          <rPr>
            <sz val="9"/>
            <color indexed="81"/>
            <rFont val="Tahoma"/>
            <family val="2"/>
          </rPr>
          <t xml:space="preserve">
8 animales a matadero y hamburdehesa:
605 Eur de media de la carne que se queda hamburdehesa. 
Resto en ventas de carne.
Al ser ventas de carne va en otra fila de ingresos, no calculado aquí.</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author>
  </authors>
  <commentList>
    <comment ref="I27" authorId="0" shapeId="0" xr:uid="{60FEB3AB-1A70-41FC-B7F2-E0C6AD7B22AA}">
      <text>
        <r>
          <rPr>
            <sz val="9"/>
            <color indexed="81"/>
            <rFont val="Tahoma"/>
            <family val="2"/>
          </rPr>
          <t>Fra Ovipor del 21/08/25. 
Carne: 1.068,65€.
Pendiente realizar transferencia. 
--------------------------------------
Fra Ovipor del 19/08/25. 
Carne: 744,95€.
Pendiente realizar transferencia. 
--------------------------------------
Fra Ovipor del 19/08/25. 
Carne: 3.347,29€.
Pendiente realizar transferencia. 
--------------------------------------
Fra Ovipor del 11/08/25. 
Carne: 557,25€.
Pendiente realizar transferencia. 
--------------------------------------
Fra Ovipor del 05/09/25. 
Carne: 1.932,92€.
Pendiente realizar transferencia. 
--------------------------------------
Fra Ovipor del 23/09/25. 
Carne: 786,67€.
Pendiente realizar transferencia.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alfonso</author>
    <author>Alfonso Carmona</author>
  </authors>
  <commentList>
    <comment ref="G4" authorId="0" shapeId="0" xr:uid="{B89BC855-0376-408E-B639-01C28C482DDE}">
      <text>
        <r>
          <rPr>
            <b/>
            <sz val="9"/>
            <color indexed="81"/>
            <rFont val="Tahoma"/>
            <family val="2"/>
          </rPr>
          <t>venta Flor de las cruces -46
venta Velsaco -3-9
Muertes (o desastre Miguel) -15</t>
        </r>
      </text>
    </comment>
    <comment ref="J4" authorId="1" shapeId="0" xr:uid="{123CF690-BB5F-436B-9D6E-F11D5255D02A}">
      <text>
        <r>
          <rPr>
            <b/>
            <sz val="9"/>
            <color indexed="81"/>
            <rFont val="Tahoma"/>
            <family val="2"/>
          </rPr>
          <t>Venta Agustin Salamnca -1</t>
        </r>
      </text>
    </comment>
    <comment ref="D6" authorId="0" shapeId="0" xr:uid="{6322EA17-FF54-4BD3-A096-77DB396FCC51}">
      <text>
        <r>
          <rPr>
            <b/>
            <sz val="9"/>
            <color indexed="81"/>
            <rFont val="Tahoma"/>
            <family val="2"/>
          </rPr>
          <t>alfonso:</t>
        </r>
        <r>
          <rPr>
            <sz val="9"/>
            <color indexed="81"/>
            <rFont val="Tahoma"/>
            <family val="2"/>
          </rPr>
          <t xml:space="preserve">
se venden 61 en peso en octubre a Flor de las Cruces</t>
        </r>
      </text>
    </comment>
    <comment ref="G6" authorId="0" shapeId="0" xr:uid="{D66B16B7-A037-48F4-A02F-4568C1444CA6}">
      <text>
        <r>
          <rPr>
            <b/>
            <sz val="9"/>
            <color indexed="81"/>
            <rFont val="Tahoma"/>
            <family val="2"/>
          </rPr>
          <t xml:space="preserve">venta Flor de las cruces -12
</t>
        </r>
      </text>
    </comment>
    <comment ref="E8" authorId="1" shapeId="0" xr:uid="{D18A6BA5-5150-4338-B1F8-298E8B3BE1D1}">
      <text>
        <r>
          <rPr>
            <b/>
            <sz val="9"/>
            <color indexed="81"/>
            <rFont val="Tahoma"/>
            <family val="2"/>
          </rPr>
          <t>Alfonso Carmona:</t>
        </r>
        <r>
          <rPr>
            <sz val="9"/>
            <color indexed="81"/>
            <rFont val="Tahoma"/>
            <family val="2"/>
          </rPr>
          <t xml:space="preserve">
se venden 17+36 Ganadero de Toledo</t>
        </r>
      </text>
    </comment>
    <comment ref="H10" authorId="1" shapeId="0" xr:uid="{E226073E-52CD-4D0A-98B9-1B2D8C504A99}">
      <text>
        <r>
          <rPr>
            <sz val="9"/>
            <color indexed="81"/>
            <rFont val="Tahoma"/>
            <family val="2"/>
          </rPr>
          <t>Venta Hamburdehesa
-8 animales
Se queda el buey solo en remate</t>
        </r>
      </text>
    </comment>
    <comment ref="D12" authorId="0" shapeId="0" xr:uid="{5812A166-17F2-49F5-A610-7C9E3C777F73}">
      <text>
        <r>
          <rPr>
            <b/>
            <sz val="9"/>
            <color indexed="81"/>
            <rFont val="Tahoma"/>
            <family val="2"/>
          </rPr>
          <t>alfonso:</t>
        </r>
        <r>
          <rPr>
            <sz val="9"/>
            <color indexed="81"/>
            <rFont val="Tahoma"/>
            <family val="2"/>
          </rPr>
          <t xml:space="preserve">
26 madres que pasan de la piara de cebo crecimiento hembras a reproducción.</t>
        </r>
      </text>
    </comment>
    <comment ref="F16" authorId="1" shapeId="0" xr:uid="{8AAEE5F3-585C-4C48-B75E-E3D6B223EE8F}">
      <text>
        <r>
          <rPr>
            <b/>
            <sz val="9"/>
            <color indexed="81"/>
            <rFont val="Tahoma"/>
            <family val="2"/>
          </rPr>
          <t>Alfonso Carmona:</t>
        </r>
        <r>
          <rPr>
            <sz val="9"/>
            <color indexed="81"/>
            <rFont val="Tahoma"/>
            <family val="2"/>
          </rPr>
          <t xml:space="preserve">
14 destetados a cebo</t>
        </r>
      </text>
    </comment>
    <comment ref="G16" authorId="1" shapeId="0" xr:uid="{937D2F51-9F33-49E8-988A-618DD5183466}">
      <text>
        <r>
          <rPr>
            <b/>
            <sz val="9"/>
            <color indexed="81"/>
            <rFont val="Tahoma"/>
            <family val="2"/>
          </rPr>
          <t>Alfonso Carmona:</t>
        </r>
        <r>
          <rPr>
            <sz val="9"/>
            <color indexed="81"/>
            <rFont val="Tahoma"/>
            <family val="2"/>
          </rPr>
          <t xml:space="preserve">
-6 detetados</t>
        </r>
      </text>
    </comment>
    <comment ref="H16" authorId="1" shapeId="0" xr:uid="{ACAE385C-962E-433B-A1CF-16E253122BD0}">
      <text>
        <r>
          <rPr>
            <b/>
            <sz val="9"/>
            <color indexed="81"/>
            <rFont val="Tahoma"/>
            <family val="2"/>
          </rPr>
          <t>Alfonso Carmona:</t>
        </r>
        <r>
          <rPr>
            <sz val="9"/>
            <color indexed="81"/>
            <rFont val="Tahoma"/>
            <family val="2"/>
          </rPr>
          <t xml:space="preserve">
-21 detetados</t>
        </r>
      </text>
    </comment>
    <comment ref="I16" authorId="1" shapeId="0" xr:uid="{86965EDE-D1D7-4B36-8350-225F2DD8FEB4}">
      <text>
        <r>
          <rPr>
            <b/>
            <sz val="9"/>
            <color indexed="81"/>
            <rFont val="Tahoma"/>
            <family val="2"/>
          </rPr>
          <t>Alfonso Carmona:</t>
        </r>
        <r>
          <rPr>
            <sz val="9"/>
            <color indexed="81"/>
            <rFont val="Tahoma"/>
            <family val="2"/>
          </rPr>
          <t xml:space="preserve">
-1 muertos</t>
        </r>
      </text>
    </comment>
    <comment ref="D17" authorId="0" shapeId="0" xr:uid="{6B66C060-9566-4116-96AC-B77E1EF70ACE}">
      <text>
        <r>
          <rPr>
            <sz val="9"/>
            <color indexed="81"/>
            <rFont val="Tahoma"/>
            <family val="2"/>
          </rPr>
          <t>venta a FLOR DE LAS CRUCES 61 terneros cebo 150-230 Kg con media 190 Kg al bajo de segunda (2,89 machos y 2,12 hembras). Peso final descontado 3%: 
machos 7688,45 
hembras 3703,23</t>
        </r>
      </text>
    </comment>
    <comment ref="E17" authorId="0" shapeId="0" xr:uid="{442A80FE-3BF0-47AE-9DE8-B96941124F54}">
      <text>
        <r>
          <rPr>
            <b/>
            <sz val="9"/>
            <color indexed="81"/>
            <rFont val="Tahoma"/>
            <family val="2"/>
          </rPr>
          <t xml:space="preserve">real
</t>
        </r>
        <r>
          <rPr>
            <sz val="9"/>
            <color indexed="81"/>
            <rFont val="Tahoma"/>
            <family val="2"/>
          </rPr>
          <t xml:space="preserve">Venta  a TOLEDO de (Animales cebo 231-400 Kg) 17 hembras x800 Eur/animal y 36 machos x 900 Eur/animal 
</t>
        </r>
        <r>
          <rPr>
            <b/>
            <sz val="9"/>
            <color indexed="81"/>
            <rFont val="Tahoma"/>
            <family val="2"/>
          </rPr>
          <t xml:space="preserve">Prevision
</t>
        </r>
        <r>
          <rPr>
            <sz val="9"/>
            <color indexed="81"/>
            <rFont val="Tahoma"/>
            <family val="2"/>
          </rPr>
          <t>venta 9 &gt;400Kg 4138 Kg x55% canal x 5 Eur/Kg/canal</t>
        </r>
      </text>
    </comment>
    <comment ref="G17" authorId="0" shapeId="0" xr:uid="{A54FB8C2-929D-4DC0-B15B-C14A27F6A232}">
      <text>
        <r>
          <rPr>
            <b/>
            <sz val="9"/>
            <color indexed="81"/>
            <rFont val="Tahoma"/>
            <family val="2"/>
          </rPr>
          <t xml:space="preserve">Flor de las Cruces
</t>
        </r>
        <r>
          <rPr>
            <sz val="9"/>
            <color indexed="81"/>
            <rFont val="Tahoma"/>
            <family val="2"/>
          </rPr>
          <t xml:space="preserve">25 machos x 200 kg de media x 3,04 Eur/kg
25 machos x 10,64 kg s/200kg de media x 3,04/2 Eur/kg
33 hembras x 198,06 kg de media x 2,24 Eur/Kg
</t>
        </r>
        <r>
          <rPr>
            <b/>
            <sz val="9"/>
            <color indexed="81"/>
            <rFont val="Tahoma"/>
            <family val="2"/>
          </rPr>
          <t xml:space="preserve">29.337,57 EUr
--------------------
Velasco
</t>
        </r>
        <r>
          <rPr>
            <sz val="9"/>
            <color indexed="81"/>
            <rFont val="Tahoma"/>
            <family val="2"/>
          </rPr>
          <t>3 machos x 159,67 kg de media x 3,04 Eur/Kg
9 hembras x 165,44 kg de media x 2,24 eur/kg
-3%</t>
        </r>
        <r>
          <rPr>
            <b/>
            <sz val="9"/>
            <color indexed="81"/>
            <rFont val="Tahoma"/>
            <family val="2"/>
          </rPr>
          <t xml:space="preserve">
=4647,78 Eur
</t>
        </r>
      </text>
    </comment>
    <comment ref="H17" authorId="1" shapeId="0" xr:uid="{87982744-E6D6-4404-9136-F79C33706796}">
      <text>
        <r>
          <rPr>
            <b/>
            <sz val="9"/>
            <color indexed="81"/>
            <rFont val="Tahoma"/>
            <family val="2"/>
          </rPr>
          <t>Alfonso Carmona:</t>
        </r>
        <r>
          <rPr>
            <sz val="9"/>
            <color indexed="81"/>
            <rFont val="Tahoma"/>
            <family val="2"/>
          </rPr>
          <t xml:space="preserve">
8 animales a matadero y hamburdehesa:
605 Eur de media de la carne que se queda hamburdehesa. 
Resto en ventas de carne.
Al ser ventas de carne va en otra fila de ingresos, no calculado aquí.</t>
        </r>
      </text>
    </comment>
    <comment ref="J17" authorId="1" shapeId="0" xr:uid="{B88948BE-68FE-4783-8464-40350A7EEDC5}">
      <text>
        <r>
          <rPr>
            <b/>
            <sz val="9"/>
            <color indexed="81"/>
            <rFont val="Tahoma"/>
            <family val="2"/>
          </rPr>
          <t xml:space="preserve">Agustin Salamanca:
</t>
        </r>
        <r>
          <rPr>
            <sz val="9"/>
            <color indexed="81"/>
            <rFont val="Tahoma"/>
            <family val="2"/>
          </rPr>
          <t xml:space="preserve">11 machos; 2063 kg totales x 4,14 Eur/kg
14 hembras; 2505 Kg totales x 2,97 Eur/Kg
</t>
        </r>
        <r>
          <rPr>
            <b/>
            <sz val="9"/>
            <color indexed="81"/>
            <rFont val="Tahoma"/>
            <family val="2"/>
          </rPr>
          <t xml:space="preserve">15980,67 Eur
</t>
        </r>
      </text>
    </comment>
    <comment ref="L17" authorId="1" shapeId="0" xr:uid="{E227E904-3A47-4033-AE3C-BF6521F75431}">
      <text>
        <r>
          <rPr>
            <b/>
            <sz val="9"/>
            <color indexed="81"/>
            <rFont val="Tahoma"/>
            <family val="2"/>
          </rPr>
          <t xml:space="preserve">Agustin Salamanca:
</t>
        </r>
        <r>
          <rPr>
            <sz val="9"/>
            <color indexed="81"/>
            <rFont val="Tahoma"/>
            <family val="2"/>
          </rPr>
          <t xml:space="preserve">13 machos; 2891 kg totales
8 hembras; 1615 Kg totales
</t>
        </r>
        <r>
          <rPr>
            <b/>
            <sz val="9"/>
            <color indexed="81"/>
            <rFont val="Tahoma"/>
            <family val="2"/>
          </rPr>
          <t xml:space="preserve">16064,97 Eur
</t>
        </r>
      </text>
    </comment>
    <comment ref="M17" authorId="0" shapeId="0" xr:uid="{E05A949D-D94A-4EDB-A7C2-0FF8DA007CCE}">
      <text>
        <r>
          <rPr>
            <b/>
            <sz val="9"/>
            <color indexed="81"/>
            <rFont val="Tahoma"/>
            <family val="2"/>
          </rPr>
          <t>previsión venta mes anterior, cobro mes presente</t>
        </r>
        <r>
          <rPr>
            <sz val="9"/>
            <color indexed="81"/>
            <rFont val="Tahoma"/>
            <family val="2"/>
          </rPr>
          <t xml:space="preserve">
venta 27 a 450 Kg de media x55% canal x 5 Eur/Kg/canal
venta 39 terneros 150-230 3,05 Eur/kg (24x200)</t>
        </r>
      </text>
    </comment>
    <comment ref="P17" authorId="0" shapeId="0" xr:uid="{12A5F573-0D42-434F-95EC-63FB8FFDBA12}">
      <text>
        <r>
          <rPr>
            <sz val="9"/>
            <color indexed="81"/>
            <rFont val="Tahoma"/>
            <family val="2"/>
          </rPr>
          <t xml:space="preserve">previsión venta mes anterior, cobro mes presente
venta 46 terneros 150-230 3,05 Eur/kg (24x200)
</t>
        </r>
      </text>
    </comment>
    <comment ref="Q17" authorId="0" shapeId="0" xr:uid="{2D624B18-DA26-40F6-9950-02F4B84E28A3}">
      <text>
        <r>
          <rPr>
            <sz val="9"/>
            <color indexed="81"/>
            <rFont val="Tahoma"/>
            <family val="2"/>
          </rPr>
          <t xml:space="preserve">previsión venta mes anterior, cobro mes presente
venta 16 terneros 150-230 3,05 Eur/kg (24x200)
</t>
        </r>
      </text>
    </comment>
    <comment ref="U17" authorId="0" shapeId="0" xr:uid="{1516BB8A-1B46-4E0F-AD00-ECA529C069DE}">
      <text>
        <r>
          <rPr>
            <sz val="9"/>
            <color indexed="81"/>
            <rFont val="Tahoma"/>
            <family val="2"/>
          </rPr>
          <t xml:space="preserve">previsión venta mes anterior, cobro mes presente
venta 16 terneros 150-230 3,05 Eur/kg (24x200)
</t>
        </r>
      </text>
    </comment>
    <comment ref="W17" authorId="0" shapeId="0" xr:uid="{D81D0D8A-F4A4-4027-996F-8326947CA571}">
      <text>
        <r>
          <rPr>
            <sz val="9"/>
            <color indexed="81"/>
            <rFont val="Tahoma"/>
            <family val="2"/>
          </rPr>
          <t xml:space="preserve">previsión venta mes anterior, cobro mes presente
venta 16 terneros 150-230 3,05 Eur/kg (24x200)
</t>
        </r>
      </text>
    </comment>
    <comment ref="Y17" authorId="0" shapeId="0" xr:uid="{0EA94817-7B0D-4B91-A395-D2A73A19D735}">
      <text>
        <r>
          <rPr>
            <sz val="9"/>
            <color indexed="81"/>
            <rFont val="Tahoma"/>
            <family val="2"/>
          </rPr>
          <t xml:space="preserve">previsión venta mes anterior, cobro mes presente
venta 16 terneros 150-230 3,05 Eur/kg (24x200)
</t>
        </r>
      </text>
    </comment>
    <comment ref="AB17" authorId="0" shapeId="0" xr:uid="{D13D9C84-51AF-4792-935E-CFF292709C97}">
      <text>
        <r>
          <rPr>
            <sz val="9"/>
            <color indexed="81"/>
            <rFont val="Tahoma"/>
            <family val="2"/>
          </rPr>
          <t xml:space="preserve">previsión venta mes anterior, cobro mes presente
venta 16 terneros 150-230 3,05 Eur/kg (24x200)
</t>
        </r>
      </text>
    </comment>
    <comment ref="L27" authorId="0" shapeId="0" xr:uid="{64EE9329-E72F-4BA6-A179-EC650D259449}">
      <text>
        <r>
          <rPr>
            <b/>
            <sz val="9"/>
            <color indexed="81"/>
            <rFont val="Tahoma"/>
            <family val="2"/>
          </rPr>
          <t>alfonso:</t>
        </r>
        <r>
          <rPr>
            <sz val="9"/>
            <color indexed="81"/>
            <rFont val="Tahoma"/>
            <family val="2"/>
          </rPr>
          <t xml:space="preserve">
nº estimado de compras 22/23 poniendo tolva muy irragularmente de destetando a los 3 meses. Reajustar en los primeros meses de este ejercicio según consume real.</t>
        </r>
      </text>
    </comment>
    <comment ref="D30" authorId="0" shapeId="0" xr:uid="{34669872-E120-4F74-BADD-679A073BAF40}">
      <text>
        <r>
          <rPr>
            <b/>
            <sz val="9"/>
            <color indexed="81"/>
            <rFont val="Tahoma"/>
            <family val="2"/>
          </rPr>
          <t>alfonso:</t>
        </r>
        <r>
          <rPr>
            <sz val="9"/>
            <color indexed="81"/>
            <rFont val="Tahoma"/>
            <family val="2"/>
          </rPr>
          <t xml:space="preserve">
Ojo, con paja regalada de Reyes y Paco y resto a un precio por debajo de mercado</t>
        </r>
      </text>
    </comment>
    <comment ref="A43" authorId="0" shapeId="0" xr:uid="{0F5E03E7-96A7-422A-842F-59F39B7A3D5E}">
      <text>
        <r>
          <rPr>
            <b/>
            <sz val="9"/>
            <color indexed="81"/>
            <rFont val="Tahoma"/>
            <family val="2"/>
          </rPr>
          <t>alfonso:</t>
        </r>
        <r>
          <rPr>
            <sz val="9"/>
            <color indexed="81"/>
            <rFont val="Tahoma"/>
            <family val="2"/>
          </rPr>
          <t xml:space="preserve">
FASES:
GESTACION: 3 meses, 3 semanas y 3 días / 7-8 lechones.
LECHON: nacimiento y cria: alimentación (lactanctes). 
de 0,06-0,09 a 1,7 @ / 0 a 60 dias/ 0,7-1 a 20 Kg o hasta destete.
MARRANO: alimentación (piensos y cereales, pastos hierbas y raices, bellotas sobrantes). 
de 1,7 a 4,35 @ / 2-7 meses / 20-50 Kg.
PRIMAL: alimentación (piensos y cereales, pastos hierbas y raices). 
de 4,35 a 9-9,5 @ / 7-18 meses / 50-100 Kg. &lt;7,5 o &gt;10,30 no aptos segun contrato aprimalamiento SRC.
MONTANERA: alimentación (8kg. de bellota nueva al día, hierbas verdes y frescas).
de 9 a 15,65-16 @ / 18-20 o 22 meses / 108-170 Kg. de rango en venta según la norma.</t>
        </r>
      </text>
    </comment>
    <comment ref="Q47" authorId="0" shapeId="0" xr:uid="{78EB4860-DBF5-4642-90BE-FD8A0258B183}">
      <text>
        <r>
          <rPr>
            <b/>
            <sz val="9"/>
            <color indexed="81"/>
            <rFont val="Tahoma"/>
            <family val="2"/>
          </rPr>
          <t>alfonso:</t>
        </r>
        <r>
          <rPr>
            <sz val="9"/>
            <color indexed="81"/>
            <rFont val="Tahoma"/>
            <family val="2"/>
          </rPr>
          <t xml:space="preserve">
se venden</t>
        </r>
      </text>
    </comment>
    <comment ref="E48" authorId="0" shapeId="0" xr:uid="{7156C4D7-C1C5-4948-85CB-DF94D94718A3}">
      <text>
        <r>
          <rPr>
            <b/>
            <sz val="9"/>
            <color indexed="81"/>
            <rFont val="Tahoma"/>
            <family val="2"/>
          </rPr>
          <t>alfonso:</t>
        </r>
        <r>
          <rPr>
            <sz val="9"/>
            <color indexed="81"/>
            <rFont val="Tahoma"/>
            <family val="2"/>
          </rPr>
          <t xml:space="preserve">
lechones nacidos en oct-nov de destetan</t>
        </r>
      </text>
    </comment>
    <comment ref="F48" authorId="0" shapeId="0" xr:uid="{6F9297AD-DC60-47C5-A43D-46210716A000}">
      <text>
        <r>
          <rPr>
            <b/>
            <sz val="9"/>
            <color indexed="81"/>
            <rFont val="Tahoma"/>
            <family val="2"/>
          </rPr>
          <t>alfonso:</t>
        </r>
        <r>
          <rPr>
            <sz val="9"/>
            <color indexed="81"/>
            <rFont val="Tahoma"/>
            <family val="2"/>
          </rPr>
          <t xml:space="preserve">
lechones nacidos en oct-nov de destetan</t>
        </r>
      </text>
    </comment>
    <comment ref="D49" authorId="0" shapeId="0" xr:uid="{C771270D-00DF-4821-BB24-13C214760621}">
      <text>
        <r>
          <rPr>
            <b/>
            <sz val="9"/>
            <color indexed="81"/>
            <rFont val="Tahoma"/>
            <family val="2"/>
          </rPr>
          <t>alfonso:</t>
        </r>
        <r>
          <rPr>
            <sz val="9"/>
            <color indexed="81"/>
            <rFont val="Tahoma"/>
            <family val="2"/>
          </rPr>
          <t xml:space="preserve">
pasan a primales</t>
        </r>
      </text>
    </comment>
    <comment ref="P49" authorId="0" shapeId="0" xr:uid="{099EC8A3-EE06-4820-83E2-56777B30F797}">
      <text>
        <r>
          <rPr>
            <b/>
            <sz val="9"/>
            <color indexed="81"/>
            <rFont val="Tahoma"/>
            <family val="2"/>
          </rPr>
          <t>alfonso:</t>
        </r>
        <r>
          <rPr>
            <sz val="9"/>
            <color indexed="81"/>
            <rFont val="Tahoma"/>
            <family val="2"/>
          </rPr>
          <t xml:space="preserve">
pasan a primales</t>
        </r>
      </text>
    </comment>
    <comment ref="AB49" authorId="0" shapeId="0" xr:uid="{0DBAD0CE-7DC4-4FED-9F21-B259F654BE5C}">
      <text>
        <r>
          <rPr>
            <b/>
            <sz val="9"/>
            <color indexed="81"/>
            <rFont val="Tahoma"/>
            <family val="2"/>
          </rPr>
          <t>alfonso:</t>
        </r>
        <r>
          <rPr>
            <sz val="9"/>
            <color indexed="81"/>
            <rFont val="Tahoma"/>
            <family val="2"/>
          </rPr>
          <t xml:space="preserve">
salen a montanera</t>
        </r>
      </text>
    </comment>
    <comment ref="D50" authorId="0" shapeId="0" xr:uid="{5ACC8633-9333-434E-BED4-969E06A880D8}">
      <text>
        <r>
          <rPr>
            <b/>
            <sz val="9"/>
            <color indexed="81"/>
            <rFont val="Tahoma"/>
            <family val="2"/>
          </rPr>
          <t>alfonso:</t>
        </r>
        <r>
          <rPr>
            <sz val="9"/>
            <color indexed="81"/>
            <rFont val="Tahoma"/>
            <family val="2"/>
          </rPr>
          <t xml:space="preserve">
120 entra de lechones a primales
98 aprimalados pasan a montanera</t>
        </r>
      </text>
    </comment>
    <comment ref="P50" authorId="0" shapeId="0" xr:uid="{5A1FB168-BF53-4D19-A3A3-9805030288A4}">
      <text>
        <r>
          <rPr>
            <b/>
            <sz val="9"/>
            <color indexed="81"/>
            <rFont val="Tahoma"/>
            <family val="2"/>
          </rPr>
          <t>alfonso:</t>
        </r>
        <r>
          <rPr>
            <sz val="9"/>
            <color indexed="81"/>
            <rFont val="Tahoma"/>
            <family val="2"/>
          </rPr>
          <t xml:space="preserve">
120 entra de lechones a primales.
120 salen para entrar en montanera</t>
        </r>
      </text>
    </comment>
    <comment ref="H51" authorId="0" shapeId="0" xr:uid="{E55DD9FE-C88D-4DCF-B0C2-1B69B05CC633}">
      <text>
        <r>
          <rPr>
            <b/>
            <sz val="9"/>
            <color indexed="81"/>
            <rFont val="Tahoma"/>
            <family val="2"/>
          </rPr>
          <t>alfonso:</t>
        </r>
        <r>
          <rPr>
            <sz val="9"/>
            <color indexed="81"/>
            <rFont val="Tahoma"/>
            <family val="2"/>
          </rPr>
          <t xml:space="preserve">
98 de montanera se venden</t>
        </r>
      </text>
    </comment>
    <comment ref="T51" authorId="0" shapeId="0" xr:uid="{2DEAF4A8-E594-47A5-BCCE-F1FF93E27A9C}">
      <text>
        <r>
          <rPr>
            <b/>
            <sz val="9"/>
            <color indexed="81"/>
            <rFont val="Tahoma"/>
            <family val="2"/>
          </rPr>
          <t>alfonso:</t>
        </r>
        <r>
          <rPr>
            <sz val="9"/>
            <color indexed="81"/>
            <rFont val="Tahoma"/>
            <family val="2"/>
          </rPr>
          <t xml:space="preserve">
se venden los de montanera</t>
        </r>
      </text>
    </comment>
    <comment ref="H53" authorId="0" shapeId="0" xr:uid="{27CD215C-003B-4E0F-A5EA-4488C5C89008}">
      <text>
        <r>
          <rPr>
            <b/>
            <sz val="9"/>
            <color indexed="81"/>
            <rFont val="Tahoma"/>
            <family val="2"/>
          </rPr>
          <t>alfonso:</t>
        </r>
        <r>
          <rPr>
            <sz val="9"/>
            <color indexed="81"/>
            <rFont val="Tahoma"/>
            <family val="2"/>
          </rPr>
          <t xml:space="preserve">
entran 15 madres para el cebo campo II</t>
        </r>
      </text>
    </comment>
    <comment ref="D68" authorId="0" shapeId="0" xr:uid="{3E3BA3F9-0B32-40F4-A61E-CEFD1EC48F2B}">
      <text>
        <r>
          <rPr>
            <b/>
            <sz val="9"/>
            <color indexed="81"/>
            <rFont val="Tahoma"/>
            <family val="2"/>
          </rPr>
          <t>alfonso:</t>
        </r>
        <r>
          <rPr>
            <sz val="9"/>
            <color indexed="81"/>
            <rFont val="Tahoma"/>
            <family val="2"/>
          </rPr>
          <t xml:space="preserve">
Ojo, con paja regalada de Reyes y Paco y resto a un precio por debajo de mercado</t>
        </r>
      </text>
    </comment>
    <comment ref="G105" authorId="0" shapeId="0" xr:uid="{F5CC7332-D8E9-434A-9531-1842637605CA}">
      <text>
        <r>
          <rPr>
            <b/>
            <sz val="9"/>
            <color indexed="81"/>
            <rFont val="Tahoma"/>
            <family val="2"/>
          </rPr>
          <t>alfonso:</t>
        </r>
        <r>
          <rPr>
            <sz val="9"/>
            <color indexed="81"/>
            <rFont val="Tahoma"/>
            <family val="2"/>
          </rPr>
          <t xml:space="preserve">
Si compramos 25 ton de cascara de almendra podemos no tener que comprar forraje, ya que las existecias llegarían hasta septiembre que ya ha entrado de nuevo la paja de la Aljabara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alfonso</author>
  </authors>
  <commentList>
    <comment ref="F4" authorId="0" shapeId="0" xr:uid="{E0D1A1E8-F3D9-4570-8429-70C6DD31BC43}">
      <text>
        <r>
          <rPr>
            <b/>
            <sz val="9"/>
            <color indexed="81"/>
            <rFont val="Tahoma"/>
            <family val="2"/>
          </rPr>
          <t>alfonso:</t>
        </r>
        <r>
          <rPr>
            <sz val="9"/>
            <color indexed="81"/>
            <rFont val="Tahoma"/>
            <family val="2"/>
          </rPr>
          <t xml:space="preserve">
taco</t>
        </r>
      </text>
    </comment>
    <comment ref="F15" authorId="0" shapeId="0" xr:uid="{4BC7DA44-74FC-4061-8C3D-9E1086EB7709}">
      <text>
        <r>
          <rPr>
            <b/>
            <sz val="9"/>
            <color indexed="81"/>
            <rFont val="Tahoma"/>
            <family val="2"/>
          </rPr>
          <t>alfonso:</t>
        </r>
        <r>
          <rPr>
            <sz val="9"/>
            <color indexed="81"/>
            <rFont val="Tahoma"/>
            <family val="2"/>
          </rPr>
          <t xml:space="preserve">
taco</t>
        </r>
      </text>
    </comment>
  </commentList>
</comments>
</file>

<file path=xl/sharedStrings.xml><?xml version="1.0" encoding="utf-8"?>
<sst xmlns="http://schemas.openxmlformats.org/spreadsheetml/2006/main" count="1314" uniqueCount="539">
  <si>
    <t>2023/2024</t>
  </si>
  <si>
    <t>2024/2025</t>
  </si>
  <si>
    <t>Sep</t>
  </si>
  <si>
    <t>Oct</t>
  </si>
  <si>
    <t>Nov</t>
  </si>
  <si>
    <t>Dic</t>
  </si>
  <si>
    <t>Ene</t>
  </si>
  <si>
    <t>Feb</t>
  </si>
  <si>
    <t>Mar</t>
  </si>
  <si>
    <t>Abr</t>
  </si>
  <si>
    <t>May</t>
  </si>
  <si>
    <t>Jun</t>
  </si>
  <si>
    <t>Jul</t>
  </si>
  <si>
    <t>Ago</t>
  </si>
  <si>
    <t>Totales</t>
  </si>
  <si>
    <t xml:space="preserve">Vacuno </t>
  </si>
  <si>
    <t>Cobros</t>
  </si>
  <si>
    <t>Pagos</t>
  </si>
  <si>
    <t>Caja Operaciones (mes)</t>
  </si>
  <si>
    <t>Caja Operaciones (acum.)</t>
  </si>
  <si>
    <t xml:space="preserve">Porcino </t>
  </si>
  <si>
    <t>Ovino</t>
  </si>
  <si>
    <t>Gastos generales</t>
  </si>
  <si>
    <t>Act. Ganadera</t>
  </si>
  <si>
    <t>Caja Inversiones (acum.)</t>
  </si>
  <si>
    <t>Inversiones</t>
  </si>
  <si>
    <t>Caja Inversiones (mes)</t>
  </si>
  <si>
    <t>Financiación</t>
  </si>
  <si>
    <t>Caja Financiación (mes)</t>
  </si>
  <si>
    <t>Caja Financiación (acum.)</t>
  </si>
  <si>
    <t>Caja opex, capex y serv. deuda</t>
  </si>
  <si>
    <t>Check</t>
  </si>
  <si>
    <t>Total circulante</t>
  </si>
  <si>
    <t>Caja consolidada (mes)</t>
  </si>
  <si>
    <t>Caja consolidada (acumulada)</t>
  </si>
  <si>
    <t>Saldo Inicial</t>
  </si>
  <si>
    <t>Caja consolidada</t>
  </si>
  <si>
    <t>Saldo final</t>
  </si>
  <si>
    <t>Saldos bancarios</t>
  </si>
  <si>
    <t>Saldo Caixa EUR</t>
  </si>
  <si>
    <t>Saldo Caja Rural</t>
  </si>
  <si>
    <t xml:space="preserve">Saldo Caja </t>
  </si>
  <si>
    <t>Diferencia</t>
  </si>
  <si>
    <t>TOTALES</t>
  </si>
  <si>
    <t>Incidencia</t>
  </si>
  <si>
    <t>Eliminado</t>
  </si>
  <si>
    <t>Ventas vacuno</t>
  </si>
  <si>
    <t>Venta de terneros/as</t>
  </si>
  <si>
    <t>Venta de carne</t>
  </si>
  <si>
    <t>Total Ventas vacuno</t>
  </si>
  <si>
    <t>Subvención PAC ganaderos extensivos de vacuno de carne</t>
  </si>
  <si>
    <t>Subvención PAC ganado ecológico</t>
  </si>
  <si>
    <t>Subvención PAC ayuda basica a la renta y pago redistributivo</t>
  </si>
  <si>
    <t>Subvención PAC pastoreo extensivo</t>
  </si>
  <si>
    <t>Subvención medicamentos vacas</t>
  </si>
  <si>
    <t>Subvención agroseguro vacas</t>
  </si>
  <si>
    <t>Total cobros vacuno</t>
  </si>
  <si>
    <t>Gastos vacuno</t>
  </si>
  <si>
    <t>Compra terneros</t>
  </si>
  <si>
    <t>Medicamentos, veterinario y saneamientos</t>
  </si>
  <si>
    <t>Programa de gestión</t>
  </si>
  <si>
    <t>Registro Angus</t>
  </si>
  <si>
    <t>Animales muertos</t>
  </si>
  <si>
    <t>Cert. Ecológico - Agrocolor</t>
  </si>
  <si>
    <t>Seguro Vacas</t>
  </si>
  <si>
    <t>Matadero (Para venta de carne)</t>
  </si>
  <si>
    <t xml:space="preserve">Portes (Para venta de carne) </t>
  </si>
  <si>
    <t>Envasado y refrigeración</t>
  </si>
  <si>
    <t>Asaja</t>
  </si>
  <si>
    <t>Servicio precios lonja</t>
  </si>
  <si>
    <t xml:space="preserve">Portes </t>
  </si>
  <si>
    <t xml:space="preserve">Comisiones corredor </t>
  </si>
  <si>
    <t>Total pagos vacuno</t>
  </si>
  <si>
    <t>Ventas porcino</t>
  </si>
  <si>
    <t>Montanera propios y de terceros</t>
  </si>
  <si>
    <t>Total cobros porcino</t>
  </si>
  <si>
    <t>Gastos porcino</t>
  </si>
  <si>
    <t>Compra de animales</t>
  </si>
  <si>
    <t>Comisiones corredor</t>
  </si>
  <si>
    <t>Medicamentos y Vet.</t>
  </si>
  <si>
    <t>Crotales</t>
  </si>
  <si>
    <t xml:space="preserve">Compra de carne </t>
  </si>
  <si>
    <t xml:space="preserve">Envasado y almacenamiento </t>
  </si>
  <si>
    <t>Certificación Bellota</t>
  </si>
  <si>
    <t>Portes</t>
  </si>
  <si>
    <t>Saneamientos</t>
  </si>
  <si>
    <t>Total pagos porcino</t>
  </si>
  <si>
    <t>Ventas ovino</t>
  </si>
  <si>
    <t>Corderos/ovejas/carneros</t>
  </si>
  <si>
    <t>Total Ventas ovino</t>
  </si>
  <si>
    <t>Subvención ovejas</t>
  </si>
  <si>
    <t>Total cobros ovino</t>
  </si>
  <si>
    <t>Gastos Ovino</t>
  </si>
  <si>
    <t>Comision corredor</t>
  </si>
  <si>
    <t>Total pagos Ovino</t>
  </si>
  <si>
    <t>Alimento cereal</t>
  </si>
  <si>
    <t>Alimento DDG/leguminosa</t>
  </si>
  <si>
    <t>Alimento Forraje/fibra</t>
  </si>
  <si>
    <t>Siembra y cosechado</t>
  </si>
  <si>
    <t>Seguro RC</t>
  </si>
  <si>
    <t>Seguro vehículos y maquinaria</t>
  </si>
  <si>
    <t>Seguro Convenio</t>
  </si>
  <si>
    <t>IVA</t>
  </si>
  <si>
    <t>IRPF</t>
  </si>
  <si>
    <t>IS</t>
  </si>
  <si>
    <t>Otras tasas e impuestos (IBI, RM, IVTM, …)</t>
  </si>
  <si>
    <t>Mantenimiento finca y maquinaria</t>
  </si>
  <si>
    <t>Gasoil B maquinaria</t>
  </si>
  <si>
    <t>Alquiler Fincas</t>
  </si>
  <si>
    <t>Gastos o ingresos auxiliares</t>
  </si>
  <si>
    <t>Limpiadora</t>
  </si>
  <si>
    <t>Seg. Sociales</t>
  </si>
  <si>
    <t>Servicios legales</t>
  </si>
  <si>
    <t>Gestoría laboral</t>
  </si>
  <si>
    <t>Gestión fiscal y contable</t>
  </si>
  <si>
    <t>Servicios y comisiones financieras</t>
  </si>
  <si>
    <t>Intereses bancarios</t>
  </si>
  <si>
    <t>Prev. Riesgos laborales</t>
  </si>
  <si>
    <t xml:space="preserve">Servicios informáticos </t>
  </si>
  <si>
    <t>Material de oficina</t>
  </si>
  <si>
    <t>Butano</t>
  </si>
  <si>
    <t>Varios, correos, etc</t>
  </si>
  <si>
    <t>Varios extraordinarios</t>
  </si>
  <si>
    <t>Subvención Modernización</t>
  </si>
  <si>
    <t>Subvención PAC enmienda caliza del suelo</t>
  </si>
  <si>
    <t>Total pagos generales</t>
  </si>
  <si>
    <t>Total cobros</t>
  </si>
  <si>
    <t>Total pagos</t>
  </si>
  <si>
    <t>Ratio generación de caja</t>
  </si>
  <si>
    <t>Vacas madres o futuras madres</t>
  </si>
  <si>
    <t>Toros sementales</t>
  </si>
  <si>
    <t>Cochinas madres</t>
  </si>
  <si>
    <t>Compra maquinaria y elementos varios</t>
  </si>
  <si>
    <t>Licencias programas informaticos</t>
  </si>
  <si>
    <t xml:space="preserve">Saldo tesoreria de inversiones </t>
  </si>
  <si>
    <t>Préstamos</t>
  </si>
  <si>
    <t>Prestamo</t>
  </si>
  <si>
    <t>Movimiento mensual</t>
  </si>
  <si>
    <t>Capital pendiente amortizar</t>
  </si>
  <si>
    <t>Acumulado tesoreria de Prestamos</t>
  </si>
  <si>
    <t>Créditos</t>
  </si>
  <si>
    <t>Circulante para Alimento</t>
  </si>
  <si>
    <t>Saldo</t>
  </si>
  <si>
    <t>Circulante de NixAl</t>
  </si>
  <si>
    <t>Devolución préstamo a Alberto</t>
  </si>
  <si>
    <t xml:space="preserve">Saldo </t>
  </si>
  <si>
    <t>Saldo final tesorería</t>
  </si>
  <si>
    <t>Saldo Rural</t>
  </si>
  <si>
    <t>Saldo Caixa</t>
  </si>
  <si>
    <t>Saldo CAJA</t>
  </si>
  <si>
    <t>Suma saldos</t>
  </si>
  <si>
    <t>Juan Pedro Molina</t>
  </si>
  <si>
    <t>ES98 3187 0816 6122 8545 9927</t>
  </si>
  <si>
    <t>VACUNO</t>
  </si>
  <si>
    <t>Existencias, entradas y salidas</t>
  </si>
  <si>
    <t>Ei</t>
  </si>
  <si>
    <t>Animales cebo 80-150 Kg</t>
  </si>
  <si>
    <t>Movimientos cebo 80-150 Kg</t>
  </si>
  <si>
    <t>Animales cebo 150-230 Kg</t>
  </si>
  <si>
    <t>Movimientos cebo 150-230 Kg</t>
  </si>
  <si>
    <t>Animales cebo 231-400 Kg</t>
  </si>
  <si>
    <t>Movimientos cebo 231-400 Kg</t>
  </si>
  <si>
    <t>Animales cebo &gt;400 Kg</t>
  </si>
  <si>
    <t>Movimientos cebo &gt;400 Kg</t>
  </si>
  <si>
    <t>Madres repro, gestantes y toros</t>
  </si>
  <si>
    <t>Movimientos repro, gest y toros</t>
  </si>
  <si>
    <t>Madres con ternero lactando</t>
  </si>
  <si>
    <t>Movimientos madres con ternero</t>
  </si>
  <si>
    <t>Lactantes bajo madre</t>
  </si>
  <si>
    <t>Movimientos Lactantes</t>
  </si>
  <si>
    <t>Ventas de terneros</t>
  </si>
  <si>
    <t>Receta actual</t>
  </si>
  <si>
    <t>Cebada</t>
  </si>
  <si>
    <t>DDG</t>
  </si>
  <si>
    <t>Paja</t>
  </si>
  <si>
    <t>Mezcla</t>
  </si>
  <si>
    <t>Receta sep23</t>
  </si>
  <si>
    <t>Siembra/pasto</t>
  </si>
  <si>
    <t>Siembra</t>
  </si>
  <si>
    <t>Pasto</t>
  </si>
  <si>
    <t>Pienso destt</t>
  </si>
  <si>
    <t>Consumos/costes unitarios</t>
  </si>
  <si>
    <t>Kg/dia</t>
  </si>
  <si>
    <t>€/dia/animal</t>
  </si>
  <si>
    <t>Precios alimento</t>
  </si>
  <si>
    <t>Eur/Kg</t>
  </si>
  <si>
    <t>Eur/Kg con transporte</t>
  </si>
  <si>
    <t>Consumo mensual Eur</t>
  </si>
  <si>
    <t>Madres repro y sementales</t>
  </si>
  <si>
    <t xml:space="preserve">Madres gestantes </t>
  </si>
  <si>
    <t>Lactantes</t>
  </si>
  <si>
    <t>PORCINO</t>
  </si>
  <si>
    <t>parto y lactancia (camping ocupados)</t>
  </si>
  <si>
    <t>Primales cebo campo II</t>
  </si>
  <si>
    <t>Marranos cebo campo II</t>
  </si>
  <si>
    <t>Pnimales cebo campo</t>
  </si>
  <si>
    <t>Marrano cebo campo</t>
  </si>
  <si>
    <t>Marranos bellota</t>
  </si>
  <si>
    <t>Primales bellota</t>
  </si>
  <si>
    <t>Montanera</t>
  </si>
  <si>
    <t>Montanera reposición</t>
  </si>
  <si>
    <t>Madres y Verracos (22+2)</t>
  </si>
  <si>
    <t>Ventas de cochinos</t>
  </si>
  <si>
    <t>Harina engorde</t>
  </si>
  <si>
    <t>Lechones cebo campo</t>
  </si>
  <si>
    <t>a los 40 dias</t>
  </si>
  <si>
    <t>Primal</t>
  </si>
  <si>
    <t>Primales cebo campo</t>
  </si>
  <si>
    <t>lechones montanera 24</t>
  </si>
  <si>
    <t>0,5 kg</t>
  </si>
  <si>
    <t>0,00-0,7</t>
  </si>
  <si>
    <t>Lechones cebo campo II</t>
  </si>
  <si>
    <t>Primales montanera 23</t>
  </si>
  <si>
    <t>Madres y Verraco</t>
  </si>
  <si>
    <t>Lechones bellota</t>
  </si>
  <si>
    <t>Animales cebo campo</t>
  </si>
  <si>
    <t>Animales cebo campo II</t>
  </si>
  <si>
    <t>Almacen Cebada vacas</t>
  </si>
  <si>
    <t>Existencias iniciales Kg</t>
  </si>
  <si>
    <t>consumos Kg vacas</t>
  </si>
  <si>
    <t>compras Kg</t>
  </si>
  <si>
    <t>existencias finales Kg</t>
  </si>
  <si>
    <t>Compras Eur</t>
  </si>
  <si>
    <t>Almacen Cebada cochinos</t>
  </si>
  <si>
    <t>consumos Kg Cochinos</t>
  </si>
  <si>
    <t>Almacen DDG</t>
  </si>
  <si>
    <t>consumos Kg</t>
  </si>
  <si>
    <t>Almacen Paja</t>
  </si>
  <si>
    <t>Existencias iniciales</t>
  </si>
  <si>
    <t>consumos</t>
  </si>
  <si>
    <t>compras</t>
  </si>
  <si>
    <t>existencias finales</t>
  </si>
  <si>
    <t>Almacen Pienso destete</t>
  </si>
  <si>
    <t>Almacen harina engorde montanera</t>
  </si>
  <si>
    <t>Sep23/Ago24</t>
  </si>
  <si>
    <t>Sep24/Ago25</t>
  </si>
  <si>
    <t>Sep25/Ago26</t>
  </si>
  <si>
    <t>Sep26/Ago27</t>
  </si>
  <si>
    <t>Porcino</t>
  </si>
  <si>
    <t>Montanera terceros</t>
  </si>
  <si>
    <t>Necesidades Alimento (kg/mes)</t>
  </si>
  <si>
    <t>Cereal</t>
  </si>
  <si>
    <t>Leguminosa</t>
  </si>
  <si>
    <t>Paja y otras fibras</t>
  </si>
  <si>
    <t>Heno</t>
  </si>
  <si>
    <t>Pienso Montanera</t>
  </si>
  <si>
    <t>Vacas y toros</t>
  </si>
  <si>
    <t>Stock Inicial</t>
  </si>
  <si>
    <t>Entradas</t>
  </si>
  <si>
    <t>Reposición</t>
  </si>
  <si>
    <t>Compras</t>
  </si>
  <si>
    <t>Salidas</t>
  </si>
  <si>
    <t>Ventas/cebo</t>
  </si>
  <si>
    <t>Mermas</t>
  </si>
  <si>
    <t>Stock Final</t>
  </si>
  <si>
    <t>Alimento</t>
  </si>
  <si>
    <t>kg/dia/animal</t>
  </si>
  <si>
    <t>Fertilidad</t>
  </si>
  <si>
    <t>No preñadas</t>
  </si>
  <si>
    <t>Jóvenes</t>
  </si>
  <si>
    <t>Toros</t>
  </si>
  <si>
    <t>Vacias</t>
  </si>
  <si>
    <t>Preñadas</t>
  </si>
  <si>
    <t>Paridera</t>
  </si>
  <si>
    <t>Checks</t>
  </si>
  <si>
    <t>Terneros Lactantes</t>
  </si>
  <si>
    <t>Partos (entrada)</t>
  </si>
  <si>
    <r>
      <t xml:space="preserve">Mermas </t>
    </r>
    <r>
      <rPr>
        <sz val="8"/>
        <color theme="1"/>
        <rFont val="Calibri"/>
        <family val="2"/>
        <scheme val="minor"/>
      </rPr>
      <t>(cero si no hay parto)</t>
    </r>
  </si>
  <si>
    <t xml:space="preserve">kg/dia/animal </t>
  </si>
  <si>
    <t>Consumos Alimento (kg/mes)</t>
  </si>
  <si>
    <t>Vacas</t>
  </si>
  <si>
    <t>Lantantes</t>
  </si>
  <si>
    <t>Total</t>
  </si>
  <si>
    <t>Has</t>
  </si>
  <si>
    <t>Semilla (kg/ha)</t>
  </si>
  <si>
    <t>Eur/kg</t>
  </si>
  <si>
    <t>Has Cosecha</t>
  </si>
  <si>
    <t>Rendimiento (kg/ha)</t>
  </si>
  <si>
    <t>Rastrojo</t>
  </si>
  <si>
    <t>Kg Heno</t>
  </si>
  <si>
    <t>Kg rastrojo</t>
  </si>
  <si>
    <t>Has Diente</t>
  </si>
  <si>
    <t>Kg diente</t>
  </si>
  <si>
    <t>Stock siembra</t>
  </si>
  <si>
    <t>Inicial</t>
  </si>
  <si>
    <t>Diente</t>
  </si>
  <si>
    <t>Consumo</t>
  </si>
  <si>
    <t>Sock final</t>
  </si>
  <si>
    <t>Total Necesidades mes (kg)</t>
  </si>
  <si>
    <r>
      <t xml:space="preserve">Cereal </t>
    </r>
    <r>
      <rPr>
        <sz val="11"/>
        <color theme="1"/>
        <rFont val="Calibri"/>
        <family val="2"/>
        <scheme val="minor"/>
      </rPr>
      <t>(cebada, triticale, maiz…)</t>
    </r>
  </si>
  <si>
    <t>Stock ini</t>
  </si>
  <si>
    <t>Compras kg</t>
  </si>
  <si>
    <t>Consumos</t>
  </si>
  <si>
    <t>Stock fin</t>
  </si>
  <si>
    <r>
      <t>Leguminosa</t>
    </r>
    <r>
      <rPr>
        <sz val="11"/>
        <color theme="1"/>
        <rFont val="Calibri"/>
        <family val="2"/>
        <scheme val="minor"/>
      </rPr>
      <t xml:space="preserve"> (DDG, Guisante,…)</t>
    </r>
  </si>
  <si>
    <t>Pienso cebo y aporte proteina vacas</t>
  </si>
  <si>
    <t>1k proteina por madre Sep-Dic</t>
  </si>
  <si>
    <r>
      <t xml:space="preserve">Paja y otras fibras </t>
    </r>
    <r>
      <rPr>
        <sz val="11"/>
        <color theme="1"/>
        <rFont val="Calibri"/>
        <family val="2"/>
        <scheme val="minor"/>
      </rPr>
      <t>(capota, olivo…)</t>
    </r>
  </si>
  <si>
    <t>Precios (Eur/kg)</t>
  </si>
  <si>
    <t>Terneros 200kg</t>
  </si>
  <si>
    <t>Añojos 500kg</t>
  </si>
  <si>
    <t>Canal</t>
  </si>
  <si>
    <t>Porcino cebo campo</t>
  </si>
  <si>
    <t>Iberico bellota</t>
  </si>
  <si>
    <t>Eur/mes Alimento</t>
  </si>
  <si>
    <t>Eur/mes Ventas</t>
  </si>
  <si>
    <t>Terneros destete</t>
  </si>
  <si>
    <t>Cebo inicio 150-230 Kg</t>
  </si>
  <si>
    <t>Cebo intermedio 231 -400 kg</t>
  </si>
  <si>
    <t>Cebo remate &gt; 400 kg</t>
  </si>
  <si>
    <t>Cebo inicio</t>
  </si>
  <si>
    <t>Cebo remate</t>
  </si>
  <si>
    <t>Cebo intermedio</t>
  </si>
  <si>
    <t>Granel</t>
  </si>
  <si>
    <t>Envasado</t>
  </si>
  <si>
    <t>Eur/Kg harina</t>
  </si>
  <si>
    <t>Eur/Kg granulado</t>
  </si>
  <si>
    <t>total</t>
  </si>
  <si>
    <t>PIENSO IFS con transporte</t>
  </si>
  <si>
    <t>Bovitaco 16 plus</t>
  </si>
  <si>
    <t>---</t>
  </si>
  <si>
    <t>Vacas intensivo</t>
  </si>
  <si>
    <t>Vacas intensivas 03</t>
  </si>
  <si>
    <t>destete</t>
  </si>
  <si>
    <t>Terneros arranque</t>
  </si>
  <si>
    <t>inicio</t>
  </si>
  <si>
    <t>Terni-crecimiento</t>
  </si>
  <si>
    <t>Intermedio</t>
  </si>
  <si>
    <t>Creciter intesivo 03</t>
  </si>
  <si>
    <t>remate</t>
  </si>
  <si>
    <t>Montarera</t>
  </si>
  <si>
    <t>Complemento Montanera</t>
  </si>
  <si>
    <t>PIENSO NANTA sin transporte</t>
  </si>
  <si>
    <t>Vaquinanta 2000</t>
  </si>
  <si>
    <t>Terminanta destete</t>
  </si>
  <si>
    <t>Bovicre super</t>
  </si>
  <si>
    <t xml:space="preserve">Opticar cebo </t>
  </si>
  <si>
    <t>SRC engorde</t>
  </si>
  <si>
    <t>CEBADA</t>
  </si>
  <si>
    <t>intermedio</t>
  </si>
  <si>
    <t>NixAl Agri</t>
  </si>
  <si>
    <t>23/24</t>
  </si>
  <si>
    <t>24/25</t>
  </si>
  <si>
    <t>25/26</t>
  </si>
  <si>
    <t>26/27</t>
  </si>
  <si>
    <t>NixAl</t>
  </si>
  <si>
    <t>Ventas</t>
  </si>
  <si>
    <t>Vacuno</t>
  </si>
  <si>
    <t>Costes Alimento</t>
  </si>
  <si>
    <t>Caja operaciones</t>
  </si>
  <si>
    <t>Margen bruto</t>
  </si>
  <si>
    <t>Land Rover</t>
  </si>
  <si>
    <t>Subvenciones</t>
  </si>
  <si>
    <t>RA11</t>
  </si>
  <si>
    <t>Margen bruto total</t>
  </si>
  <si>
    <t>ICO Caixa</t>
  </si>
  <si>
    <t>Gtos vacuno</t>
  </si>
  <si>
    <t>Pól. BBVA</t>
  </si>
  <si>
    <t>Gtos porcino</t>
  </si>
  <si>
    <t>Ptmo. Bankinter</t>
  </si>
  <si>
    <t>Gtos Grales</t>
  </si>
  <si>
    <t>Pol. Bankinter</t>
  </si>
  <si>
    <t>Ebitda</t>
  </si>
  <si>
    <t>Estiercol, cal, Mendez atrasado, etc.</t>
  </si>
  <si>
    <t>Pol. Caixa Alberto</t>
  </si>
  <si>
    <t>Venta ovejas</t>
  </si>
  <si>
    <t>Vtas. Carne</t>
  </si>
  <si>
    <t>Ebitda final</t>
  </si>
  <si>
    <t>Gtos. MDZ</t>
  </si>
  <si>
    <t>Gtos. Grales</t>
  </si>
  <si>
    <t>Tractor y segadora</t>
  </si>
  <si>
    <t>Empacadora y ensiladora</t>
  </si>
  <si>
    <t>Maq. y elementos varios</t>
  </si>
  <si>
    <t>Compra nuevas fincas</t>
  </si>
  <si>
    <t>75 cochinos y 0,6 kg</t>
  </si>
  <si>
    <t>Hipotecario Srafael</t>
  </si>
  <si>
    <t>150 cochinos y 2/2/2/0,6 Kg</t>
  </si>
  <si>
    <t>Pol. Caixa</t>
  </si>
  <si>
    <t>Mochila pagos atrasados</t>
  </si>
  <si>
    <t>Hipotecario Nuevas fincas</t>
  </si>
  <si>
    <t>ICO Santander</t>
  </si>
  <si>
    <t>Generación Caja</t>
  </si>
  <si>
    <t>Subvención reforestación</t>
  </si>
  <si>
    <t>Saldo inicial</t>
  </si>
  <si>
    <t>Subvención agua</t>
  </si>
  <si>
    <r>
      <t xml:space="preserve">Saldo vacuno </t>
    </r>
    <r>
      <rPr>
        <sz val="12"/>
        <color theme="1"/>
        <rFont val="Aptos Narrow"/>
        <family val="2"/>
      </rPr>
      <t>(mes)</t>
    </r>
  </si>
  <si>
    <r>
      <t>Saldo porcino</t>
    </r>
    <r>
      <rPr>
        <sz val="12"/>
        <color theme="1"/>
        <rFont val="Aptos Narrow"/>
        <family val="2"/>
      </rPr>
      <t xml:space="preserve"> (mes)</t>
    </r>
  </si>
  <si>
    <r>
      <t>Saldo ovino</t>
    </r>
    <r>
      <rPr>
        <sz val="12"/>
        <color theme="1"/>
        <rFont val="Aptos Narrow"/>
        <family val="2"/>
      </rPr>
      <t xml:space="preserve"> (mes)</t>
    </r>
  </si>
  <si>
    <r>
      <t xml:space="preserve">Saldo actividad </t>
    </r>
    <r>
      <rPr>
        <sz val="12"/>
        <color theme="1"/>
        <rFont val="Aptos Narrow"/>
        <family val="2"/>
      </rPr>
      <t>(acumulado)</t>
    </r>
  </si>
  <si>
    <t>Pienso Marrano</t>
  </si>
  <si>
    <t>Stock inicial</t>
  </si>
  <si>
    <t>Entrada (destete o compra)</t>
  </si>
  <si>
    <t>Salida a venta</t>
  </si>
  <si>
    <t>Entrada (de incio)</t>
  </si>
  <si>
    <t>Stock final</t>
  </si>
  <si>
    <t>Salida a intermedio</t>
  </si>
  <si>
    <t>Entrada (de intermedio)</t>
  </si>
  <si>
    <t>Entrada (de desecho)</t>
  </si>
  <si>
    <t>kg/mes</t>
  </si>
  <si>
    <t>Alimento lactantes</t>
  </si>
  <si>
    <t>Alimento cebo inicio</t>
  </si>
  <si>
    <t>Alimento cebo intermedio</t>
  </si>
  <si>
    <t>Alimento cebo remate</t>
  </si>
  <si>
    <t>Pienso cochinos lactantes</t>
  </si>
  <si>
    <t>Pienso cochinos cebo campo</t>
  </si>
  <si>
    <t>Pienso cochinos marrano</t>
  </si>
  <si>
    <t>Pienso Marranos</t>
  </si>
  <si>
    <t>Pienso terneros lactantes</t>
  </si>
  <si>
    <t>Nomina Mariano López Valero</t>
  </si>
  <si>
    <t>Reproductoras y verracos</t>
  </si>
  <si>
    <t>Verracos</t>
  </si>
  <si>
    <t>Madres fertiles</t>
  </si>
  <si>
    <t>No fertiles</t>
  </si>
  <si>
    <t>Lechones</t>
  </si>
  <si>
    <t>A marrano (salida)</t>
  </si>
  <si>
    <t>Marranos</t>
  </si>
  <si>
    <t>A primal (salida)</t>
  </si>
  <si>
    <t>Primales</t>
  </si>
  <si>
    <t>Entrada (de lechones)</t>
  </si>
  <si>
    <t>Entrada (de marranos)</t>
  </si>
  <si>
    <t>Entrada (de primales)</t>
  </si>
  <si>
    <t>Venta (salida)</t>
  </si>
  <si>
    <t>A montanera (salida)</t>
  </si>
  <si>
    <t>Entrada</t>
  </si>
  <si>
    <t>Pienso lechones</t>
  </si>
  <si>
    <t>Alimento pienso lechones</t>
  </si>
  <si>
    <t>Alimento pienso marranos</t>
  </si>
  <si>
    <t>Alimento pienso terneros lactantes</t>
  </si>
  <si>
    <t xml:space="preserve">Cochinos sementales - Verracos </t>
  </si>
  <si>
    <t>Harina cebo</t>
  </si>
  <si>
    <t>Harina Lactantes</t>
  </si>
  <si>
    <t>Pienso lechones lactantes</t>
  </si>
  <si>
    <t>Alimento pienso montanera</t>
  </si>
  <si>
    <t>Harina cebo y madres</t>
  </si>
  <si>
    <t>Taco madres</t>
  </si>
  <si>
    <t xml:space="preserve">Alimento taco Madres </t>
  </si>
  <si>
    <t>Taco vacas</t>
  </si>
  <si>
    <t>Cebo</t>
  </si>
  <si>
    <t>Alimento pienso cebo</t>
  </si>
  <si>
    <t>Venta chacinas y paletas</t>
  </si>
  <si>
    <t xml:space="preserve">Nomina Jaime Martin </t>
  </si>
  <si>
    <t xml:space="preserve">Ventas de carne </t>
  </si>
  <si>
    <t>2025/2026</t>
  </si>
  <si>
    <t>2026/2027</t>
  </si>
  <si>
    <t>Gasoil A o gasolina y butano</t>
  </si>
  <si>
    <t>A cebo inicio (salida)</t>
  </si>
  <si>
    <t>Compras de carne</t>
  </si>
  <si>
    <t xml:space="preserve">MARGEN </t>
  </si>
  <si>
    <t xml:space="preserve">12 VIAJES VACA </t>
  </si>
  <si>
    <t>13 VIAJES CARNE CERDO</t>
  </si>
  <si>
    <t xml:space="preserve">Transporte TOTAL </t>
  </si>
  <si>
    <t>VENTAS CERDO</t>
  </si>
  <si>
    <t>Transporte 50%</t>
  </si>
  <si>
    <t>Sep27/Ago28</t>
  </si>
  <si>
    <t xml:space="preserve">AUMENTAN GASTOS </t>
  </si>
  <si>
    <t>Saldo caixa 25/09/25</t>
  </si>
  <si>
    <t xml:space="preserve">IVA agosto </t>
  </si>
  <si>
    <t xml:space="preserve">Nominas </t>
  </si>
  <si>
    <t xml:space="preserve">Seg. Sociales </t>
  </si>
  <si>
    <t>Facturas carne</t>
  </si>
  <si>
    <t xml:space="preserve">Facturas mantenimento </t>
  </si>
  <si>
    <t>TOTAL</t>
  </si>
  <si>
    <t>Nomina Henry Manuel Zacaro Escobar</t>
  </si>
  <si>
    <t>Nomina Jhonathan Borrero Ruiz</t>
  </si>
  <si>
    <t>Caballos, gallinas, ovejas, perros y gatos</t>
  </si>
  <si>
    <t>23-24</t>
  </si>
  <si>
    <t>24-25</t>
  </si>
  <si>
    <t>26-26</t>
  </si>
  <si>
    <t>PRESUPUESTO 25-26</t>
  </si>
  <si>
    <t xml:space="preserve">¿Por qué disminuye del 23-24 al 24-25? 1º no hemos vendido tantos terneros y 2º el primero año vendidmos mas terneros engorde. </t>
  </si>
  <si>
    <t>Mermas o a recria</t>
  </si>
  <si>
    <t>ajustamos gasto en medicinas/vet.</t>
  </si>
  <si>
    <t>Inluimos facturas (tradipack y Narval)</t>
  </si>
  <si>
    <t>Terceros</t>
  </si>
  <si>
    <t>Propia</t>
  </si>
  <si>
    <t>lechones a término</t>
  </si>
  <si>
    <t>Muertes</t>
  </si>
  <si>
    <t>Partos</t>
  </si>
  <si>
    <t>lechones/madre</t>
  </si>
  <si>
    <t>Madres</t>
  </si>
  <si>
    <t>Animales</t>
  </si>
  <si>
    <t>Presupuesto</t>
  </si>
  <si>
    <t>Avance</t>
  </si>
  <si>
    <t>A venta</t>
  </si>
  <si>
    <t>Terneros de 200kg</t>
  </si>
  <si>
    <t>Madres fértiles</t>
  </si>
  <si>
    <t>%</t>
  </si>
  <si>
    <t>A recría</t>
  </si>
  <si>
    <t>Total general</t>
  </si>
  <si>
    <t>Ventas 200kg</t>
  </si>
  <si>
    <t>Ventas remate</t>
  </si>
  <si>
    <t xml:space="preserve">Aumento gasto </t>
  </si>
  <si>
    <t>Incluimos facturas de carne</t>
  </si>
  <si>
    <t>A cebo intermedio/remate</t>
  </si>
  <si>
    <t>Salida a remate</t>
  </si>
  <si>
    <t>lechones</t>
  </si>
  <si>
    <t xml:space="preserve">Marranos y primales </t>
  </si>
  <si>
    <t>Maquila propía</t>
  </si>
  <si>
    <t xml:space="preserve">Maquila terceros </t>
  </si>
  <si>
    <t>Nomina Juan Carlos Jimenez Martinez</t>
  </si>
  <si>
    <t>Facturas emitidas</t>
  </si>
  <si>
    <t>Baja de 32 marranos escapados</t>
  </si>
  <si>
    <t>AUMENTA COBROS</t>
  </si>
  <si>
    <t xml:space="preserve">AUMENTAN COBROS </t>
  </si>
  <si>
    <t xml:space="preserve">Subvenciones extraordinarias </t>
  </si>
  <si>
    <t>DIMINUYE EL GASTO</t>
  </si>
  <si>
    <t>Aumenta fras emitidas de gapestore</t>
  </si>
  <si>
    <t xml:space="preserve">DISMINUYE SALDO PORCINO </t>
  </si>
  <si>
    <t>AUMENTA SALDO OVEJAS</t>
  </si>
  <si>
    <t xml:space="preserve">Ajustamos previsin de IVA. Estaba duplicado. </t>
  </si>
  <si>
    <t xml:space="preserve">aumentan </t>
  </si>
  <si>
    <t>aumentan gastos</t>
  </si>
  <si>
    <t>Disminuye EL SALDO DE ACTIVIDAD</t>
  </si>
  <si>
    <t xml:space="preserve">Aumenta TOTAL GASTOS GENERALES </t>
  </si>
  <si>
    <t>Madres y verracos leguminosa</t>
  </si>
  <si>
    <t>Madres y verracos cereal</t>
  </si>
  <si>
    <t>Montanera pienso</t>
  </si>
  <si>
    <t>Marranos pienso</t>
  </si>
  <si>
    <t>Primales leguminosa</t>
  </si>
  <si>
    <t>Primales cereal</t>
  </si>
  <si>
    <t>Totales alimento (kg/mes)</t>
  </si>
  <si>
    <t>Disminuye prevision gastos mayo</t>
  </si>
  <si>
    <t xml:space="preserve">Diferencia IVA de tickets emitidos </t>
  </si>
  <si>
    <t xml:space="preserve">Incluimos fras no previstas los romeros de jagugo. </t>
  </si>
  <si>
    <t xml:space="preserve">Aumento del IRPF del 1º trim. </t>
  </si>
  <si>
    <t xml:space="preserve">Pago a cuenta no previsto. </t>
  </si>
  <si>
    <t xml:space="preserve">Aumento previsión fras gasolina. </t>
  </si>
  <si>
    <t>Eliminamos ingreso coto de caza.</t>
  </si>
  <si>
    <t xml:space="preserve">Eliminamos nomina mes de abril. </t>
  </si>
  <si>
    <t xml:space="preserve">Ajuste nomina abril y mayo. </t>
  </si>
  <si>
    <t xml:space="preserve">Aumento seg. Sociales </t>
  </si>
  <si>
    <t xml:space="preserve">Eliminamos una mensualidad. </t>
  </si>
  <si>
    <t xml:space="preserve">Disminuye gastos VISA. </t>
  </si>
  <si>
    <t xml:space="preserve">aumento de 2 terneros de venta intermedio y 1 mas de remate. </t>
  </si>
  <si>
    <t xml:space="preserve">Aumento prevision compra de cereal en junio. </t>
  </si>
  <si>
    <t xml:space="preserve">eliminamos prevision de compra. </t>
  </si>
  <si>
    <t xml:space="preserve">reducimos preveision de agosto. </t>
  </si>
  <si>
    <t xml:space="preserve">Compra en mayo no prevista. </t>
  </si>
  <si>
    <t>pasamos al ejercicio siguiente devolucion a 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</si>
</sst>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0"/>
    <numFmt numFmtId="165" formatCode="0.000"/>
    <numFmt numFmtId="166" formatCode="0.0"/>
    <numFmt numFmtId="167" formatCode="0.0%"/>
    <numFmt numFmtId="168" formatCode="#,##0.0"/>
    <numFmt numFmtId="169" formatCode="#,##0.00\ &quot;€&quot;"/>
  </numFmts>
  <fonts count="79">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8"/>
      <color indexed="81"/>
      <name val="Tahoma"/>
      <family val="2"/>
    </font>
    <font>
      <b/>
      <sz val="8"/>
      <color indexed="81"/>
      <name val="Tahoma"/>
      <family val="2"/>
    </font>
    <font>
      <u/>
      <sz val="9"/>
      <color indexed="81"/>
      <name val="Tahoma"/>
      <family val="2"/>
    </font>
    <font>
      <sz val="9"/>
      <color theme="1"/>
      <name val="Tahoma"/>
      <family val="2"/>
    </font>
    <font>
      <b/>
      <sz val="9"/>
      <color theme="1"/>
      <name val="Century Gothic"/>
      <family val="2"/>
    </font>
    <font>
      <sz val="9"/>
      <color theme="1"/>
      <name val="Century Gothic"/>
      <family val="2"/>
    </font>
    <font>
      <sz val="9"/>
      <color theme="9"/>
      <name val="Century Gothic"/>
      <family val="2"/>
    </font>
    <font>
      <sz val="11"/>
      <color rgb="FFFF0000"/>
      <name val="Calibri"/>
      <family val="2"/>
      <scheme val="minor"/>
    </font>
    <font>
      <b/>
      <sz val="11"/>
      <color theme="1"/>
      <name val="Calibri"/>
      <family val="2"/>
      <scheme val="minor"/>
    </font>
    <font>
      <i/>
      <sz val="8"/>
      <name val="Calibri"/>
      <family val="2"/>
      <scheme val="minor"/>
    </font>
    <font>
      <u/>
      <sz val="11"/>
      <color theme="1"/>
      <name val="Calibri"/>
      <family val="2"/>
      <scheme val="minor"/>
    </font>
    <font>
      <sz val="8"/>
      <color theme="1"/>
      <name val="Calibri"/>
      <family val="2"/>
      <scheme val="minor"/>
    </font>
    <font>
      <b/>
      <sz val="11"/>
      <color rgb="FFFF0000"/>
      <name val="Calibri"/>
      <family val="2"/>
      <scheme val="minor"/>
    </font>
    <font>
      <i/>
      <sz val="9"/>
      <color theme="1"/>
      <name val="Calibri"/>
      <family val="2"/>
      <scheme val="minor"/>
    </font>
    <font>
      <b/>
      <u/>
      <sz val="11"/>
      <color theme="1"/>
      <name val="Calibri"/>
      <family val="2"/>
      <scheme val="minor"/>
    </font>
    <font>
      <b/>
      <sz val="9"/>
      <color rgb="FF000000"/>
      <name val="Tahoma"/>
      <family val="2"/>
    </font>
    <font>
      <sz val="9"/>
      <color rgb="FF000000"/>
      <name val="Tahoma"/>
      <family val="2"/>
    </font>
    <font>
      <b/>
      <sz val="9"/>
      <name val="Century Gothic"/>
      <family val="2"/>
    </font>
    <font>
      <sz val="11"/>
      <color theme="9"/>
      <name val="Calibri"/>
      <family val="2"/>
      <scheme val="minor"/>
    </font>
    <font>
      <sz val="11"/>
      <name val="Calibri"/>
      <family val="2"/>
      <scheme val="minor"/>
    </font>
    <font>
      <b/>
      <sz val="11"/>
      <name val="Calibri"/>
      <family val="2"/>
      <scheme val="minor"/>
    </font>
    <font>
      <b/>
      <i/>
      <sz val="9"/>
      <color theme="1"/>
      <name val="Calibri"/>
      <family val="2"/>
      <scheme val="minor"/>
    </font>
    <font>
      <sz val="11"/>
      <color theme="1"/>
      <name val="Aptos Narrow"/>
      <family val="2"/>
    </font>
    <font>
      <sz val="11"/>
      <color theme="0"/>
      <name val="Aptos Narrow"/>
      <family val="2"/>
    </font>
    <font>
      <b/>
      <sz val="11"/>
      <color theme="1"/>
      <name val="Aptos Narrow"/>
      <family val="2"/>
    </font>
    <font>
      <b/>
      <sz val="11"/>
      <name val="Aptos Narrow"/>
      <family val="2"/>
    </font>
    <font>
      <sz val="11"/>
      <color theme="9"/>
      <name val="Aptos Narrow"/>
      <family val="2"/>
    </font>
    <font>
      <b/>
      <sz val="11"/>
      <color rgb="FFFF0000"/>
      <name val="Aptos Narrow"/>
      <family val="2"/>
    </font>
    <font>
      <sz val="11"/>
      <name val="Aptos Narrow"/>
      <family val="2"/>
    </font>
    <font>
      <b/>
      <sz val="12"/>
      <color theme="1"/>
      <name val="Aptos Narrow"/>
      <family val="2"/>
    </font>
    <font>
      <b/>
      <sz val="12"/>
      <name val="Aptos Narrow"/>
      <family val="2"/>
    </font>
    <font>
      <i/>
      <sz val="9"/>
      <color rgb="FFFF0000"/>
      <name val="Aptos Narrow"/>
      <family val="2"/>
    </font>
    <font>
      <i/>
      <sz val="9"/>
      <name val="Aptos Narrow"/>
      <family val="2"/>
    </font>
    <font>
      <sz val="9"/>
      <name val="Aptos Narrow"/>
      <family val="2"/>
    </font>
    <font>
      <b/>
      <sz val="9"/>
      <name val="Aptos Narrow"/>
      <family val="2"/>
    </font>
    <font>
      <b/>
      <sz val="11"/>
      <color theme="9"/>
      <name val="Aptos Narrow"/>
      <family val="2"/>
    </font>
    <font>
      <sz val="12"/>
      <color theme="1"/>
      <name val="Aptos Narrow"/>
      <family val="2"/>
    </font>
    <font>
      <b/>
      <i/>
      <sz val="11"/>
      <color theme="1"/>
      <name val="Aptos Narrow"/>
      <family val="2"/>
    </font>
    <font>
      <sz val="11"/>
      <color rgb="FFFF0000"/>
      <name val="Aptos Narrow"/>
      <family val="2"/>
    </font>
    <font>
      <b/>
      <sz val="11"/>
      <color rgb="FF000000"/>
      <name val="Aptos Narrow"/>
      <family val="2"/>
    </font>
    <font>
      <sz val="11"/>
      <color rgb="FF92D050"/>
      <name val="Aptos Narrow"/>
      <family val="2"/>
    </font>
    <font>
      <b/>
      <i/>
      <sz val="12"/>
      <color theme="1"/>
      <name val="Aptos Narrow"/>
      <family val="2"/>
    </font>
    <font>
      <u/>
      <sz val="11"/>
      <color theme="1"/>
      <name val="Aptos Narrow"/>
      <family val="2"/>
    </font>
    <font>
      <i/>
      <sz val="11"/>
      <color rgb="FFFF0000"/>
      <name val="Aptos Narrow"/>
      <family val="2"/>
    </font>
    <font>
      <b/>
      <sz val="10"/>
      <color theme="1"/>
      <name val="Aptos Narrow"/>
      <family val="2"/>
    </font>
    <font>
      <sz val="10"/>
      <color theme="1"/>
      <name val="Aptos Narrow"/>
      <family val="2"/>
    </font>
    <font>
      <i/>
      <sz val="11"/>
      <color theme="1"/>
      <name val="Aptos Narrow"/>
      <family val="2"/>
    </font>
    <font>
      <b/>
      <i/>
      <sz val="10"/>
      <color theme="1"/>
      <name val="Aptos Narrow"/>
      <family val="2"/>
    </font>
    <font>
      <i/>
      <sz val="10"/>
      <color theme="1"/>
      <name val="Aptos Narrow"/>
      <family val="2"/>
    </font>
    <font>
      <sz val="10"/>
      <color rgb="FFFF0000"/>
      <name val="Aptos Narrow"/>
      <family val="2"/>
    </font>
    <font>
      <i/>
      <sz val="10"/>
      <color rgb="FFFF0000"/>
      <name val="Aptos Narrow"/>
      <family val="2"/>
    </font>
    <font>
      <sz val="11"/>
      <color theme="9"/>
      <name val="Proxi"/>
    </font>
    <font>
      <b/>
      <sz val="11"/>
      <name val="Aptos Narrow"/>
      <family val="2"/>
    </font>
    <font>
      <b/>
      <sz val="10"/>
      <name val="Aptos Narrow"/>
      <family val="2"/>
    </font>
    <font>
      <sz val="11"/>
      <color theme="9"/>
      <name val="Aptos Narrow"/>
      <family val="2"/>
    </font>
    <font>
      <sz val="11"/>
      <color theme="1"/>
      <name val="Aptos Narrow"/>
      <family val="2"/>
    </font>
    <font>
      <b/>
      <sz val="12"/>
      <color theme="1"/>
      <name val="Aptos Narrow"/>
      <family val="2"/>
    </font>
    <font>
      <sz val="11"/>
      <color theme="1"/>
      <name val="Proxi"/>
    </font>
    <font>
      <sz val="11"/>
      <color theme="9"/>
      <name val="Aptos Narrow"/>
      <family val="2"/>
    </font>
    <font>
      <sz val="11"/>
      <color rgb="FFEE0000"/>
      <name val="Calibri"/>
      <family val="2"/>
      <scheme val="minor"/>
    </font>
    <font>
      <sz val="8"/>
      <name val="Calibri"/>
      <family val="2"/>
      <scheme val="minor"/>
    </font>
    <font>
      <b/>
      <sz val="11"/>
      <name val="Aptos Narrow"/>
      <family val="2"/>
    </font>
    <font>
      <sz val="11"/>
      <color theme="9"/>
      <name val="Aptos Narrow"/>
      <family val="2"/>
    </font>
    <font>
      <i/>
      <sz val="11"/>
      <color theme="1"/>
      <name val="Calibri"/>
      <family val="2"/>
      <scheme val="minor"/>
    </font>
    <font>
      <b/>
      <sz val="11"/>
      <name val="Aptos Narrow"/>
      <family val="2"/>
    </font>
    <font>
      <sz val="11"/>
      <color theme="1"/>
      <name val="Aptos Narrow"/>
      <family val="2"/>
    </font>
    <font>
      <b/>
      <sz val="11"/>
      <name val="Aptos Narrow"/>
      <family val="2"/>
    </font>
    <font>
      <sz val="11"/>
      <color theme="1"/>
      <name val="Aptos Narrow"/>
      <family val="2"/>
    </font>
    <font>
      <b/>
      <sz val="11"/>
      <name val="Aptos Narrow"/>
      <family val="2"/>
    </font>
    <font>
      <b/>
      <i/>
      <sz val="11"/>
      <color theme="1"/>
      <name val="Calibri"/>
      <family val="2"/>
      <scheme val="minor"/>
    </font>
    <font>
      <b/>
      <u/>
      <sz val="9"/>
      <color indexed="81"/>
      <name val="Tahoma"/>
      <family val="2"/>
    </font>
    <font>
      <b/>
      <sz val="11"/>
      <color theme="9"/>
      <name val="Calibri"/>
      <family val="2"/>
      <scheme val="minor"/>
    </font>
    <font>
      <sz val="11"/>
      <name val="Aptos Narrow"/>
      <family val="2"/>
    </font>
    <font>
      <sz val="9"/>
      <color indexed="81"/>
      <name val="Tahoma"/>
      <charset val="1"/>
    </font>
    <font>
      <b/>
      <sz val="9"/>
      <color indexed="81"/>
      <name val="Tahoma"/>
      <charset val="1"/>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rgb="FFFF7C80"/>
        <bgColor indexed="64"/>
      </patternFill>
    </fill>
    <fill>
      <patternFill patternType="solid">
        <fgColor theme="9" tint="0.39997558519241921"/>
        <bgColor indexed="64"/>
      </patternFill>
    </fill>
    <fill>
      <patternFill patternType="solid">
        <fgColor theme="7" tint="0.39997558519241921"/>
        <bgColor indexed="64"/>
      </patternFill>
    </fill>
  </fills>
  <borders count="51">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ck">
        <color auto="1"/>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thick">
        <color auto="1"/>
      </right>
      <top/>
      <bottom/>
      <diagonal/>
    </border>
    <border>
      <left style="thick">
        <color auto="1"/>
      </left>
      <right style="thick">
        <color auto="1"/>
      </right>
      <top/>
      <bottom style="thin">
        <color indexed="64"/>
      </bottom>
      <diagonal/>
    </border>
    <border>
      <left style="thick">
        <color auto="1"/>
      </left>
      <right style="thick">
        <color auto="1"/>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ck">
        <color auto="1"/>
      </left>
      <right style="thick">
        <color auto="1"/>
      </right>
      <top style="thin">
        <color indexed="64"/>
      </top>
      <bottom/>
      <diagonal/>
    </border>
    <border>
      <left style="thick">
        <color auto="1"/>
      </left>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ck">
        <color auto="1"/>
      </right>
      <top style="thin">
        <color indexed="64"/>
      </top>
      <bottom/>
      <diagonal/>
    </border>
    <border>
      <left style="thick">
        <color auto="1"/>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ck">
        <color auto="1"/>
      </left>
      <right/>
      <top style="thin">
        <color indexed="64"/>
      </top>
      <bottom style="thin">
        <color indexed="64"/>
      </bottom>
      <diagonal/>
    </border>
    <border>
      <left style="thick">
        <color auto="1"/>
      </left>
      <right style="thick">
        <color auto="1"/>
      </right>
      <top style="thin">
        <color auto="1"/>
      </top>
      <bottom style="medium">
        <color indexed="64"/>
      </bottom>
      <diagonal/>
    </border>
    <border>
      <left style="thick">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ck">
        <color auto="1"/>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auto="1"/>
      </left>
      <right/>
      <top/>
      <bottom style="thin">
        <color indexed="64"/>
      </bottom>
      <diagonal/>
    </border>
    <border>
      <left/>
      <right style="thick">
        <color auto="1"/>
      </right>
      <top/>
      <bottom style="thin">
        <color indexed="64"/>
      </bottom>
      <diagonal/>
    </border>
    <border>
      <left style="thin">
        <color indexed="64"/>
      </left>
      <right style="thin">
        <color indexed="64"/>
      </right>
      <top style="thin">
        <color indexed="64"/>
      </top>
      <bottom/>
      <diagonal/>
    </border>
    <border>
      <left/>
      <right/>
      <top/>
      <bottom style="hair">
        <color auto="1"/>
      </bottom>
      <diagonal/>
    </border>
    <border>
      <left style="thin">
        <color indexed="64"/>
      </left>
      <right style="thin">
        <color indexed="64"/>
      </right>
      <top/>
      <bottom style="hair">
        <color auto="1"/>
      </bottom>
      <diagonal/>
    </border>
    <border>
      <left/>
      <right/>
      <top style="hair">
        <color auto="1"/>
      </top>
      <bottom style="hair">
        <color auto="1"/>
      </bottom>
      <diagonal/>
    </border>
    <border>
      <left/>
      <right/>
      <top style="hair">
        <color auto="1"/>
      </top>
      <bottom/>
      <diagonal/>
    </border>
    <border>
      <left style="thin">
        <color indexed="64"/>
      </left>
      <right style="thin">
        <color indexed="64"/>
      </right>
      <top style="hair">
        <color auto="1"/>
      </top>
      <bottom/>
      <diagonal/>
    </border>
    <border>
      <left style="thin">
        <color indexed="64"/>
      </left>
      <right style="thin">
        <color indexed="64"/>
      </right>
      <top style="hair">
        <color auto="1"/>
      </top>
      <bottom style="hair">
        <color auto="1"/>
      </bottom>
      <diagonal/>
    </border>
    <border>
      <left/>
      <right style="thick">
        <color auto="1"/>
      </right>
      <top style="thin">
        <color indexed="64"/>
      </top>
      <bottom style="thin">
        <color indexed="64"/>
      </bottom>
      <diagonal/>
    </border>
    <border>
      <left/>
      <right style="medium">
        <color indexed="64"/>
      </right>
      <top/>
      <bottom style="thin">
        <color indexed="64"/>
      </bottom>
      <diagonal/>
    </border>
  </borders>
  <cellStyleXfs count="12">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83">
    <xf numFmtId="0" fontId="0" fillId="0" borderId="0" xfId="0"/>
    <xf numFmtId="14" fontId="8" fillId="0" borderId="1" xfId="0" applyNumberFormat="1" applyFont="1" applyBorder="1"/>
    <xf numFmtId="0" fontId="9" fillId="0" borderId="0" xfId="0" applyFont="1"/>
    <xf numFmtId="0" fontId="9" fillId="0" borderId="6" xfId="0" applyFont="1" applyBorder="1"/>
    <xf numFmtId="0" fontId="9" fillId="0" borderId="42" xfId="0" applyFont="1" applyBorder="1"/>
    <xf numFmtId="0" fontId="9" fillId="0" borderId="38" xfId="0" applyFont="1" applyBorder="1"/>
    <xf numFmtId="0" fontId="9" fillId="0" borderId="5" xfId="0" applyFont="1" applyBorder="1"/>
    <xf numFmtId="0" fontId="9" fillId="0" borderId="1" xfId="0" applyFont="1" applyBorder="1"/>
    <xf numFmtId="0" fontId="9" fillId="0" borderId="39" xfId="0" applyFont="1" applyBorder="1"/>
    <xf numFmtId="4" fontId="10" fillId="0" borderId="9" xfId="0" applyNumberFormat="1" applyFont="1" applyBorder="1"/>
    <xf numFmtId="4" fontId="9" fillId="0" borderId="9" xfId="0" applyNumberFormat="1" applyFont="1" applyBorder="1"/>
    <xf numFmtId="0" fontId="9" fillId="0" borderId="9" xfId="0" applyFont="1" applyBorder="1"/>
    <xf numFmtId="0" fontId="9" fillId="0" borderId="8" xfId="0" applyFont="1" applyBorder="1"/>
    <xf numFmtId="0" fontId="9" fillId="0" borderId="10" xfId="0" applyFont="1" applyBorder="1"/>
    <xf numFmtId="0" fontId="9" fillId="0" borderId="3" xfId="0" applyFont="1" applyBorder="1"/>
    <xf numFmtId="0" fontId="9" fillId="0" borderId="2" xfId="0" applyFont="1" applyBorder="1"/>
    <xf numFmtId="2" fontId="9" fillId="0" borderId="42" xfId="0" applyNumberFormat="1" applyFont="1" applyBorder="1"/>
    <xf numFmtId="2" fontId="9" fillId="0" borderId="38" xfId="0" applyNumberFormat="1" applyFont="1" applyBorder="1"/>
    <xf numFmtId="2" fontId="9" fillId="0" borderId="5" xfId="0" applyNumberFormat="1" applyFont="1" applyBorder="1"/>
    <xf numFmtId="2" fontId="9" fillId="0" borderId="39" xfId="0" applyNumberFormat="1" applyFont="1" applyBorder="1"/>
    <xf numFmtId="2" fontId="9" fillId="0" borderId="6" xfId="0" applyNumberFormat="1" applyFont="1" applyBorder="1"/>
    <xf numFmtId="2" fontId="9" fillId="0" borderId="0" xfId="0" applyNumberFormat="1" applyFont="1"/>
    <xf numFmtId="2" fontId="9" fillId="0" borderId="9" xfId="0" applyNumberFormat="1" applyFont="1" applyBorder="1"/>
    <xf numFmtId="2" fontId="9" fillId="0" borderId="1" xfId="0" applyNumberFormat="1" applyFont="1" applyBorder="1"/>
    <xf numFmtId="0" fontId="9" fillId="0" borderId="42" xfId="0" applyFont="1" applyBorder="1" applyAlignment="1">
      <alignment horizontal="center"/>
    </xf>
    <xf numFmtId="0" fontId="8" fillId="0" borderId="6" xfId="0" applyFont="1" applyBorder="1"/>
    <xf numFmtId="0" fontId="9" fillId="0" borderId="39" xfId="0" applyFont="1" applyBorder="1" applyAlignment="1">
      <alignment horizontal="center"/>
    </xf>
    <xf numFmtId="14" fontId="8" fillId="0" borderId="3" xfId="0" applyNumberFormat="1" applyFont="1" applyBorder="1"/>
    <xf numFmtId="0" fontId="8" fillId="0" borderId="7" xfId="0" applyFont="1" applyBorder="1"/>
    <xf numFmtId="14" fontId="9" fillId="0" borderId="0" xfId="0" applyNumberFormat="1" applyFont="1"/>
    <xf numFmtId="4" fontId="10" fillId="0" borderId="0" xfId="0" applyNumberFormat="1" applyFont="1"/>
    <xf numFmtId="14" fontId="9" fillId="0" borderId="1" xfId="0" applyNumberFormat="1" applyFont="1" applyBorder="1"/>
    <xf numFmtId="2" fontId="9" fillId="0" borderId="8" xfId="0" applyNumberFormat="1" applyFont="1" applyBorder="1"/>
    <xf numFmtId="2" fontId="9" fillId="0" borderId="2" xfId="0" applyNumberFormat="1" applyFont="1" applyBorder="1"/>
    <xf numFmtId="0" fontId="10" fillId="0" borderId="0" xfId="0" applyFont="1"/>
    <xf numFmtId="1" fontId="9" fillId="0" borderId="0" xfId="0" applyNumberFormat="1" applyFont="1"/>
    <xf numFmtId="1" fontId="9" fillId="0" borderId="1" xfId="0" applyNumberFormat="1" applyFont="1" applyBorder="1"/>
    <xf numFmtId="164" fontId="9" fillId="0" borderId="38" xfId="0" applyNumberFormat="1" applyFont="1" applyBorder="1"/>
    <xf numFmtId="165" fontId="9" fillId="0" borderId="38" xfId="0" applyNumberFormat="1" applyFont="1" applyBorder="1"/>
    <xf numFmtId="1" fontId="10" fillId="0" borderId="0" xfId="0" applyNumberFormat="1" applyFont="1"/>
    <xf numFmtId="0" fontId="9" fillId="0" borderId="43" xfId="0" applyFont="1" applyBorder="1"/>
    <xf numFmtId="0" fontId="9" fillId="0" borderId="44" xfId="0" applyFont="1" applyBorder="1"/>
    <xf numFmtId="0" fontId="9" fillId="0" borderId="46" xfId="0" applyFont="1" applyBorder="1"/>
    <xf numFmtId="0" fontId="9" fillId="0" borderId="47" xfId="0" applyFont="1" applyBorder="1"/>
    <xf numFmtId="0" fontId="9" fillId="0" borderId="45" xfId="0" applyFont="1" applyBorder="1"/>
    <xf numFmtId="0" fontId="9" fillId="0" borderId="48" xfId="0" applyFont="1" applyBorder="1"/>
    <xf numFmtId="0" fontId="9" fillId="4" borderId="43" xfId="0" applyFont="1" applyFill="1" applyBorder="1"/>
    <xf numFmtId="0" fontId="9" fillId="4" borderId="46" xfId="0" applyFont="1" applyFill="1" applyBorder="1"/>
    <xf numFmtId="0" fontId="9" fillId="4" borderId="0" xfId="0" applyFont="1" applyFill="1"/>
    <xf numFmtId="0" fontId="9" fillId="4" borderId="1" xfId="0" applyFont="1" applyFill="1" applyBorder="1"/>
    <xf numFmtId="0" fontId="13" fillId="0" borderId="0" xfId="0" applyFont="1" applyAlignment="1">
      <alignment horizontal="center"/>
    </xf>
    <xf numFmtId="0" fontId="13" fillId="0" borderId="0" xfId="0" applyFont="1"/>
    <xf numFmtId="0" fontId="12" fillId="3" borderId="0" xfId="0" applyFont="1" applyFill="1" applyAlignment="1">
      <alignment horizontal="centerContinuous"/>
    </xf>
    <xf numFmtId="0" fontId="12" fillId="0" borderId="0" xfId="0" applyFont="1" applyAlignment="1">
      <alignment horizontal="centerContinuous"/>
    </xf>
    <xf numFmtId="0" fontId="12" fillId="0" borderId="0" xfId="0" applyFont="1"/>
    <xf numFmtId="0" fontId="12" fillId="0" borderId="1" xfId="0" applyFont="1" applyBorder="1" applyAlignment="1">
      <alignment horizontal="center"/>
    </xf>
    <xf numFmtId="0" fontId="0" fillId="3" borderId="0" xfId="0" applyFill="1"/>
    <xf numFmtId="0" fontId="0" fillId="0" borderId="1" xfId="0" applyBorder="1"/>
    <xf numFmtId="0" fontId="0" fillId="0" borderId="9" xfId="0" applyBorder="1"/>
    <xf numFmtId="0" fontId="0" fillId="3" borderId="9" xfId="0" applyFill="1" applyBorder="1"/>
    <xf numFmtId="0" fontId="14" fillId="0" borderId="0" xfId="0" applyFont="1"/>
    <xf numFmtId="166" fontId="0" fillId="3" borderId="0" xfId="0" applyNumberFormat="1" applyFill="1"/>
    <xf numFmtId="3" fontId="0" fillId="0" borderId="0" xfId="0" applyNumberFormat="1"/>
    <xf numFmtId="9" fontId="15" fillId="3" borderId="0" xfId="7" applyFont="1" applyFill="1"/>
    <xf numFmtId="0" fontId="16" fillId="0" borderId="0" xfId="0" applyFont="1"/>
    <xf numFmtId="3" fontId="16" fillId="0" borderId="0" xfId="0" applyNumberFormat="1" applyFont="1"/>
    <xf numFmtId="0" fontId="17" fillId="0" borderId="0" xfId="0" applyFont="1" applyAlignment="1">
      <alignment horizontal="right"/>
    </xf>
    <xf numFmtId="0" fontId="17" fillId="3" borderId="0" xfId="0" applyFont="1" applyFill="1"/>
    <xf numFmtId="3" fontId="0" fillId="0" borderId="1" xfId="0" applyNumberFormat="1" applyBorder="1"/>
    <xf numFmtId="167" fontId="15" fillId="0" borderId="0" xfId="7" applyNumberFormat="1" applyFont="1"/>
    <xf numFmtId="0" fontId="0" fillId="0" borderId="0" xfId="0" applyAlignment="1">
      <alignment horizontal="centerContinuous"/>
    </xf>
    <xf numFmtId="0" fontId="11" fillId="0" borderId="0" xfId="0" applyFont="1"/>
    <xf numFmtId="9" fontId="0" fillId="5" borderId="0" xfId="0" applyNumberFormat="1" applyFill="1" applyAlignment="1">
      <alignment horizontal="centerContinuous"/>
    </xf>
    <xf numFmtId="0" fontId="0" fillId="5" borderId="0" xfId="0" applyFill="1" applyAlignment="1">
      <alignment horizontal="centerContinuous"/>
    </xf>
    <xf numFmtId="1" fontId="16" fillId="0" borderId="0" xfId="0" applyNumberFormat="1" applyFont="1"/>
    <xf numFmtId="9" fontId="0" fillId="3" borderId="0" xfId="0" applyNumberFormat="1" applyFill="1"/>
    <xf numFmtId="1" fontId="0" fillId="0" borderId="0" xfId="0" applyNumberFormat="1"/>
    <xf numFmtId="1" fontId="0" fillId="3" borderId="0" xfId="0" applyNumberFormat="1" applyFill="1"/>
    <xf numFmtId="1" fontId="0" fillId="0" borderId="1" xfId="0" applyNumberFormat="1" applyBorder="1"/>
    <xf numFmtId="3" fontId="12" fillId="0" borderId="0" xfId="0" applyNumberFormat="1" applyFont="1"/>
    <xf numFmtId="3" fontId="0" fillId="3" borderId="0" xfId="0" applyNumberFormat="1" applyFill="1"/>
    <xf numFmtId="0" fontId="0" fillId="0" borderId="0" xfId="0" applyAlignment="1">
      <alignment horizontal="right"/>
    </xf>
    <xf numFmtId="0" fontId="18" fillId="0" borderId="0" xfId="0" applyFont="1"/>
    <xf numFmtId="0" fontId="0" fillId="4" borderId="0" xfId="0" applyFill="1"/>
    <xf numFmtId="9" fontId="0" fillId="0" borderId="0" xfId="0" applyNumberFormat="1"/>
    <xf numFmtId="0" fontId="14" fillId="0" borderId="9" xfId="0" applyFont="1" applyBorder="1"/>
    <xf numFmtId="2" fontId="0" fillId="0" borderId="0" xfId="0" applyNumberFormat="1"/>
    <xf numFmtId="166" fontId="0" fillId="0" borderId="0" xfId="0" applyNumberFormat="1"/>
    <xf numFmtId="0" fontId="15" fillId="0" borderId="0" xfId="0" applyFont="1" applyAlignment="1">
      <alignment horizontal="right"/>
    </xf>
    <xf numFmtId="0" fontId="12" fillId="0" borderId="0" xfId="0" applyFont="1" applyAlignment="1">
      <alignment horizontal="right"/>
    </xf>
    <xf numFmtId="0" fontId="12" fillId="0" borderId="9" xfId="0" applyFont="1" applyBorder="1" applyAlignment="1">
      <alignment horizontal="right"/>
    </xf>
    <xf numFmtId="0" fontId="0" fillId="0" borderId="1" xfId="0" applyBorder="1" applyAlignment="1">
      <alignment horizontal="right"/>
    </xf>
    <xf numFmtId="0" fontId="12" fillId="0" borderId="12" xfId="0" applyFont="1" applyBorder="1" applyAlignment="1">
      <alignment horizontal="right"/>
    </xf>
    <xf numFmtId="166" fontId="12" fillId="0" borderId="12" xfId="0" applyNumberFormat="1" applyFont="1" applyBorder="1"/>
    <xf numFmtId="168" fontId="12" fillId="0" borderId="0" xfId="0" applyNumberFormat="1" applyFont="1"/>
    <xf numFmtId="168" fontId="15" fillId="0" borderId="0" xfId="0" applyNumberFormat="1" applyFont="1"/>
    <xf numFmtId="168" fontId="0" fillId="0" borderId="0" xfId="0" applyNumberFormat="1"/>
    <xf numFmtId="168" fontId="12" fillId="0" borderId="9" xfId="0" applyNumberFormat="1" applyFont="1" applyBorder="1"/>
    <xf numFmtId="166" fontId="12" fillId="0" borderId="0" xfId="0" applyNumberFormat="1" applyFont="1"/>
    <xf numFmtId="0" fontId="0" fillId="0" borderId="0" xfId="0" applyAlignment="1">
      <alignment horizontal="center"/>
    </xf>
    <xf numFmtId="166" fontId="0" fillId="0" borderId="1" xfId="0" applyNumberFormat="1" applyBorder="1"/>
    <xf numFmtId="0" fontId="12" fillId="0" borderId="12" xfId="0" applyFont="1" applyBorder="1"/>
    <xf numFmtId="166" fontId="12" fillId="6" borderId="12" xfId="0" applyNumberFormat="1" applyFont="1" applyFill="1" applyBorder="1"/>
    <xf numFmtId="0" fontId="0" fillId="7" borderId="0" xfId="0" applyFill="1"/>
    <xf numFmtId="2" fontId="0" fillId="7" borderId="0" xfId="0" applyNumberFormat="1" applyFill="1"/>
    <xf numFmtId="165" fontId="0" fillId="7" borderId="0" xfId="0" applyNumberFormat="1" applyFill="1"/>
    <xf numFmtId="165" fontId="0" fillId="0" borderId="0" xfId="0" applyNumberFormat="1"/>
    <xf numFmtId="2" fontId="0" fillId="8" borderId="0" xfId="0" applyNumberFormat="1" applyFill="1"/>
    <xf numFmtId="0" fontId="0" fillId="0" borderId="0" xfId="0" quotePrefix="1" applyAlignment="1">
      <alignment horizontal="right"/>
    </xf>
    <xf numFmtId="2" fontId="0" fillId="0" borderId="0" xfId="0" applyNumberFormat="1" applyAlignment="1">
      <alignment horizontal="right"/>
    </xf>
    <xf numFmtId="2" fontId="0" fillId="0" borderId="0" xfId="0" quotePrefix="1" applyNumberFormat="1" applyAlignment="1">
      <alignment horizontal="right"/>
    </xf>
    <xf numFmtId="2" fontId="0" fillId="7" borderId="0" xfId="0" applyNumberFormat="1" applyFill="1" applyAlignment="1">
      <alignment horizontal="right"/>
    </xf>
    <xf numFmtId="0" fontId="8" fillId="0" borderId="0" xfId="0" applyFont="1"/>
    <xf numFmtId="0" fontId="9" fillId="0" borderId="7" xfId="0" applyFont="1" applyBorder="1" applyAlignment="1">
      <alignment horizontal="center"/>
    </xf>
    <xf numFmtId="4" fontId="21" fillId="0" borderId="0" xfId="0" applyNumberFormat="1" applyFont="1"/>
    <xf numFmtId="0" fontId="22" fillId="3" borderId="0" xfId="0" applyFont="1" applyFill="1"/>
    <xf numFmtId="1" fontId="22" fillId="3" borderId="0" xfId="0" applyNumberFormat="1" applyFont="1" applyFill="1"/>
    <xf numFmtId="0" fontId="8" fillId="0" borderId="42" xfId="0" applyFont="1" applyBorder="1"/>
    <xf numFmtId="0" fontId="8" fillId="0" borderId="38" xfId="0" applyFont="1" applyBorder="1"/>
    <xf numFmtId="0" fontId="8" fillId="0" borderId="5" xfId="0" applyFont="1" applyBorder="1"/>
    <xf numFmtId="4" fontId="21" fillId="0" borderId="9" xfId="0" applyNumberFormat="1" applyFont="1" applyBorder="1"/>
    <xf numFmtId="4" fontId="8" fillId="0" borderId="9" xfId="0" applyNumberFormat="1" applyFont="1" applyBorder="1"/>
    <xf numFmtId="1" fontId="23" fillId="3" borderId="0" xfId="0" applyNumberFormat="1" applyFont="1" applyFill="1"/>
    <xf numFmtId="0" fontId="12" fillId="3" borderId="0" xfId="0" applyFont="1" applyFill="1"/>
    <xf numFmtId="0" fontId="11" fillId="3" borderId="0" xfId="0" applyFont="1" applyFill="1"/>
    <xf numFmtId="0" fontId="24" fillId="3" borderId="0" xfId="0" applyFont="1" applyFill="1"/>
    <xf numFmtId="0" fontId="25" fillId="3" borderId="0" xfId="0" applyFont="1" applyFill="1"/>
    <xf numFmtId="0" fontId="26" fillId="0" borderId="0" xfId="0" applyFont="1"/>
    <xf numFmtId="0" fontId="27" fillId="0" borderId="0" xfId="0" applyFont="1"/>
    <xf numFmtId="0" fontId="26" fillId="3" borderId="38" xfId="0" applyFont="1" applyFill="1" applyBorder="1"/>
    <xf numFmtId="0" fontId="28" fillId="0" borderId="6" xfId="0" applyFont="1" applyBorder="1"/>
    <xf numFmtId="14" fontId="28" fillId="0" borderId="1" xfId="0" applyNumberFormat="1" applyFont="1" applyBorder="1"/>
    <xf numFmtId="14" fontId="28" fillId="0" borderId="18" xfId="0" applyNumberFormat="1" applyFont="1" applyBorder="1" applyAlignment="1">
      <alignment horizontal="center"/>
    </xf>
    <xf numFmtId="14" fontId="28" fillId="0" borderId="0" xfId="0" applyNumberFormat="1" applyFont="1"/>
    <xf numFmtId="0" fontId="28" fillId="0" borderId="0" xfId="0" applyFont="1" applyAlignment="1">
      <alignment horizontal="center"/>
    </xf>
    <xf numFmtId="0" fontId="28" fillId="0" borderId="8" xfId="0" applyFont="1" applyBorder="1"/>
    <xf numFmtId="0" fontId="28" fillId="0" borderId="10" xfId="0" applyFont="1" applyBorder="1"/>
    <xf numFmtId="0" fontId="28" fillId="0" borderId="13" xfId="0" applyFont="1" applyBorder="1"/>
    <xf numFmtId="14" fontId="28" fillId="0" borderId="12" xfId="0" applyNumberFormat="1" applyFont="1" applyBorder="1"/>
    <xf numFmtId="14" fontId="28" fillId="0" borderId="1" xfId="0" applyNumberFormat="1" applyFont="1" applyBorder="1" applyAlignment="1">
      <alignment horizontal="center"/>
    </xf>
    <xf numFmtId="0" fontId="26" fillId="3" borderId="0" xfId="0" applyFont="1" applyFill="1"/>
    <xf numFmtId="14" fontId="28" fillId="0" borderId="0" xfId="0" applyNumberFormat="1" applyFont="1" applyAlignment="1">
      <alignment horizontal="center"/>
    </xf>
    <xf numFmtId="0" fontId="26" fillId="0" borderId="2" xfId="0" applyFont="1" applyBorder="1"/>
    <xf numFmtId="0" fontId="26" fillId="0" borderId="5" xfId="0" applyFont="1" applyBorder="1"/>
    <xf numFmtId="4" fontId="29" fillId="3" borderId="0" xfId="0" applyNumberFormat="1" applyFont="1" applyFill="1"/>
    <xf numFmtId="2" fontId="28" fillId="3" borderId="0" xfId="0" applyNumberFormat="1" applyFont="1" applyFill="1"/>
    <xf numFmtId="4" fontId="26" fillId="3" borderId="0" xfId="0" applyNumberFormat="1" applyFont="1" applyFill="1"/>
    <xf numFmtId="4" fontId="30" fillId="3" borderId="0" xfId="0" applyNumberFormat="1" applyFont="1" applyFill="1"/>
    <xf numFmtId="4" fontId="26" fillId="0" borderId="14" xfId="0" applyNumberFormat="1" applyFont="1" applyBorder="1"/>
    <xf numFmtId="4" fontId="30" fillId="3" borderId="20" xfId="0" applyNumberFormat="1" applyFont="1" applyFill="1" applyBorder="1"/>
    <xf numFmtId="4" fontId="30" fillId="3" borderId="9" xfId="0" applyNumberFormat="1" applyFont="1" applyFill="1" applyBorder="1"/>
    <xf numFmtId="4" fontId="26" fillId="3" borderId="9" xfId="0" applyNumberFormat="1" applyFont="1" applyFill="1" applyBorder="1"/>
    <xf numFmtId="4" fontId="30" fillId="3" borderId="26" xfId="0" applyNumberFormat="1" applyFont="1" applyFill="1" applyBorder="1"/>
    <xf numFmtId="4" fontId="29" fillId="3" borderId="20" xfId="0" applyNumberFormat="1" applyFont="1" applyFill="1" applyBorder="1"/>
    <xf numFmtId="4" fontId="29" fillId="3" borderId="9" xfId="0" applyNumberFormat="1" applyFont="1" applyFill="1" applyBorder="1"/>
    <xf numFmtId="4" fontId="31" fillId="3" borderId="9" xfId="0" applyNumberFormat="1" applyFont="1" applyFill="1" applyBorder="1"/>
    <xf numFmtId="4" fontId="30" fillId="0" borderId="20" xfId="0" applyNumberFormat="1" applyFont="1" applyBorder="1"/>
    <xf numFmtId="4" fontId="30" fillId="0" borderId="9" xfId="0" applyNumberFormat="1" applyFont="1" applyBorder="1"/>
    <xf numFmtId="4" fontId="30" fillId="0" borderId="26" xfId="0" applyNumberFormat="1" applyFont="1" applyBorder="1"/>
    <xf numFmtId="4" fontId="26" fillId="0" borderId="4" xfId="0" applyNumberFormat="1" applyFont="1" applyBorder="1"/>
    <xf numFmtId="4" fontId="26" fillId="0" borderId="0" xfId="0" applyNumberFormat="1" applyFont="1"/>
    <xf numFmtId="0" fontId="26" fillId="3" borderId="4" xfId="0" applyFont="1" applyFill="1" applyBorder="1"/>
    <xf numFmtId="4" fontId="29" fillId="3" borderId="27" xfId="0" applyNumberFormat="1" applyFont="1" applyFill="1" applyBorder="1"/>
    <xf numFmtId="4" fontId="32" fillId="3" borderId="1" xfId="0" applyNumberFormat="1" applyFont="1" applyFill="1" applyBorder="1"/>
    <xf numFmtId="4" fontId="28" fillId="3" borderId="1" xfId="0" applyNumberFormat="1" applyFont="1" applyFill="1" applyBorder="1"/>
    <xf numFmtId="4" fontId="26" fillId="3" borderId="1" xfId="0" applyNumberFormat="1" applyFont="1" applyFill="1" applyBorder="1"/>
    <xf numFmtId="4" fontId="28" fillId="0" borderId="1" xfId="0" applyNumberFormat="1" applyFont="1" applyBorder="1"/>
    <xf numFmtId="4" fontId="32" fillId="0" borderId="27" xfId="0" applyNumberFormat="1" applyFont="1" applyBorder="1"/>
    <xf numFmtId="4" fontId="26" fillId="0" borderId="1" xfId="0" applyNumberFormat="1" applyFont="1" applyBorder="1"/>
    <xf numFmtId="4" fontId="30" fillId="0" borderId="0" xfId="0" applyNumberFormat="1" applyFont="1"/>
    <xf numFmtId="4" fontId="30" fillId="0" borderId="4" xfId="0" applyNumberFormat="1" applyFont="1" applyBorder="1"/>
    <xf numFmtId="0" fontId="33" fillId="0" borderId="13" xfId="0" applyFont="1" applyBorder="1"/>
    <xf numFmtId="4" fontId="33" fillId="3" borderId="12" xfId="0" applyNumberFormat="1" applyFont="1" applyFill="1" applyBorder="1"/>
    <xf numFmtId="4" fontId="33" fillId="0" borderId="16" xfId="0" applyNumberFormat="1" applyFont="1" applyBorder="1"/>
    <xf numFmtId="4" fontId="33" fillId="3" borderId="24" xfId="1" applyNumberFormat="1" applyFont="1" applyFill="1" applyBorder="1"/>
    <xf numFmtId="4" fontId="34" fillId="3" borderId="33" xfId="0" applyNumberFormat="1" applyFont="1" applyFill="1" applyBorder="1"/>
    <xf numFmtId="4" fontId="33" fillId="3" borderId="1" xfId="0" applyNumberFormat="1" applyFont="1" applyFill="1" applyBorder="1"/>
    <xf numFmtId="4" fontId="33" fillId="0" borderId="12" xfId="0" applyNumberFormat="1" applyFont="1" applyBorder="1"/>
    <xf numFmtId="4" fontId="33" fillId="0" borderId="24" xfId="1" applyNumberFormat="1" applyFont="1" applyFill="1" applyBorder="1"/>
    <xf numFmtId="4" fontId="33" fillId="0" borderId="0" xfId="0" applyNumberFormat="1" applyFont="1"/>
    <xf numFmtId="0" fontId="35" fillId="0" borderId="9" xfId="0" applyFont="1" applyBorder="1" applyAlignment="1">
      <alignment horizontal="right"/>
    </xf>
    <xf numFmtId="4" fontId="36" fillId="3" borderId="9" xfId="0" applyNumberFormat="1" applyFont="1" applyFill="1" applyBorder="1" applyAlignment="1">
      <alignment horizontal="centerContinuous"/>
    </xf>
    <xf numFmtId="4" fontId="37" fillId="3" borderId="9" xfId="0" applyNumberFormat="1" applyFont="1" applyFill="1" applyBorder="1" applyAlignment="1">
      <alignment horizontal="centerContinuous"/>
    </xf>
    <xf numFmtId="4" fontId="35" fillId="0" borderId="9" xfId="0" applyNumberFormat="1" applyFont="1" applyBorder="1"/>
    <xf numFmtId="4" fontId="38" fillId="3" borderId="9" xfId="0" applyNumberFormat="1" applyFont="1" applyFill="1" applyBorder="1" applyAlignment="1">
      <alignment horizontal="centerContinuous"/>
    </xf>
    <xf numFmtId="0" fontId="37" fillId="0" borderId="0" xfId="0" applyFont="1"/>
    <xf numFmtId="4" fontId="37" fillId="0" borderId="9" xfId="0" applyNumberFormat="1" applyFont="1" applyBorder="1" applyAlignment="1">
      <alignment horizontal="centerContinuous"/>
    </xf>
    <xf numFmtId="0" fontId="37" fillId="3" borderId="38" xfId="0" applyFont="1" applyFill="1" applyBorder="1"/>
    <xf numFmtId="4" fontId="38" fillId="0" borderId="9" xfId="0" applyNumberFormat="1" applyFont="1" applyBorder="1" applyAlignment="1">
      <alignment horizontal="centerContinuous"/>
    </xf>
    <xf numFmtId="4" fontId="35" fillId="0" borderId="0" xfId="0" applyNumberFormat="1" applyFont="1"/>
    <xf numFmtId="0" fontId="37" fillId="0" borderId="2" xfId="0" applyFont="1" applyBorder="1"/>
    <xf numFmtId="0" fontId="37" fillId="0" borderId="5" xfId="0" applyFont="1" applyBorder="1"/>
    <xf numFmtId="0" fontId="26" fillId="3" borderId="1" xfId="0" applyFont="1" applyFill="1" applyBorder="1"/>
    <xf numFmtId="0" fontId="26" fillId="0" borderId="10" xfId="0" applyFont="1" applyBorder="1"/>
    <xf numFmtId="0" fontId="26" fillId="3" borderId="9" xfId="0" applyFont="1" applyFill="1" applyBorder="1"/>
    <xf numFmtId="4" fontId="28" fillId="3" borderId="9" xfId="0" applyNumberFormat="1" applyFont="1" applyFill="1" applyBorder="1"/>
    <xf numFmtId="0" fontId="28" fillId="3" borderId="9" xfId="0" applyFont="1" applyFill="1" applyBorder="1"/>
    <xf numFmtId="0" fontId="26" fillId="3" borderId="26" xfId="0" applyFont="1" applyFill="1" applyBorder="1"/>
    <xf numFmtId="4" fontId="26" fillId="0" borderId="26" xfId="0" applyNumberFormat="1" applyFont="1" applyBorder="1"/>
    <xf numFmtId="4" fontId="26" fillId="3" borderId="20" xfId="0" applyNumberFormat="1" applyFont="1" applyFill="1" applyBorder="1"/>
    <xf numFmtId="0" fontId="30" fillId="3" borderId="9" xfId="0" applyFont="1" applyFill="1" applyBorder="1"/>
    <xf numFmtId="4" fontId="26" fillId="3" borderId="26" xfId="0" applyNumberFormat="1" applyFont="1" applyFill="1" applyBorder="1"/>
    <xf numFmtId="4" fontId="26" fillId="0" borderId="19" xfId="0" applyNumberFormat="1" applyFont="1" applyBorder="1"/>
    <xf numFmtId="4" fontId="28" fillId="3" borderId="0" xfId="0" applyNumberFormat="1" applyFont="1" applyFill="1"/>
    <xf numFmtId="4" fontId="26" fillId="3" borderId="27" xfId="0" applyNumberFormat="1" applyFont="1" applyFill="1" applyBorder="1"/>
    <xf numFmtId="4" fontId="26" fillId="3" borderId="4" xfId="0" applyNumberFormat="1" applyFont="1" applyFill="1" applyBorder="1"/>
    <xf numFmtId="4" fontId="30" fillId="3" borderId="27" xfId="0" applyNumberFormat="1" applyFont="1" applyFill="1" applyBorder="1"/>
    <xf numFmtId="4" fontId="39" fillId="3" borderId="0" xfId="0" applyNumberFormat="1" applyFont="1" applyFill="1"/>
    <xf numFmtId="4" fontId="28" fillId="0" borderId="0" xfId="0" applyNumberFormat="1" applyFont="1"/>
    <xf numFmtId="4" fontId="30" fillId="0" borderId="27" xfId="0" applyNumberFormat="1" applyFont="1" applyBorder="1"/>
    <xf numFmtId="2" fontId="30" fillId="3" borderId="0" xfId="0" applyNumberFormat="1" applyFont="1" applyFill="1"/>
    <xf numFmtId="4" fontId="32" fillId="3" borderId="0" xfId="0" applyNumberFormat="1" applyFont="1" applyFill="1"/>
    <xf numFmtId="0" fontId="28" fillId="3" borderId="0" xfId="0" applyFont="1" applyFill="1"/>
    <xf numFmtId="0" fontId="26" fillId="0" borderId="6" xfId="0" applyFont="1" applyBorder="1"/>
    <xf numFmtId="4" fontId="29" fillId="0" borderId="0" xfId="0" applyNumberFormat="1" applyFont="1"/>
    <xf numFmtId="4" fontId="33" fillId="3" borderId="11" xfId="0" applyNumberFormat="1" applyFont="1" applyFill="1" applyBorder="1"/>
    <xf numFmtId="4" fontId="34" fillId="0" borderId="16" xfId="0" applyNumberFormat="1" applyFont="1" applyBorder="1"/>
    <xf numFmtId="0" fontId="40" fillId="0" borderId="0" xfId="0" applyFont="1"/>
    <xf numFmtId="0" fontId="40" fillId="3" borderId="38" xfId="0" applyFont="1" applyFill="1" applyBorder="1"/>
    <xf numFmtId="0" fontId="40" fillId="0" borderId="2" xfId="0" applyFont="1" applyBorder="1"/>
    <xf numFmtId="4" fontId="33" fillId="0" borderId="11" xfId="0" applyNumberFormat="1" applyFont="1" applyBorder="1"/>
    <xf numFmtId="4" fontId="34" fillId="0" borderId="0" xfId="0" applyNumberFormat="1" applyFont="1"/>
    <xf numFmtId="0" fontId="40" fillId="0" borderId="5" xfId="0" applyFont="1" applyBorder="1"/>
    <xf numFmtId="4" fontId="28" fillId="0" borderId="1" xfId="0" applyNumberFormat="1" applyFont="1" applyBorder="1" applyAlignment="1">
      <alignment horizontal="center"/>
    </xf>
    <xf numFmtId="4" fontId="28" fillId="0" borderId="0" xfId="0" applyNumberFormat="1" applyFont="1" applyAlignment="1">
      <alignment horizontal="center"/>
    </xf>
    <xf numFmtId="4" fontId="30" fillId="3" borderId="22" xfId="0" applyNumberFormat="1" applyFont="1" applyFill="1" applyBorder="1"/>
    <xf numFmtId="4" fontId="26" fillId="0" borderId="22" xfId="0" applyNumberFormat="1" applyFont="1" applyBorder="1"/>
    <xf numFmtId="4" fontId="31" fillId="3" borderId="0" xfId="0" applyNumberFormat="1" applyFont="1" applyFill="1"/>
    <xf numFmtId="4" fontId="30" fillId="0" borderId="22" xfId="0" applyNumberFormat="1" applyFont="1" applyBorder="1"/>
    <xf numFmtId="4" fontId="30" fillId="3" borderId="4" xfId="0" applyNumberFormat="1" applyFont="1" applyFill="1" applyBorder="1"/>
    <xf numFmtId="4" fontId="32" fillId="0" borderId="0" xfId="0" applyNumberFormat="1" applyFont="1"/>
    <xf numFmtId="0" fontId="34" fillId="0" borderId="13" xfId="0" applyFont="1" applyBorder="1"/>
    <xf numFmtId="4" fontId="34" fillId="3" borderId="12" xfId="0" applyNumberFormat="1" applyFont="1" applyFill="1" applyBorder="1"/>
    <xf numFmtId="4" fontId="34" fillId="0" borderId="12" xfId="0" applyNumberFormat="1" applyFont="1" applyBorder="1"/>
    <xf numFmtId="0" fontId="33" fillId="0" borderId="28" xfId="0" applyFont="1" applyBorder="1" applyAlignment="1">
      <alignment horizontal="left"/>
    </xf>
    <xf numFmtId="4" fontId="33" fillId="3" borderId="29" xfId="1" applyNumberFormat="1" applyFont="1" applyFill="1" applyBorder="1"/>
    <xf numFmtId="4" fontId="33" fillId="0" borderId="34" xfId="0" applyNumberFormat="1" applyFont="1" applyBorder="1"/>
    <xf numFmtId="4" fontId="34" fillId="0" borderId="30" xfId="0" applyNumberFormat="1" applyFont="1" applyBorder="1"/>
    <xf numFmtId="4" fontId="33" fillId="3" borderId="36" xfId="1" applyNumberFormat="1" applyFont="1" applyFill="1" applyBorder="1"/>
    <xf numFmtId="4" fontId="33" fillId="0" borderId="29" xfId="1" applyNumberFormat="1" applyFont="1" applyFill="1" applyBorder="1"/>
    <xf numFmtId="4" fontId="33" fillId="0" borderId="36" xfId="1" applyNumberFormat="1" applyFont="1" applyFill="1" applyBorder="1"/>
    <xf numFmtId="0" fontId="28" fillId="0" borderId="6" xfId="0" applyFont="1" applyBorder="1" applyAlignment="1">
      <alignment horizontal="left"/>
    </xf>
    <xf numFmtId="0" fontId="26" fillId="0" borderId="5" xfId="0" applyFont="1" applyBorder="1" applyAlignment="1">
      <alignment horizontal="left"/>
    </xf>
    <xf numFmtId="4" fontId="26" fillId="3" borderId="25" xfId="0" applyNumberFormat="1" applyFont="1" applyFill="1" applyBorder="1"/>
    <xf numFmtId="4" fontId="29" fillId="3" borderId="25" xfId="0" applyNumberFormat="1" applyFont="1" applyFill="1" applyBorder="1"/>
    <xf numFmtId="4" fontId="30" fillId="0" borderId="25" xfId="0" applyNumberFormat="1" applyFont="1" applyBorder="1"/>
    <xf numFmtId="4" fontId="26" fillId="3" borderId="22" xfId="0" applyNumberFormat="1" applyFont="1" applyFill="1" applyBorder="1"/>
    <xf numFmtId="4" fontId="31" fillId="3" borderId="22" xfId="0" applyNumberFormat="1" applyFont="1" applyFill="1" applyBorder="1"/>
    <xf numFmtId="43" fontId="28" fillId="3" borderId="0" xfId="1" applyFont="1" applyFill="1" applyBorder="1"/>
    <xf numFmtId="4" fontId="26" fillId="0" borderId="15" xfId="0" applyNumberFormat="1" applyFont="1" applyBorder="1"/>
    <xf numFmtId="4" fontId="26" fillId="3" borderId="23" xfId="0" applyNumberFormat="1" applyFont="1" applyFill="1" applyBorder="1"/>
    <xf numFmtId="0" fontId="30" fillId="3" borderId="0" xfId="0" applyFont="1" applyFill="1"/>
    <xf numFmtId="4" fontId="26" fillId="0" borderId="23" xfId="0" applyNumberFormat="1" applyFont="1" applyBorder="1"/>
    <xf numFmtId="4" fontId="30" fillId="0" borderId="1" xfId="0" applyNumberFormat="1" applyFont="1" applyBorder="1"/>
    <xf numFmtId="0" fontId="30" fillId="0" borderId="1" xfId="0" applyFont="1" applyBorder="1"/>
    <xf numFmtId="4" fontId="26" fillId="0" borderId="6" xfId="0" applyNumberFormat="1" applyFont="1" applyBorder="1"/>
    <xf numFmtId="0" fontId="33" fillId="0" borderId="10" xfId="0" applyFont="1" applyBorder="1" applyAlignment="1">
      <alignment horizontal="left"/>
    </xf>
    <xf numFmtId="4" fontId="33" fillId="0" borderId="15" xfId="0" applyNumberFormat="1" applyFont="1" applyBorder="1"/>
    <xf numFmtId="4" fontId="33" fillId="0" borderId="23" xfId="1" applyNumberFormat="1" applyFont="1" applyFill="1" applyBorder="1"/>
    <xf numFmtId="4" fontId="33" fillId="0" borderId="1" xfId="0" applyNumberFormat="1" applyFont="1" applyBorder="1"/>
    <xf numFmtId="4" fontId="41" fillId="3" borderId="9" xfId="0" applyNumberFormat="1" applyFont="1" applyFill="1" applyBorder="1" applyAlignment="1">
      <alignment horizontal="centerContinuous"/>
    </xf>
    <xf numFmtId="4" fontId="26" fillId="3" borderId="9" xfId="0" applyNumberFormat="1" applyFont="1" applyFill="1" applyBorder="1" applyAlignment="1">
      <alignment horizontal="centerContinuous"/>
    </xf>
    <xf numFmtId="4" fontId="26" fillId="0" borderId="9" xfId="0" applyNumberFormat="1" applyFont="1" applyBorder="1" applyAlignment="1">
      <alignment horizontal="centerContinuous"/>
    </xf>
    <xf numFmtId="4" fontId="41" fillId="0" borderId="9" xfId="0" applyNumberFormat="1" applyFont="1" applyBorder="1" applyAlignment="1">
      <alignment horizontal="centerContinuous"/>
    </xf>
    <xf numFmtId="0" fontId="28" fillId="0" borderId="1" xfId="0" applyFont="1" applyBorder="1" applyAlignment="1">
      <alignment horizontal="left"/>
    </xf>
    <xf numFmtId="0" fontId="26" fillId="0" borderId="0" xfId="0" applyFont="1" applyAlignment="1">
      <alignment horizontal="left"/>
    </xf>
    <xf numFmtId="4" fontId="28" fillId="3" borderId="0" xfId="0" applyNumberFormat="1" applyFont="1" applyFill="1" applyAlignment="1">
      <alignment wrapText="1"/>
    </xf>
    <xf numFmtId="4" fontId="26" fillId="3" borderId="0" xfId="0" applyNumberFormat="1" applyFont="1" applyFill="1" applyAlignment="1">
      <alignment wrapText="1"/>
    </xf>
    <xf numFmtId="4" fontId="26" fillId="0" borderId="25" xfId="0" applyNumberFormat="1" applyFont="1" applyBorder="1"/>
    <xf numFmtId="4" fontId="28" fillId="0" borderId="0" xfId="0" applyNumberFormat="1" applyFont="1" applyAlignment="1">
      <alignment wrapText="1"/>
    </xf>
    <xf numFmtId="4" fontId="26" fillId="0" borderId="0" xfId="0" applyNumberFormat="1" applyFont="1" applyAlignment="1">
      <alignment wrapText="1"/>
    </xf>
    <xf numFmtId="0" fontId="28" fillId="0" borderId="5" xfId="0" applyFont="1" applyBorder="1"/>
    <xf numFmtId="4" fontId="42" fillId="3" borderId="0" xfId="0" applyNumberFormat="1" applyFont="1" applyFill="1"/>
    <xf numFmtId="0" fontId="34" fillId="0" borderId="13" xfId="0" applyFont="1" applyBorder="1" applyAlignment="1">
      <alignment horizontal="left"/>
    </xf>
    <xf numFmtId="4" fontId="42" fillId="0" borderId="0" xfId="0" applyNumberFormat="1" applyFont="1"/>
    <xf numFmtId="0" fontId="33" fillId="0" borderId="32" xfId="0" applyFont="1" applyBorder="1" applyAlignment="1">
      <alignment horizontal="left"/>
    </xf>
    <xf numFmtId="4" fontId="33" fillId="0" borderId="31" xfId="0" applyNumberFormat="1" applyFont="1" applyBorder="1"/>
    <xf numFmtId="4" fontId="41" fillId="3" borderId="0" xfId="1" applyNumberFormat="1" applyFont="1" applyFill="1"/>
    <xf numFmtId="4" fontId="41" fillId="0" borderId="0" xfId="1" applyNumberFormat="1" applyFont="1" applyFill="1"/>
    <xf numFmtId="0" fontId="28" fillId="0" borderId="1" xfId="0" applyFont="1" applyBorder="1"/>
    <xf numFmtId="4" fontId="30" fillId="3" borderId="25" xfId="0" applyNumberFormat="1" applyFont="1" applyFill="1" applyBorder="1"/>
    <xf numFmtId="3" fontId="30" fillId="3" borderId="9" xfId="0" applyNumberFormat="1" applyFont="1" applyFill="1" applyBorder="1"/>
    <xf numFmtId="4" fontId="32" fillId="3" borderId="9" xfId="0" applyNumberFormat="1" applyFont="1" applyFill="1" applyBorder="1"/>
    <xf numFmtId="4" fontId="30" fillId="3" borderId="12" xfId="0" applyNumberFormat="1" applyFont="1" applyFill="1" applyBorder="1"/>
    <xf numFmtId="4" fontId="26" fillId="0" borderId="9" xfId="0" applyNumberFormat="1" applyFont="1" applyBorder="1"/>
    <xf numFmtId="3" fontId="30" fillId="0" borderId="9" xfId="0" applyNumberFormat="1" applyFont="1" applyBorder="1"/>
    <xf numFmtId="4" fontId="33" fillId="3" borderId="33" xfId="1" applyNumberFormat="1" applyFont="1" applyFill="1" applyBorder="1"/>
    <xf numFmtId="4" fontId="33" fillId="0" borderId="33" xfId="1" applyNumberFormat="1" applyFont="1" applyFill="1" applyBorder="1"/>
    <xf numFmtId="0" fontId="26" fillId="0" borderId="12" xfId="0" applyFont="1" applyBorder="1"/>
    <xf numFmtId="4" fontId="30" fillId="3" borderId="33" xfId="0" applyNumberFormat="1" applyFont="1" applyFill="1" applyBorder="1"/>
    <xf numFmtId="4" fontId="26" fillId="0" borderId="16" xfId="0" applyNumberFormat="1" applyFont="1" applyBorder="1"/>
    <xf numFmtId="4" fontId="30" fillId="0" borderId="12" xfId="0" applyNumberFormat="1" applyFont="1" applyBorder="1"/>
    <xf numFmtId="4" fontId="30" fillId="0" borderId="33" xfId="0" applyNumberFormat="1" applyFont="1" applyBorder="1"/>
    <xf numFmtId="0" fontId="35" fillId="0" borderId="0" xfId="0" applyFont="1" applyAlignment="1">
      <alignment horizontal="right"/>
    </xf>
    <xf numFmtId="4" fontId="29" fillId="3" borderId="22" xfId="0" applyNumberFormat="1" applyFont="1" applyFill="1" applyBorder="1"/>
    <xf numFmtId="4" fontId="32" fillId="3" borderId="20" xfId="0" applyNumberFormat="1" applyFont="1" applyFill="1" applyBorder="1"/>
    <xf numFmtId="4" fontId="29" fillId="0" borderId="22" xfId="0" applyNumberFormat="1" applyFont="1" applyBorder="1"/>
    <xf numFmtId="4" fontId="32" fillId="3" borderId="27" xfId="0" applyNumberFormat="1" applyFont="1" applyFill="1" applyBorder="1"/>
    <xf numFmtId="4" fontId="34" fillId="0" borderId="37" xfId="0" applyNumberFormat="1" applyFont="1" applyBorder="1"/>
    <xf numFmtId="4" fontId="34" fillId="0" borderId="2" xfId="0" applyNumberFormat="1" applyFont="1" applyBorder="1"/>
    <xf numFmtId="4" fontId="33" fillId="3" borderId="35" xfId="1" applyNumberFormat="1" applyFont="1" applyFill="1" applyBorder="1"/>
    <xf numFmtId="4" fontId="33" fillId="0" borderId="35" xfId="1" applyNumberFormat="1" applyFont="1" applyFill="1" applyBorder="1"/>
    <xf numFmtId="4" fontId="41" fillId="3" borderId="1" xfId="1" applyNumberFormat="1" applyFont="1" applyFill="1" applyBorder="1"/>
    <xf numFmtId="4" fontId="41" fillId="0" borderId="1" xfId="1" applyNumberFormat="1" applyFont="1" applyFill="1" applyBorder="1"/>
    <xf numFmtId="4" fontId="41" fillId="0" borderId="0" xfId="1" applyNumberFormat="1" applyFont="1" applyFill="1" applyBorder="1"/>
    <xf numFmtId="4" fontId="30" fillId="3" borderId="0" xfId="0" applyNumberFormat="1" applyFont="1" applyFill="1" applyAlignment="1">
      <alignment wrapText="1"/>
    </xf>
    <xf numFmtId="4" fontId="28" fillId="0" borderId="5" xfId="0" applyNumberFormat="1" applyFont="1" applyBorder="1"/>
    <xf numFmtId="4" fontId="30" fillId="0" borderId="0" xfId="0" applyNumberFormat="1" applyFont="1" applyAlignment="1">
      <alignment wrapText="1"/>
    </xf>
    <xf numFmtId="0" fontId="26" fillId="0" borderId="13" xfId="0" applyFont="1" applyBorder="1"/>
    <xf numFmtId="2" fontId="28" fillId="3" borderId="12" xfId="0" applyNumberFormat="1" applyFont="1" applyFill="1" applyBorder="1"/>
    <xf numFmtId="4" fontId="28" fillId="3" borderId="12" xfId="0" applyNumberFormat="1" applyFont="1" applyFill="1" applyBorder="1"/>
    <xf numFmtId="0" fontId="26" fillId="3" borderId="12" xfId="0" applyFont="1" applyFill="1" applyBorder="1"/>
    <xf numFmtId="4" fontId="26" fillId="3" borderId="12" xfId="0" applyNumberFormat="1" applyFont="1" applyFill="1" applyBorder="1"/>
    <xf numFmtId="4" fontId="30" fillId="3" borderId="24" xfId="0" applyNumberFormat="1" applyFont="1" applyFill="1" applyBorder="1"/>
    <xf numFmtId="4" fontId="29" fillId="3" borderId="33" xfId="0" applyNumberFormat="1" applyFont="1" applyFill="1" applyBorder="1"/>
    <xf numFmtId="4" fontId="29" fillId="3" borderId="12" xfId="0" applyNumberFormat="1" applyFont="1" applyFill="1" applyBorder="1"/>
    <xf numFmtId="4" fontId="30" fillId="0" borderId="24" xfId="0" applyNumberFormat="1" applyFont="1" applyBorder="1"/>
    <xf numFmtId="0" fontId="26" fillId="0" borderId="27" xfId="0" applyFont="1" applyBorder="1"/>
    <xf numFmtId="2" fontId="29" fillId="3" borderId="0" xfId="0" applyNumberFormat="1" applyFont="1" applyFill="1"/>
    <xf numFmtId="0" fontId="31" fillId="3" borderId="0" xfId="0" applyFont="1" applyFill="1"/>
    <xf numFmtId="4" fontId="43" fillId="3" borderId="0" xfId="0" applyNumberFormat="1" applyFont="1" applyFill="1"/>
    <xf numFmtId="0" fontId="32" fillId="0" borderId="5" xfId="0" applyFont="1" applyBorder="1"/>
    <xf numFmtId="4" fontId="42" fillId="3" borderId="22" xfId="0" applyNumberFormat="1" applyFont="1" applyFill="1" applyBorder="1"/>
    <xf numFmtId="4" fontId="29" fillId="5" borderId="0" xfId="0" applyNumberFormat="1" applyFont="1" applyFill="1"/>
    <xf numFmtId="4" fontId="32" fillId="3" borderId="22" xfId="0" applyNumberFormat="1" applyFont="1" applyFill="1" applyBorder="1"/>
    <xf numFmtId="4" fontId="29" fillId="3" borderId="4" xfId="0" applyNumberFormat="1" applyFont="1" applyFill="1" applyBorder="1"/>
    <xf numFmtId="4" fontId="29" fillId="3" borderId="38" xfId="0" applyNumberFormat="1" applyFont="1" applyFill="1" applyBorder="1"/>
    <xf numFmtId="4" fontId="28" fillId="3" borderId="4" xfId="0" applyNumberFormat="1" applyFont="1" applyFill="1" applyBorder="1"/>
    <xf numFmtId="0" fontId="32" fillId="0" borderId="10" xfId="0" applyFont="1" applyBorder="1" applyProtection="1">
      <protection locked="0"/>
    </xf>
    <xf numFmtId="4" fontId="28" fillId="3" borderId="8" xfId="0" applyNumberFormat="1" applyFont="1" applyFill="1" applyBorder="1"/>
    <xf numFmtId="4" fontId="26" fillId="0" borderId="27" xfId="0" applyNumberFormat="1" applyFont="1" applyBorder="1"/>
    <xf numFmtId="0" fontId="32" fillId="0" borderId="6" xfId="0" applyFont="1" applyBorder="1" applyProtection="1">
      <protection locked="0"/>
    </xf>
    <xf numFmtId="4" fontId="28" fillId="3" borderId="3" xfId="0" applyNumberFormat="1" applyFont="1" applyFill="1" applyBorder="1"/>
    <xf numFmtId="4" fontId="26" fillId="3" borderId="41" xfId="0" applyNumberFormat="1" applyFont="1" applyFill="1" applyBorder="1"/>
    <xf numFmtId="4" fontId="26" fillId="3" borderId="40" xfId="0" applyNumberFormat="1" applyFont="1" applyFill="1" applyBorder="1"/>
    <xf numFmtId="4" fontId="30" fillId="3" borderId="1" xfId="0" applyNumberFormat="1" applyFont="1" applyFill="1" applyBorder="1"/>
    <xf numFmtId="4" fontId="30" fillId="3" borderId="23" xfId="0" applyNumberFormat="1" applyFont="1" applyFill="1" applyBorder="1"/>
    <xf numFmtId="4" fontId="31" fillId="3" borderId="1" xfId="0" applyNumberFormat="1" applyFont="1" applyFill="1" applyBorder="1"/>
    <xf numFmtId="4" fontId="29" fillId="3" borderId="1" xfId="0" applyNumberFormat="1" applyFont="1" applyFill="1" applyBorder="1"/>
    <xf numFmtId="4" fontId="30" fillId="0" borderId="41" xfId="0" applyNumberFormat="1" applyFont="1" applyBorder="1"/>
    <xf numFmtId="0" fontId="41" fillId="0" borderId="17" xfId="0" applyFont="1" applyBorder="1" applyAlignment="1">
      <alignment horizontal="left"/>
    </xf>
    <xf numFmtId="4" fontId="41" fillId="3" borderId="17" xfId="1" applyNumberFormat="1" applyFont="1" applyFill="1" applyBorder="1"/>
    <xf numFmtId="4" fontId="41" fillId="0" borderId="17" xfId="1" applyNumberFormat="1" applyFont="1" applyFill="1" applyBorder="1"/>
    <xf numFmtId="4" fontId="26" fillId="3" borderId="21" xfId="0" applyNumberFormat="1" applyFont="1" applyFill="1" applyBorder="1"/>
    <xf numFmtId="4" fontId="26" fillId="0" borderId="21" xfId="0" applyNumberFormat="1" applyFont="1" applyBorder="1"/>
    <xf numFmtId="4" fontId="33" fillId="3" borderId="29" xfId="0" applyNumberFormat="1" applyFont="1" applyFill="1" applyBorder="1"/>
    <xf numFmtId="4" fontId="33" fillId="3" borderId="32" xfId="0" applyNumberFormat="1" applyFont="1" applyFill="1" applyBorder="1"/>
    <xf numFmtId="4" fontId="33" fillId="0" borderId="29" xfId="0" applyNumberFormat="1" applyFont="1" applyBorder="1"/>
    <xf numFmtId="4" fontId="33" fillId="0" borderId="32" xfId="0" applyNumberFormat="1" applyFont="1" applyBorder="1"/>
    <xf numFmtId="0" fontId="28" fillId="0" borderId="0" xfId="0" applyFont="1" applyAlignment="1">
      <alignment horizontal="left"/>
    </xf>
    <xf numFmtId="0" fontId="28" fillId="3" borderId="20" xfId="0" applyFont="1" applyFill="1" applyBorder="1"/>
    <xf numFmtId="4" fontId="44" fillId="3" borderId="22" xfId="0" applyNumberFormat="1" applyFont="1" applyFill="1" applyBorder="1"/>
    <xf numFmtId="0" fontId="33" fillId="0" borderId="11" xfId="0" applyFont="1" applyBorder="1"/>
    <xf numFmtId="4" fontId="33" fillId="3" borderId="33" xfId="0" applyNumberFormat="1" applyFont="1" applyFill="1" applyBorder="1"/>
    <xf numFmtId="4" fontId="45" fillId="0" borderId="34" xfId="0" applyNumberFormat="1" applyFont="1" applyBorder="1"/>
    <xf numFmtId="4" fontId="33" fillId="3" borderId="24" xfId="0" applyNumberFormat="1" applyFont="1" applyFill="1" applyBorder="1"/>
    <xf numFmtId="0" fontId="33" fillId="0" borderId="0" xfId="0" applyFont="1"/>
    <xf numFmtId="0" fontId="33" fillId="3" borderId="38" xfId="0" applyFont="1" applyFill="1" applyBorder="1"/>
    <xf numFmtId="4" fontId="33" fillId="0" borderId="24" xfId="0" applyNumberFormat="1" applyFont="1" applyBorder="1"/>
    <xf numFmtId="0" fontId="33" fillId="0" borderId="2" xfId="0" applyFont="1" applyBorder="1"/>
    <xf numFmtId="0" fontId="33" fillId="0" borderId="5" xfId="0" applyFont="1" applyBorder="1"/>
    <xf numFmtId="0" fontId="46" fillId="0" borderId="10" xfId="0" applyFont="1" applyBorder="1" applyAlignment="1">
      <alignment horizontal="left"/>
    </xf>
    <xf numFmtId="4" fontId="32" fillId="0" borderId="14" xfId="0" applyNumberFormat="1" applyFont="1" applyBorder="1"/>
    <xf numFmtId="4" fontId="32" fillId="0" borderId="22" xfId="0" applyNumberFormat="1" applyFont="1" applyBorder="1"/>
    <xf numFmtId="0" fontId="26" fillId="0" borderId="6" xfId="0" applyFont="1" applyBorder="1" applyAlignment="1">
      <alignment horizontal="left"/>
    </xf>
    <xf numFmtId="4" fontId="32" fillId="0" borderId="15" xfId="0" applyNumberFormat="1" applyFont="1" applyBorder="1"/>
    <xf numFmtId="4" fontId="32" fillId="3" borderId="23" xfId="0" applyNumberFormat="1" applyFont="1" applyFill="1" applyBorder="1"/>
    <xf numFmtId="4" fontId="32" fillId="0" borderId="1" xfId="0" applyNumberFormat="1" applyFont="1" applyBorder="1"/>
    <xf numFmtId="4" fontId="32" fillId="0" borderId="23" xfId="0" applyNumberFormat="1" applyFont="1" applyBorder="1"/>
    <xf numFmtId="4" fontId="28" fillId="0" borderId="14" xfId="0" applyNumberFormat="1" applyFont="1" applyBorder="1"/>
    <xf numFmtId="4" fontId="28" fillId="3" borderId="22" xfId="0" applyNumberFormat="1" applyFont="1" applyFill="1" applyBorder="1"/>
    <xf numFmtId="4" fontId="28" fillId="0" borderId="22" xfId="0" applyNumberFormat="1" applyFont="1" applyBorder="1"/>
    <xf numFmtId="4" fontId="28" fillId="3" borderId="27" xfId="0" applyNumberFormat="1" applyFont="1" applyFill="1" applyBorder="1"/>
    <xf numFmtId="0" fontId="28" fillId="0" borderId="27" xfId="0" applyFont="1" applyBorder="1"/>
    <xf numFmtId="0" fontId="28" fillId="0" borderId="2" xfId="0" applyFont="1" applyBorder="1"/>
    <xf numFmtId="0" fontId="26" fillId="0" borderId="3" xfId="0" applyFont="1" applyBorder="1"/>
    <xf numFmtId="0" fontId="26" fillId="0" borderId="1" xfId="0" applyFont="1" applyBorder="1" applyAlignment="1">
      <alignment horizontal="left"/>
    </xf>
    <xf numFmtId="0" fontId="26" fillId="0" borderId="1" xfId="0" applyFont="1" applyBorder="1"/>
    <xf numFmtId="0" fontId="42" fillId="0" borderId="0" xfId="0" applyFont="1" applyAlignment="1">
      <alignment horizontal="left"/>
    </xf>
    <xf numFmtId="0" fontId="33" fillId="0" borderId="7" xfId="0" applyFont="1" applyBorder="1" applyAlignment="1">
      <alignment horizontal="left"/>
    </xf>
    <xf numFmtId="4" fontId="33" fillId="3" borderId="12" xfId="1" applyNumberFormat="1" applyFont="1" applyFill="1" applyBorder="1"/>
    <xf numFmtId="4" fontId="33" fillId="0" borderId="12" xfId="1" applyNumberFormat="1" applyFont="1" applyFill="1" applyBorder="1"/>
    <xf numFmtId="4" fontId="28" fillId="0" borderId="16" xfId="0" applyNumberFormat="1" applyFont="1" applyBorder="1"/>
    <xf numFmtId="4" fontId="26" fillId="3" borderId="0" xfId="1" applyNumberFormat="1" applyFont="1" applyFill="1"/>
    <xf numFmtId="4" fontId="28" fillId="3" borderId="0" xfId="1" applyNumberFormat="1" applyFont="1" applyFill="1"/>
    <xf numFmtId="4" fontId="28" fillId="3" borderId="0" xfId="1" applyNumberFormat="1" applyFont="1" applyFill="1" applyBorder="1"/>
    <xf numFmtId="4" fontId="26" fillId="0" borderId="0" xfId="1" applyNumberFormat="1" applyFont="1" applyFill="1"/>
    <xf numFmtId="4" fontId="28" fillId="0" borderId="8" xfId="0" applyNumberFormat="1" applyFont="1" applyBorder="1"/>
    <xf numFmtId="4" fontId="28" fillId="0" borderId="0" xfId="1" applyNumberFormat="1" applyFont="1" applyFill="1" applyBorder="1"/>
    <xf numFmtId="4" fontId="28" fillId="0" borderId="0" xfId="1" applyNumberFormat="1" applyFont="1" applyFill="1"/>
    <xf numFmtId="4" fontId="28" fillId="0" borderId="2" xfId="0" applyNumberFormat="1" applyFont="1" applyBorder="1"/>
    <xf numFmtId="4" fontId="28" fillId="3" borderId="1" xfId="1" applyNumberFormat="1" applyFont="1" applyFill="1" applyBorder="1"/>
    <xf numFmtId="4" fontId="26" fillId="2" borderId="0" xfId="1" applyNumberFormat="1" applyFont="1" applyFill="1"/>
    <xf numFmtId="4" fontId="26" fillId="0" borderId="9" xfId="1" applyNumberFormat="1" applyFont="1" applyFill="1" applyBorder="1"/>
    <xf numFmtId="4" fontId="28" fillId="0" borderId="8" xfId="1" applyNumberFormat="1" applyFont="1" applyFill="1" applyBorder="1"/>
    <xf numFmtId="4" fontId="47" fillId="0" borderId="0" xfId="0" applyNumberFormat="1" applyFont="1"/>
    <xf numFmtId="0" fontId="47" fillId="0" borderId="0" xfId="0" applyFont="1"/>
    <xf numFmtId="0" fontId="47" fillId="3" borderId="38" xfId="0" applyFont="1" applyFill="1" applyBorder="1"/>
    <xf numFmtId="0" fontId="32" fillId="0" borderId="0" xfId="0" applyFont="1"/>
    <xf numFmtId="0" fontId="42" fillId="0" borderId="0" xfId="0" applyFont="1"/>
    <xf numFmtId="0" fontId="26" fillId="2" borderId="0" xfId="0" applyFont="1" applyFill="1"/>
    <xf numFmtId="0" fontId="28" fillId="0" borderId="0" xfId="0" applyFont="1" applyAlignment="1">
      <alignment horizontal="right"/>
    </xf>
    <xf numFmtId="0" fontId="28" fillId="0" borderId="38" xfId="0" applyFont="1" applyBorder="1" applyAlignment="1">
      <alignment horizontal="center"/>
    </xf>
    <xf numFmtId="0" fontId="48" fillId="0" borderId="0" xfId="0" applyFont="1" applyAlignment="1">
      <alignment horizontal="center"/>
    </xf>
    <xf numFmtId="0" fontId="28" fillId="2" borderId="0" xfId="0" applyFont="1" applyFill="1" applyAlignment="1">
      <alignment horizontal="right"/>
    </xf>
    <xf numFmtId="3" fontId="49" fillId="2" borderId="38" xfId="0" applyNumberFormat="1" applyFont="1" applyFill="1" applyBorder="1"/>
    <xf numFmtId="0" fontId="48" fillId="2" borderId="0" xfId="0" applyFont="1" applyFill="1" applyAlignment="1">
      <alignment horizontal="center"/>
    </xf>
    <xf numFmtId="0" fontId="26" fillId="2" borderId="0" xfId="0" applyFont="1" applyFill="1" applyAlignment="1">
      <alignment horizontal="right"/>
    </xf>
    <xf numFmtId="3" fontId="49" fillId="2" borderId="0" xfId="0" applyNumberFormat="1" applyFont="1" applyFill="1"/>
    <xf numFmtId="3" fontId="26" fillId="2" borderId="0" xfId="0" applyNumberFormat="1" applyFont="1" applyFill="1"/>
    <xf numFmtId="0" fontId="50" fillId="2" borderId="0" xfId="0" applyFont="1" applyFill="1"/>
    <xf numFmtId="0" fontId="50" fillId="2" borderId="0" xfId="0" applyFont="1" applyFill="1" applyAlignment="1">
      <alignment horizontal="right"/>
    </xf>
    <xf numFmtId="0" fontId="50" fillId="0" borderId="0" xfId="0" applyFont="1"/>
    <xf numFmtId="0" fontId="50" fillId="2" borderId="1" xfId="0" applyFont="1" applyFill="1" applyBorder="1" applyAlignment="1">
      <alignment horizontal="right"/>
    </xf>
    <xf numFmtId="3" fontId="49" fillId="2" borderId="1" xfId="0" applyNumberFormat="1" applyFont="1" applyFill="1" applyBorder="1"/>
    <xf numFmtId="3" fontId="49" fillId="2" borderId="6" xfId="0" applyNumberFormat="1" applyFont="1" applyFill="1" applyBorder="1"/>
    <xf numFmtId="3" fontId="51" fillId="0" borderId="39" xfId="0" applyNumberFormat="1" applyFont="1" applyBorder="1"/>
    <xf numFmtId="0" fontId="28" fillId="2" borderId="9" xfId="0" applyFont="1" applyFill="1" applyBorder="1" applyAlignment="1">
      <alignment horizontal="right"/>
    </xf>
    <xf numFmtId="3" fontId="52" fillId="2" borderId="0" xfId="0" applyNumberFormat="1" applyFont="1" applyFill="1"/>
    <xf numFmtId="3" fontId="52" fillId="2" borderId="1" xfId="0" applyNumberFormat="1" applyFont="1" applyFill="1" applyBorder="1"/>
    <xf numFmtId="3" fontId="41" fillId="0" borderId="39" xfId="0" applyNumberFormat="1" applyFont="1" applyBorder="1"/>
    <xf numFmtId="0" fontId="26" fillId="2" borderId="9" xfId="0" applyFont="1" applyFill="1" applyBorder="1"/>
    <xf numFmtId="3" fontId="49" fillId="2" borderId="9" xfId="0" applyNumberFormat="1" applyFont="1" applyFill="1" applyBorder="1"/>
    <xf numFmtId="0" fontId="26" fillId="0" borderId="9" xfId="0" applyFont="1" applyBorder="1"/>
    <xf numFmtId="3" fontId="48" fillId="2" borderId="0" xfId="0" applyNumberFormat="1" applyFont="1" applyFill="1"/>
    <xf numFmtId="3" fontId="48" fillId="2" borderId="38" xfId="0" applyNumberFormat="1" applyFont="1" applyFill="1" applyBorder="1"/>
    <xf numFmtId="0" fontId="42" fillId="2" borderId="0" xfId="0" applyFont="1" applyFill="1" applyAlignment="1">
      <alignment horizontal="right"/>
    </xf>
    <xf numFmtId="3" fontId="42" fillId="0" borderId="38" xfId="0" applyNumberFormat="1" applyFont="1" applyBorder="1"/>
    <xf numFmtId="3" fontId="53" fillId="2" borderId="0" xfId="0" applyNumberFormat="1" applyFont="1" applyFill="1"/>
    <xf numFmtId="0" fontId="28" fillId="2" borderId="1" xfId="0" applyFont="1" applyFill="1" applyBorder="1" applyAlignment="1">
      <alignment horizontal="right"/>
    </xf>
    <xf numFmtId="3" fontId="26" fillId="3" borderId="38" xfId="0" applyNumberFormat="1" applyFont="1" applyFill="1" applyBorder="1"/>
    <xf numFmtId="3" fontId="48" fillId="2" borderId="1" xfId="0" applyNumberFormat="1" applyFont="1" applyFill="1" applyBorder="1"/>
    <xf numFmtId="3" fontId="26" fillId="3" borderId="39" xfId="0" applyNumberFormat="1" applyFont="1" applyFill="1" applyBorder="1"/>
    <xf numFmtId="0" fontId="26" fillId="2" borderId="1" xfId="0" applyFont="1" applyFill="1" applyBorder="1"/>
    <xf numFmtId="0" fontId="26" fillId="2" borderId="1" xfId="0" applyFont="1" applyFill="1" applyBorder="1" applyAlignment="1">
      <alignment horizontal="right"/>
    </xf>
    <xf numFmtId="3" fontId="26" fillId="3" borderId="1" xfId="0" applyNumberFormat="1" applyFont="1" applyFill="1" applyBorder="1"/>
    <xf numFmtId="3" fontId="26" fillId="3" borderId="0" xfId="0" applyNumberFormat="1" applyFont="1" applyFill="1"/>
    <xf numFmtId="3" fontId="54" fillId="2" borderId="0" xfId="0" applyNumberFormat="1" applyFont="1" applyFill="1"/>
    <xf numFmtId="0" fontId="49" fillId="2" borderId="0" xfId="0" applyFont="1" applyFill="1"/>
    <xf numFmtId="0" fontId="49" fillId="0" borderId="0" xfId="0" applyFont="1"/>
    <xf numFmtId="3" fontId="26" fillId="2" borderId="38" xfId="0" applyNumberFormat="1" applyFont="1" applyFill="1" applyBorder="1"/>
    <xf numFmtId="3" fontId="26" fillId="2" borderId="39" xfId="0" applyNumberFormat="1" applyFont="1" applyFill="1" applyBorder="1"/>
    <xf numFmtId="3" fontId="26" fillId="2" borderId="42" xfId="0" applyNumberFormat="1" applyFont="1" applyFill="1" applyBorder="1"/>
    <xf numFmtId="0" fontId="28" fillId="3" borderId="0" xfId="0" applyFont="1" applyFill="1" applyAlignment="1">
      <alignment horizontal="center"/>
    </xf>
    <xf numFmtId="3" fontId="49" fillId="3" borderId="0" xfId="0" applyNumberFormat="1" applyFont="1" applyFill="1"/>
    <xf numFmtId="3" fontId="49" fillId="3" borderId="1" xfId="0" applyNumberFormat="1" applyFont="1" applyFill="1" applyBorder="1"/>
    <xf numFmtId="3" fontId="49" fillId="3" borderId="6" xfId="0" applyNumberFormat="1" applyFont="1" applyFill="1" applyBorder="1"/>
    <xf numFmtId="3" fontId="52" fillId="3" borderId="0" xfId="0" applyNumberFormat="1" applyFont="1" applyFill="1"/>
    <xf numFmtId="3" fontId="52" fillId="3" borderId="1" xfId="0" applyNumberFormat="1" applyFont="1" applyFill="1" applyBorder="1"/>
    <xf numFmtId="3" fontId="26" fillId="3" borderId="9" xfId="0" applyNumberFormat="1" applyFont="1" applyFill="1" applyBorder="1"/>
    <xf numFmtId="3" fontId="48" fillId="3" borderId="0" xfId="0" applyNumberFormat="1" applyFont="1" applyFill="1"/>
    <xf numFmtId="3" fontId="42" fillId="3" borderId="0" xfId="0" applyNumberFormat="1" applyFont="1" applyFill="1"/>
    <xf numFmtId="3" fontId="28" fillId="3" borderId="1" xfId="0" applyNumberFormat="1" applyFont="1" applyFill="1" applyBorder="1"/>
    <xf numFmtId="3" fontId="48" fillId="3" borderId="1" xfId="0" applyNumberFormat="1" applyFont="1" applyFill="1" applyBorder="1"/>
    <xf numFmtId="0" fontId="26" fillId="2" borderId="38" xfId="0" applyFont="1" applyFill="1" applyBorder="1"/>
    <xf numFmtId="4" fontId="30" fillId="0" borderId="2" xfId="0" applyNumberFormat="1" applyFont="1" applyBorder="1"/>
    <xf numFmtId="4" fontId="28" fillId="0" borderId="9" xfId="0" applyNumberFormat="1" applyFont="1" applyBorder="1"/>
    <xf numFmtId="4" fontId="26" fillId="0" borderId="0" xfId="1" applyNumberFormat="1" applyFont="1" applyFill="1" applyBorder="1"/>
    <xf numFmtId="9" fontId="15" fillId="3" borderId="0" xfId="7" applyFont="1" applyFill="1" applyBorder="1"/>
    <xf numFmtId="167" fontId="15" fillId="0" borderId="0" xfId="7" applyNumberFormat="1" applyFont="1" applyBorder="1"/>
    <xf numFmtId="0" fontId="22" fillId="0" borderId="0" xfId="0" applyFont="1"/>
    <xf numFmtId="1" fontId="22" fillId="0" borderId="0" xfId="0" applyNumberFormat="1" applyFont="1"/>
    <xf numFmtId="167" fontId="15" fillId="3" borderId="0" xfId="7" applyNumberFormat="1" applyFont="1" applyFill="1"/>
    <xf numFmtId="1" fontId="24" fillId="3" borderId="0" xfId="0" applyNumberFormat="1" applyFont="1" applyFill="1"/>
    <xf numFmtId="1" fontId="12" fillId="3" borderId="0" xfId="0" applyNumberFormat="1" applyFont="1" applyFill="1"/>
    <xf numFmtId="4" fontId="32" fillId="3" borderId="25" xfId="0" applyNumberFormat="1" applyFont="1" applyFill="1" applyBorder="1"/>
    <xf numFmtId="4" fontId="32" fillId="3" borderId="24" xfId="0" applyNumberFormat="1" applyFont="1" applyFill="1" applyBorder="1"/>
    <xf numFmtId="2" fontId="0" fillId="3" borderId="0" xfId="0" applyNumberFormat="1" applyFill="1"/>
    <xf numFmtId="0" fontId="12" fillId="0" borderId="0" xfId="0" applyFont="1" applyAlignment="1">
      <alignment horizontal="center"/>
    </xf>
    <xf numFmtId="0" fontId="48" fillId="3" borderId="0" xfId="0" applyFont="1" applyFill="1" applyAlignment="1">
      <alignment horizontal="center"/>
    </xf>
    <xf numFmtId="3" fontId="49" fillId="3" borderId="9" xfId="0" applyNumberFormat="1" applyFont="1" applyFill="1" applyBorder="1"/>
    <xf numFmtId="3" fontId="53" fillId="3" borderId="0" xfId="0" applyNumberFormat="1" applyFont="1" applyFill="1"/>
    <xf numFmtId="3" fontId="49" fillId="3" borderId="3" xfId="0" applyNumberFormat="1" applyFont="1" applyFill="1" applyBorder="1"/>
    <xf numFmtId="0" fontId="22" fillId="3" borderId="9" xfId="0" applyFont="1" applyFill="1" applyBorder="1"/>
    <xf numFmtId="3" fontId="22" fillId="3" borderId="0" xfId="0" applyNumberFormat="1" applyFont="1" applyFill="1"/>
    <xf numFmtId="0" fontId="23" fillId="3" borderId="0" xfId="0" applyFont="1" applyFill="1"/>
    <xf numFmtId="0" fontId="12" fillId="3" borderId="9" xfId="0" applyFont="1" applyFill="1" applyBorder="1"/>
    <xf numFmtId="4" fontId="29" fillId="3" borderId="26" xfId="0" applyNumberFormat="1" applyFont="1" applyFill="1" applyBorder="1"/>
    <xf numFmtId="4" fontId="30" fillId="3" borderId="41" xfId="0" applyNumberFormat="1" applyFont="1" applyFill="1" applyBorder="1"/>
    <xf numFmtId="4" fontId="33" fillId="3" borderId="49" xfId="0" applyNumberFormat="1" applyFont="1" applyFill="1" applyBorder="1"/>
    <xf numFmtId="4" fontId="56" fillId="3" borderId="0" xfId="0" applyNumberFormat="1" applyFont="1" applyFill="1"/>
    <xf numFmtId="3" fontId="26" fillId="2" borderId="1" xfId="0" applyNumberFormat="1" applyFont="1" applyFill="1" applyBorder="1"/>
    <xf numFmtId="1" fontId="12" fillId="0" borderId="0" xfId="0" applyNumberFormat="1" applyFont="1"/>
    <xf numFmtId="0" fontId="23" fillId="3" borderId="9" xfId="0" applyFont="1" applyFill="1" applyBorder="1"/>
    <xf numFmtId="3" fontId="12" fillId="3" borderId="0" xfId="0" applyNumberFormat="1" applyFont="1" applyFill="1"/>
    <xf numFmtId="4" fontId="32" fillId="3" borderId="12" xfId="0" applyNumberFormat="1" applyFont="1" applyFill="1" applyBorder="1"/>
    <xf numFmtId="0" fontId="26" fillId="2" borderId="5" xfId="0" applyFont="1" applyFill="1" applyBorder="1"/>
    <xf numFmtId="0" fontId="50" fillId="2" borderId="5" xfId="0" applyFont="1" applyFill="1" applyBorder="1"/>
    <xf numFmtId="0" fontId="26" fillId="2" borderId="10" xfId="0" applyFont="1" applyFill="1" applyBorder="1"/>
    <xf numFmtId="0" fontId="26" fillId="2" borderId="6" xfId="0" applyFont="1" applyFill="1" applyBorder="1"/>
    <xf numFmtId="4" fontId="58" fillId="0" borderId="26" xfId="0" applyNumberFormat="1" applyFont="1" applyBorder="1"/>
    <xf numFmtId="4" fontId="58" fillId="0" borderId="9" xfId="0" applyNumberFormat="1" applyFont="1" applyBorder="1"/>
    <xf numFmtId="4" fontId="59" fillId="0" borderId="19" xfId="0" applyNumberFormat="1" applyFont="1" applyBorder="1"/>
    <xf numFmtId="4" fontId="28" fillId="3" borderId="25" xfId="0" applyNumberFormat="1" applyFont="1" applyFill="1" applyBorder="1"/>
    <xf numFmtId="4" fontId="55" fillId="3" borderId="0" xfId="0" applyNumberFormat="1" applyFont="1" applyFill="1"/>
    <xf numFmtId="4" fontId="26" fillId="6" borderId="0" xfId="0" applyNumberFormat="1" applyFont="1" applyFill="1"/>
    <xf numFmtId="1" fontId="11" fillId="0" borderId="0" xfId="0" applyNumberFormat="1" applyFont="1"/>
    <xf numFmtId="4" fontId="30" fillId="6" borderId="1" xfId="0" applyNumberFormat="1" applyFont="1" applyFill="1" applyBorder="1"/>
    <xf numFmtId="4" fontId="28" fillId="3" borderId="26" xfId="0" applyNumberFormat="1" applyFont="1" applyFill="1" applyBorder="1"/>
    <xf numFmtId="4" fontId="26" fillId="0" borderId="5" xfId="0" applyNumberFormat="1" applyFont="1" applyBorder="1"/>
    <xf numFmtId="4" fontId="42" fillId="3" borderId="1" xfId="0" applyNumberFormat="1" applyFont="1" applyFill="1" applyBorder="1"/>
    <xf numFmtId="4" fontId="62" fillId="3" borderId="0" xfId="0" applyNumberFormat="1" applyFont="1" applyFill="1"/>
    <xf numFmtId="0" fontId="33" fillId="0" borderId="18" xfId="0" applyFont="1" applyBorder="1" applyAlignment="1">
      <alignment horizontal="left"/>
    </xf>
    <xf numFmtId="0" fontId="0" fillId="13" borderId="0" xfId="0" applyFill="1" applyAlignment="1">
      <alignment horizontal="center"/>
    </xf>
    <xf numFmtId="169" fontId="0" fillId="0" borderId="0" xfId="0" applyNumberFormat="1"/>
    <xf numFmtId="9" fontId="0" fillId="0" borderId="0" xfId="11" applyFont="1"/>
    <xf numFmtId="169" fontId="63" fillId="0" borderId="9" xfId="0" applyNumberFormat="1" applyFont="1" applyBorder="1"/>
    <xf numFmtId="169" fontId="22" fillId="0" borderId="9" xfId="0" applyNumberFormat="1" applyFont="1" applyBorder="1"/>
    <xf numFmtId="4" fontId="11" fillId="0" borderId="0" xfId="0" applyNumberFormat="1" applyFont="1"/>
    <xf numFmtId="3" fontId="23" fillId="3" borderId="0" xfId="0" applyNumberFormat="1" applyFont="1" applyFill="1"/>
    <xf numFmtId="4" fontId="65" fillId="3" borderId="0" xfId="0" applyNumberFormat="1" applyFont="1" applyFill="1"/>
    <xf numFmtId="4" fontId="0" fillId="0" borderId="0" xfId="0" applyNumberFormat="1"/>
    <xf numFmtId="4" fontId="29" fillId="3" borderId="24" xfId="0" applyNumberFormat="1" applyFont="1" applyFill="1" applyBorder="1"/>
    <xf numFmtId="0" fontId="0" fillId="0" borderId="50" xfId="0" applyBorder="1"/>
    <xf numFmtId="4" fontId="26" fillId="0" borderId="40" xfId="0" applyNumberFormat="1" applyFont="1" applyBorder="1"/>
    <xf numFmtId="4" fontId="60" fillId="3" borderId="24" xfId="1" applyNumberFormat="1" applyFont="1" applyFill="1" applyBorder="1"/>
    <xf numFmtId="1" fontId="12" fillId="2" borderId="0" xfId="0" applyNumberFormat="1" applyFont="1" applyFill="1"/>
    <xf numFmtId="0" fontId="12" fillId="0" borderId="1" xfId="0" applyFont="1" applyBorder="1"/>
    <xf numFmtId="1" fontId="12" fillId="0" borderId="1" xfId="0" applyNumberFormat="1" applyFont="1" applyBorder="1"/>
    <xf numFmtId="4" fontId="66" fillId="0" borderId="22" xfId="0" applyNumberFormat="1" applyFont="1" applyBorder="1"/>
    <xf numFmtId="4" fontId="28" fillId="3" borderId="41" xfId="0" applyNumberFormat="1" applyFont="1" applyFill="1" applyBorder="1"/>
    <xf numFmtId="0" fontId="0" fillId="14" borderId="0" xfId="0" applyFill="1" applyAlignment="1">
      <alignment horizontal="center"/>
    </xf>
    <xf numFmtId="3" fontId="26" fillId="2" borderId="5" xfId="0" applyNumberFormat="1" applyFont="1" applyFill="1" applyBorder="1"/>
    <xf numFmtId="3" fontId="49" fillId="2" borderId="10" xfId="0" applyNumberFormat="1" applyFont="1" applyFill="1" applyBorder="1"/>
    <xf numFmtId="3" fontId="49" fillId="2" borderId="5" xfId="0" applyNumberFormat="1" applyFont="1" applyFill="1" applyBorder="1"/>
    <xf numFmtId="0" fontId="67" fillId="0" borderId="0" xfId="0" applyFont="1"/>
    <xf numFmtId="14" fontId="26" fillId="0" borderId="1" xfId="0" applyNumberFormat="1" applyFont="1" applyBorder="1" applyAlignment="1">
      <alignment horizontal="center"/>
    </xf>
    <xf numFmtId="0" fontId="24" fillId="3" borderId="9" xfId="0" applyFont="1" applyFill="1" applyBorder="1"/>
    <xf numFmtId="4" fontId="31" fillId="3" borderId="23" xfId="0" applyNumberFormat="1" applyFont="1" applyFill="1" applyBorder="1"/>
    <xf numFmtId="4" fontId="68" fillId="3" borderId="0" xfId="0" applyNumberFormat="1" applyFont="1" applyFill="1"/>
    <xf numFmtId="4" fontId="69" fillId="3" borderId="0" xfId="0" applyNumberFormat="1" applyFont="1" applyFill="1"/>
    <xf numFmtId="4" fontId="39" fillId="3" borderId="9" xfId="0" applyNumberFormat="1" applyFont="1" applyFill="1" applyBorder="1"/>
    <xf numFmtId="4" fontId="32" fillId="12" borderId="9" xfId="0" applyNumberFormat="1" applyFont="1" applyFill="1" applyBorder="1"/>
    <xf numFmtId="4" fontId="32" fillId="12" borderId="0" xfId="0" applyNumberFormat="1" applyFont="1" applyFill="1"/>
    <xf numFmtId="0" fontId="28" fillId="15" borderId="11" xfId="0" applyFont="1" applyFill="1" applyBorder="1" applyAlignment="1">
      <alignment horizontal="centerContinuous"/>
    </xf>
    <xf numFmtId="0" fontId="0" fillId="15" borderId="12" xfId="0" applyFill="1" applyBorder="1" applyAlignment="1">
      <alignment horizontal="centerContinuous"/>
    </xf>
    <xf numFmtId="0" fontId="28" fillId="15" borderId="13" xfId="0" applyFont="1" applyFill="1" applyBorder="1" applyAlignment="1">
      <alignment horizontal="centerContinuous"/>
    </xf>
    <xf numFmtId="4" fontId="70" fillId="3" borderId="0" xfId="0" applyNumberFormat="1" applyFont="1" applyFill="1"/>
    <xf numFmtId="4" fontId="72" fillId="3" borderId="0" xfId="0" applyNumberFormat="1" applyFont="1" applyFill="1"/>
    <xf numFmtId="0" fontId="61" fillId="3" borderId="0" xfId="0" applyFont="1" applyFill="1"/>
    <xf numFmtId="4" fontId="71" fillId="3" borderId="0" xfId="0" applyNumberFormat="1" applyFont="1" applyFill="1"/>
    <xf numFmtId="4" fontId="23" fillId="0" borderId="0" xfId="0" applyNumberFormat="1" applyFont="1"/>
    <xf numFmtId="0" fontId="67" fillId="3" borderId="5" xfId="0" applyFont="1" applyFill="1" applyBorder="1"/>
    <xf numFmtId="0" fontId="67" fillId="0" borderId="0" xfId="0" applyFont="1" applyAlignment="1">
      <alignment horizontal="right"/>
    </xf>
    <xf numFmtId="0" fontId="0" fillId="0" borderId="5" xfId="0" applyBorder="1"/>
    <xf numFmtId="0" fontId="0" fillId="3" borderId="5" xfId="0" applyFill="1" applyBorder="1"/>
    <xf numFmtId="0" fontId="0" fillId="0" borderId="6" xfId="0" applyBorder="1"/>
    <xf numFmtId="0" fontId="14" fillId="0" borderId="5" xfId="0" applyFont="1" applyBorder="1" applyAlignment="1">
      <alignment horizontal="center"/>
    </xf>
    <xf numFmtId="14" fontId="18" fillId="0" borderId="0" xfId="0" applyNumberFormat="1" applyFont="1" applyAlignment="1">
      <alignment horizontal="centerContinuous"/>
    </xf>
    <xf numFmtId="0" fontId="18" fillId="0" borderId="5" xfId="0" applyFont="1" applyBorder="1" applyAlignment="1">
      <alignment horizontal="centerContinuous"/>
    </xf>
    <xf numFmtId="0" fontId="18" fillId="0" borderId="0" xfId="0" applyFont="1" applyAlignment="1">
      <alignment horizontal="centerContinuous"/>
    </xf>
    <xf numFmtId="9" fontId="73" fillId="0" borderId="0" xfId="0" applyNumberFormat="1" applyFont="1"/>
    <xf numFmtId="0" fontId="73" fillId="0" borderId="0" xfId="0" applyFont="1"/>
    <xf numFmtId="9" fontId="73" fillId="0" borderId="5" xfId="0" applyNumberFormat="1" applyFont="1" applyBorder="1"/>
    <xf numFmtId="0" fontId="73" fillId="0" borderId="0" xfId="0" applyFont="1" applyAlignment="1">
      <alignment horizontal="right"/>
    </xf>
    <xf numFmtId="9" fontId="67" fillId="0" borderId="0" xfId="0" applyNumberFormat="1" applyFont="1"/>
    <xf numFmtId="9" fontId="67" fillId="0" borderId="5" xfId="0" applyNumberFormat="1" applyFont="1" applyBorder="1"/>
    <xf numFmtId="0" fontId="67" fillId="3" borderId="0" xfId="0" applyFont="1" applyFill="1"/>
    <xf numFmtId="9" fontId="0" fillId="0" borderId="1" xfId="0" applyNumberFormat="1" applyBorder="1"/>
    <xf numFmtId="0" fontId="0" fillId="3" borderId="3" xfId="0" applyFill="1" applyBorder="1"/>
    <xf numFmtId="9" fontId="0" fillId="0" borderId="6" xfId="0" applyNumberFormat="1" applyBorder="1"/>
    <xf numFmtId="0" fontId="0" fillId="3" borderId="1" xfId="0" applyFill="1" applyBorder="1"/>
    <xf numFmtId="9" fontId="0" fillId="0" borderId="5" xfId="0" applyNumberFormat="1" applyBorder="1"/>
    <xf numFmtId="9" fontId="12" fillId="0" borderId="0" xfId="0" applyNumberFormat="1" applyFont="1"/>
    <xf numFmtId="9" fontId="12" fillId="0" borderId="5" xfId="0" applyNumberFormat="1" applyFont="1" applyBorder="1"/>
    <xf numFmtId="0" fontId="14" fillId="0" borderId="0" xfId="0" applyFont="1" applyAlignment="1">
      <alignment horizontal="center"/>
    </xf>
    <xf numFmtId="0" fontId="28" fillId="0" borderId="0" xfId="0" applyFont="1"/>
    <xf numFmtId="0" fontId="28" fillId="3" borderId="38" xfId="0" applyFont="1" applyFill="1" applyBorder="1"/>
    <xf numFmtId="1" fontId="0" fillId="0" borderId="5" xfId="0" applyNumberFormat="1" applyBorder="1"/>
    <xf numFmtId="1" fontId="0" fillId="0" borderId="6" xfId="0" applyNumberFormat="1" applyBorder="1"/>
    <xf numFmtId="4" fontId="75" fillId="0" borderId="0" xfId="0" applyNumberFormat="1" applyFont="1"/>
    <xf numFmtId="4" fontId="76" fillId="0" borderId="9" xfId="0" applyNumberFormat="1" applyFont="1" applyBorder="1"/>
    <xf numFmtId="4" fontId="22" fillId="0" borderId="0" xfId="0" applyNumberFormat="1" applyFont="1"/>
    <xf numFmtId="166" fontId="0" fillId="3" borderId="1" xfId="0" applyNumberFormat="1" applyFill="1" applyBorder="1"/>
    <xf numFmtId="1" fontId="0" fillId="3" borderId="1" xfId="0" applyNumberFormat="1" applyFill="1" applyBorder="1"/>
    <xf numFmtId="3" fontId="0" fillId="3" borderId="1" xfId="0" applyNumberFormat="1" applyFill="1" applyBorder="1"/>
    <xf numFmtId="4" fontId="16" fillId="0" borderId="0" xfId="0" applyNumberFormat="1" applyFont="1"/>
    <xf numFmtId="4" fontId="32" fillId="0" borderId="12" xfId="0" applyNumberFormat="1" applyFont="1" applyBorder="1"/>
    <xf numFmtId="0" fontId="28" fillId="9" borderId="1" xfId="0" applyFont="1" applyFill="1" applyBorder="1" applyAlignment="1">
      <alignment horizontal="center"/>
    </xf>
    <xf numFmtId="0" fontId="48" fillId="9" borderId="1" xfId="0" applyFont="1" applyFill="1" applyBorder="1" applyAlignment="1">
      <alignment horizontal="center"/>
    </xf>
    <xf numFmtId="0" fontId="48" fillId="10" borderId="1" xfId="0" applyFont="1" applyFill="1" applyBorder="1" applyAlignment="1">
      <alignment horizontal="center"/>
    </xf>
    <xf numFmtId="0" fontId="57" fillId="11" borderId="1" xfId="0" applyFont="1" applyFill="1" applyBorder="1" applyAlignment="1">
      <alignment horizontal="center"/>
    </xf>
    <xf numFmtId="0" fontId="0" fillId="0" borderId="0" xfId="0" applyAlignment="1">
      <alignment horizontal="center"/>
    </xf>
  </cellXfs>
  <cellStyles count="12">
    <cellStyle name="Millares" xfId="1" builtinId="3"/>
    <cellStyle name="Millares 2" xfId="3" xr:uid="{02167582-01EE-4321-B711-E547B556A300}"/>
    <cellStyle name="Millares 2 2" xfId="5" xr:uid="{11B95BAE-8C7A-4C43-BF9D-D0B579D0A584}"/>
    <cellStyle name="Millares 2 2 2" xfId="10" xr:uid="{14F0D001-944F-48DF-8383-985241876B51}"/>
    <cellStyle name="Millares 2 3" xfId="8" xr:uid="{E76B559A-150E-4E36-BACE-E5FA964F499C}"/>
    <cellStyle name="Millares 3" xfId="4" xr:uid="{7BBB7786-46C7-4B07-8609-DAC454D84FEC}"/>
    <cellStyle name="Millares 3 2" xfId="9" xr:uid="{0B2C830F-F016-4F52-8E16-189072CB7E61}"/>
    <cellStyle name="Millares 4" xfId="2" xr:uid="{CFFD4F17-F900-4051-AB03-AD35EBF1B388}"/>
    <cellStyle name="Millares 5" xfId="6" xr:uid="{75934306-0AF6-4F30-A85B-87D668A9CF89}"/>
    <cellStyle name="Normal" xfId="0" builtinId="0"/>
    <cellStyle name="Porcentaje" xfId="11" builtinId="5"/>
    <cellStyle name="Porcentaje 2" xfId="7" xr:uid="{8B8BA960-7E81-4031-AB1A-998CAB1C6FF4}"/>
  </cellStyles>
  <dxfs count="0"/>
  <tableStyles count="0" defaultTableStyle="TableStyleMedium2" defaultPivotStyle="PivotStyleLight16"/>
  <colors>
    <mruColors>
      <color rgb="FFFF0000"/>
      <color rgb="FFFF7C80"/>
      <color rgb="FF45F9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ogramas4\Desktop\24-01-24.xlsx" TargetMode="External"/><Relationship Id="rId1" Type="http://schemas.openxmlformats.org/officeDocument/2006/relationships/externalLinkPath" Target="file:///C:\Users\programas4\Desktop\24-0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Tesoreria"/>
      <sheetName val="Resumen cierre"/>
      <sheetName val="Clientes"/>
    </sheetNames>
    <sheetDataSet>
      <sheetData sheetId="0"/>
      <sheetData sheetId="1">
        <row r="74">
          <cell r="CK74">
            <v>587679.97099427611</v>
          </cell>
          <cell r="CY74">
            <v>526200</v>
          </cell>
        </row>
        <row r="198">
          <cell r="CK198">
            <v>2277.0300000000002</v>
          </cell>
        </row>
        <row r="209">
          <cell r="CK209">
            <v>0</v>
          </cell>
          <cell r="CY209">
            <v>0</v>
          </cell>
        </row>
        <row r="236">
          <cell r="CK236">
            <v>-20361.54</v>
          </cell>
          <cell r="CY236">
            <v>0</v>
          </cell>
        </row>
        <row r="247">
          <cell r="CK247">
            <v>9463.4500000000007</v>
          </cell>
          <cell r="CY247">
            <v>8891.52</v>
          </cell>
        </row>
        <row r="251">
          <cell r="CK251">
            <v>0</v>
          </cell>
          <cell r="CY251">
            <v>0</v>
          </cell>
        </row>
        <row r="254">
          <cell r="CK254">
            <v>124891.80000000002</v>
          </cell>
          <cell r="CY254">
            <v>0</v>
          </cell>
        </row>
        <row r="262">
          <cell r="CK262">
            <v>170079.24999999997</v>
          </cell>
          <cell r="CY262">
            <v>142346.20999999993</v>
          </cell>
        </row>
        <row r="271">
          <cell r="CK271">
            <v>-4345.72</v>
          </cell>
          <cell r="CY271">
            <v>-4345.72</v>
          </cell>
        </row>
        <row r="274">
          <cell r="CK274">
            <v>474835.89</v>
          </cell>
          <cell r="CY274">
            <v>451442.26</v>
          </cell>
        </row>
      </sheetData>
      <sheetData sheetId="2"/>
      <sheetData sheetId="3"/>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48EC-AD53-4CD6-80E1-2617DFA58F5E}">
  <dimension ref="B2:AB52"/>
  <sheetViews>
    <sheetView workbookViewId="0">
      <selection activeCell="W20" sqref="W20"/>
    </sheetView>
  </sheetViews>
  <sheetFormatPr baseColWidth="10" defaultRowHeight="15"/>
  <cols>
    <col min="3" max="15" width="10.7109375" hidden="1" customWidth="1"/>
  </cols>
  <sheetData>
    <row r="2" spans="2:28">
      <c r="B2" s="127"/>
      <c r="C2" s="578" t="s">
        <v>0</v>
      </c>
      <c r="D2" s="578"/>
      <c r="E2" s="578"/>
      <c r="F2" s="578"/>
      <c r="G2" s="578"/>
      <c r="H2" s="578"/>
      <c r="I2" s="578"/>
      <c r="J2" s="578"/>
      <c r="K2" s="578"/>
      <c r="L2" s="578"/>
      <c r="M2" s="578"/>
      <c r="N2" s="578"/>
      <c r="O2" s="454"/>
      <c r="P2" s="579" t="s">
        <v>1</v>
      </c>
      <c r="Q2" s="579"/>
      <c r="R2" s="579"/>
      <c r="S2" s="579"/>
      <c r="T2" s="579"/>
      <c r="U2" s="579"/>
      <c r="V2" s="579"/>
      <c r="W2" s="579"/>
      <c r="X2" s="579"/>
      <c r="Y2" s="579"/>
      <c r="Z2" s="579"/>
      <c r="AA2" s="579"/>
      <c r="AB2" s="129"/>
    </row>
    <row r="3" spans="2:28">
      <c r="B3" s="401"/>
      <c r="C3" s="134" t="s">
        <v>2</v>
      </c>
      <c r="D3" s="134" t="s">
        <v>3</v>
      </c>
      <c r="E3" s="134" t="s">
        <v>4</v>
      </c>
      <c r="F3" s="134" t="s">
        <v>5</v>
      </c>
      <c r="G3" s="134" t="s">
        <v>6</v>
      </c>
      <c r="H3" s="134" t="s">
        <v>7</v>
      </c>
      <c r="I3" s="134" t="s">
        <v>8</v>
      </c>
      <c r="J3" s="134" t="s">
        <v>9</v>
      </c>
      <c r="K3" s="134" t="s">
        <v>10</v>
      </c>
      <c r="L3" s="134" t="s">
        <v>11</v>
      </c>
      <c r="M3" s="134" t="s">
        <v>12</v>
      </c>
      <c r="N3" s="134" t="s">
        <v>13</v>
      </c>
      <c r="O3" s="402" t="s">
        <v>14</v>
      </c>
      <c r="P3" s="403" t="s">
        <v>2</v>
      </c>
      <c r="Q3" s="403" t="s">
        <v>3</v>
      </c>
      <c r="R3" s="403" t="s">
        <v>4</v>
      </c>
      <c r="S3" s="403" t="s">
        <v>5</v>
      </c>
      <c r="T3" s="403" t="s">
        <v>6</v>
      </c>
      <c r="U3" s="403" t="s">
        <v>7</v>
      </c>
      <c r="V3" s="403" t="s">
        <v>8</v>
      </c>
      <c r="W3" s="403" t="s">
        <v>9</v>
      </c>
      <c r="X3" s="403" t="s">
        <v>10</v>
      </c>
      <c r="Y3" s="403" t="s">
        <v>11</v>
      </c>
      <c r="Z3" s="403" t="s">
        <v>12</v>
      </c>
      <c r="AA3" s="403" t="s">
        <v>13</v>
      </c>
      <c r="AB3" s="402" t="s">
        <v>14</v>
      </c>
    </row>
    <row r="4" spans="2:28">
      <c r="B4" s="404" t="s">
        <v>15</v>
      </c>
      <c r="C4" s="443"/>
      <c r="D4" s="443"/>
      <c r="E4" s="443"/>
      <c r="F4" s="443"/>
      <c r="G4" s="443"/>
      <c r="H4" s="443"/>
      <c r="I4" s="443"/>
      <c r="J4" s="443"/>
      <c r="K4" s="443"/>
      <c r="L4" s="443"/>
      <c r="M4" s="443"/>
      <c r="N4" s="443"/>
      <c r="O4" s="405"/>
      <c r="P4" s="469"/>
      <c r="Q4" s="406"/>
      <c r="R4" s="406"/>
      <c r="S4" s="406"/>
      <c r="T4" s="406"/>
      <c r="U4" s="406"/>
      <c r="V4" s="406"/>
      <c r="W4" s="406"/>
      <c r="X4" s="406"/>
      <c r="Y4" s="406"/>
      <c r="Z4" s="406"/>
      <c r="AA4" s="406"/>
      <c r="AB4" s="405"/>
    </row>
    <row r="5" spans="2:28">
      <c r="B5" s="407" t="s">
        <v>16</v>
      </c>
      <c r="C5" s="444">
        <v>556.29999999999995</v>
      </c>
      <c r="D5" s="444">
        <v>33077.51</v>
      </c>
      <c r="E5" s="444">
        <v>51305.32</v>
      </c>
      <c r="F5" s="444">
        <v>0</v>
      </c>
      <c r="G5" s="444">
        <v>37253.67</v>
      </c>
      <c r="H5" s="444">
        <v>0</v>
      </c>
      <c r="I5" s="444">
        <v>0</v>
      </c>
      <c r="J5" s="444">
        <v>24907.200000000001</v>
      </c>
      <c r="K5" s="444">
        <v>32803.199999999997</v>
      </c>
      <c r="L5" s="444">
        <v>19326.060000000001</v>
      </c>
      <c r="M5" s="444">
        <v>2174.17</v>
      </c>
      <c r="N5" s="444">
        <v>17183.670000000002</v>
      </c>
      <c r="O5" s="405">
        <v>218587.10000000003</v>
      </c>
      <c r="P5" s="444">
        <v>20013.439999999999</v>
      </c>
      <c r="Q5" s="408">
        <v>9188.82</v>
      </c>
      <c r="R5" s="408">
        <v>12093</v>
      </c>
      <c r="S5" s="408">
        <v>14132.5</v>
      </c>
      <c r="T5" s="408">
        <v>13450</v>
      </c>
      <c r="U5" s="408">
        <v>8561.1899999999987</v>
      </c>
      <c r="V5" s="408">
        <v>13856.189999999999</v>
      </c>
      <c r="W5" s="408">
        <v>8349</v>
      </c>
      <c r="X5" s="408">
        <v>22011</v>
      </c>
      <c r="Y5" s="408">
        <v>29601</v>
      </c>
      <c r="Z5" s="408">
        <v>15180</v>
      </c>
      <c r="AA5" s="408">
        <v>14049</v>
      </c>
      <c r="AB5" s="405">
        <v>180485.14</v>
      </c>
    </row>
    <row r="6" spans="2:28">
      <c r="B6" s="407" t="s">
        <v>17</v>
      </c>
      <c r="C6" s="444">
        <v>0</v>
      </c>
      <c r="D6" s="444">
        <v>0</v>
      </c>
      <c r="E6" s="444">
        <v>2310.58</v>
      </c>
      <c r="F6" s="444">
        <v>836.06000000000006</v>
      </c>
      <c r="G6" s="444">
        <v>4329.7136</v>
      </c>
      <c r="H6" s="444">
        <v>16.5</v>
      </c>
      <c r="I6" s="444">
        <v>383.08</v>
      </c>
      <c r="J6" s="444">
        <v>2104.3599999999997</v>
      </c>
      <c r="K6" s="444">
        <v>637.40000000000009</v>
      </c>
      <c r="L6" s="444">
        <v>632.11</v>
      </c>
      <c r="M6" s="444">
        <v>3107.1699999999996</v>
      </c>
      <c r="N6" s="444">
        <v>791.98</v>
      </c>
      <c r="O6" s="405">
        <v>15148.953600000001</v>
      </c>
      <c r="P6" s="444">
        <v>705.64</v>
      </c>
      <c r="Q6" s="408">
        <v>2948.81</v>
      </c>
      <c r="R6" s="408">
        <v>-1142.77</v>
      </c>
      <c r="S6" s="408">
        <v>700</v>
      </c>
      <c r="T6" s="408">
        <v>5568.9035999999996</v>
      </c>
      <c r="U6" s="408">
        <v>600</v>
      </c>
      <c r="V6" s="408">
        <v>1300</v>
      </c>
      <c r="W6" s="408">
        <v>1574.56</v>
      </c>
      <c r="X6" s="408">
        <v>725</v>
      </c>
      <c r="Y6" s="408">
        <v>600</v>
      </c>
      <c r="Z6" s="408">
        <v>2961.41</v>
      </c>
      <c r="AA6" s="408">
        <v>600</v>
      </c>
      <c r="AB6" s="405">
        <v>17141.553599999999</v>
      </c>
    </row>
    <row r="7" spans="2:28">
      <c r="B7" s="400"/>
      <c r="C7" s="436"/>
      <c r="D7" s="436"/>
      <c r="E7" s="436"/>
      <c r="F7" s="436"/>
      <c r="G7" s="436"/>
      <c r="H7" s="436"/>
      <c r="I7" s="436"/>
      <c r="J7" s="436"/>
      <c r="K7" s="436"/>
      <c r="L7" s="436"/>
      <c r="M7" s="436"/>
      <c r="N7" s="436"/>
      <c r="O7" s="405"/>
      <c r="P7" s="444"/>
      <c r="Q7" s="408"/>
      <c r="R7" s="408"/>
      <c r="S7" s="408"/>
      <c r="T7" s="408"/>
      <c r="U7" s="408"/>
      <c r="V7" s="408"/>
      <c r="W7" s="408"/>
      <c r="X7" s="408"/>
      <c r="Y7" s="408"/>
      <c r="Z7" s="408"/>
      <c r="AA7" s="408"/>
      <c r="AB7" s="405"/>
    </row>
    <row r="8" spans="2:28">
      <c r="B8" s="411" t="s">
        <v>18</v>
      </c>
      <c r="C8" s="444">
        <v>556.29999999999995</v>
      </c>
      <c r="D8" s="444">
        <v>33077.51</v>
      </c>
      <c r="E8" s="444">
        <v>48994.74</v>
      </c>
      <c r="F8" s="444">
        <v>-836.06000000000006</v>
      </c>
      <c r="G8" s="444">
        <v>32923.956399999995</v>
      </c>
      <c r="H8" s="444">
        <v>-16.5</v>
      </c>
      <c r="I8" s="444">
        <v>-383.08</v>
      </c>
      <c r="J8" s="444">
        <v>22802.84</v>
      </c>
      <c r="K8" s="444">
        <v>32165.799999999996</v>
      </c>
      <c r="L8" s="444">
        <v>18693.95</v>
      </c>
      <c r="M8" s="444">
        <v>-932.99999999999955</v>
      </c>
      <c r="N8" s="444">
        <v>16391.690000000002</v>
      </c>
      <c r="O8" s="405"/>
      <c r="P8" s="444">
        <v>19307.8</v>
      </c>
      <c r="Q8" s="408">
        <v>6240.01</v>
      </c>
      <c r="R8" s="408">
        <v>13235.77</v>
      </c>
      <c r="S8" s="408">
        <v>13432.5</v>
      </c>
      <c r="T8" s="408">
        <v>7881.0964000000004</v>
      </c>
      <c r="U8" s="408">
        <v>7961.1899999999987</v>
      </c>
      <c r="V8" s="408">
        <v>12556.189999999999</v>
      </c>
      <c r="W8" s="408">
        <v>6774.4400000000005</v>
      </c>
      <c r="X8" s="408">
        <v>21286</v>
      </c>
      <c r="Y8" s="408">
        <v>29001</v>
      </c>
      <c r="Z8" s="408">
        <v>12218.59</v>
      </c>
      <c r="AA8" s="408">
        <v>13449</v>
      </c>
      <c r="AB8" s="405"/>
    </row>
    <row r="9" spans="2:28">
      <c r="B9" s="413" t="s">
        <v>19</v>
      </c>
      <c r="C9" s="445">
        <v>556.29999999999995</v>
      </c>
      <c r="D9" s="445">
        <v>33633.810000000005</v>
      </c>
      <c r="E9" s="445">
        <v>82628.55</v>
      </c>
      <c r="F9" s="445">
        <v>81792.490000000005</v>
      </c>
      <c r="G9" s="445">
        <v>114716.4464</v>
      </c>
      <c r="H9" s="445">
        <v>114699.9464</v>
      </c>
      <c r="I9" s="445">
        <v>114316.8664</v>
      </c>
      <c r="J9" s="445">
        <v>137119.7064</v>
      </c>
      <c r="K9" s="445">
        <v>169285.50639999998</v>
      </c>
      <c r="L9" s="445">
        <v>187979.4564</v>
      </c>
      <c r="M9" s="445">
        <v>187046.4564</v>
      </c>
      <c r="N9" s="446">
        <v>203438.1464</v>
      </c>
      <c r="O9" s="416">
        <v>203438.14640000003</v>
      </c>
      <c r="P9" s="445">
        <v>19307.8</v>
      </c>
      <c r="Q9" s="414">
        <v>25547.809999999998</v>
      </c>
      <c r="R9" s="414">
        <v>38783.58</v>
      </c>
      <c r="S9" s="414">
        <v>52216.08</v>
      </c>
      <c r="T9" s="414">
        <v>60097.176400000004</v>
      </c>
      <c r="U9" s="414">
        <v>68058.366399999999</v>
      </c>
      <c r="V9" s="414">
        <v>80614.556400000001</v>
      </c>
      <c r="W9" s="414">
        <v>87388.996400000004</v>
      </c>
      <c r="X9" s="414">
        <v>108674.9964</v>
      </c>
      <c r="Y9" s="414">
        <v>137675.9964</v>
      </c>
      <c r="Z9" s="414">
        <v>149894.5864</v>
      </c>
      <c r="AA9" s="415">
        <v>163343.5864</v>
      </c>
      <c r="AB9" s="416">
        <v>163343.58640000003</v>
      </c>
    </row>
    <row r="10" spans="2:28">
      <c r="B10" s="404" t="s">
        <v>20</v>
      </c>
      <c r="C10" s="436"/>
      <c r="D10" s="436"/>
      <c r="E10" s="436"/>
      <c r="F10" s="436"/>
      <c r="G10" s="436"/>
      <c r="H10" s="436"/>
      <c r="I10" s="436"/>
      <c r="J10" s="436"/>
      <c r="K10" s="436"/>
      <c r="L10" s="436"/>
      <c r="M10" s="436"/>
      <c r="N10" s="436"/>
      <c r="O10" s="405"/>
      <c r="P10" s="444"/>
      <c r="Q10" s="408"/>
      <c r="R10" s="408"/>
      <c r="S10" s="408"/>
      <c r="T10" s="408"/>
      <c r="U10" s="408"/>
      <c r="V10" s="408"/>
      <c r="W10" s="408"/>
      <c r="X10" s="408"/>
      <c r="Y10" s="408"/>
      <c r="Z10" s="408"/>
      <c r="AA10" s="408"/>
      <c r="AB10" s="405"/>
    </row>
    <row r="11" spans="2:28">
      <c r="B11" s="407" t="s">
        <v>16</v>
      </c>
      <c r="C11" s="444">
        <v>4256.9500000000007</v>
      </c>
      <c r="D11" s="444">
        <v>280.97000000000003</v>
      </c>
      <c r="E11" s="444">
        <v>7918.95</v>
      </c>
      <c r="F11" s="444">
        <v>5851.5300000000007</v>
      </c>
      <c r="G11" s="444">
        <v>6817.68</v>
      </c>
      <c r="H11" s="444">
        <v>1725.36</v>
      </c>
      <c r="I11" s="444">
        <v>2334.5699999999997</v>
      </c>
      <c r="J11" s="444">
        <v>34055.67</v>
      </c>
      <c r="K11" s="444">
        <v>47976.100000000006</v>
      </c>
      <c r="L11" s="444">
        <v>21953.81</v>
      </c>
      <c r="M11" s="444">
        <v>11.84</v>
      </c>
      <c r="N11" s="444">
        <v>7039.3300000000008</v>
      </c>
      <c r="O11" s="405">
        <v>140222.75999999998</v>
      </c>
      <c r="P11" s="444">
        <v>1689.99</v>
      </c>
      <c r="Q11" s="408">
        <v>7042.67</v>
      </c>
      <c r="R11" s="408">
        <v>0</v>
      </c>
      <c r="S11" s="408">
        <v>0</v>
      </c>
      <c r="T11" s="408">
        <v>33800</v>
      </c>
      <c r="U11" s="408">
        <v>4032</v>
      </c>
      <c r="V11" s="408">
        <v>0</v>
      </c>
      <c r="W11" s="408">
        <v>0</v>
      </c>
      <c r="X11" s="408">
        <v>0</v>
      </c>
      <c r="Y11" s="408">
        <v>30000</v>
      </c>
      <c r="Z11" s="408">
        <v>60480</v>
      </c>
      <c r="AA11" s="408">
        <v>0</v>
      </c>
      <c r="AB11" s="405">
        <v>137044.66</v>
      </c>
    </row>
    <row r="12" spans="2:28">
      <c r="B12" s="407" t="s">
        <v>17</v>
      </c>
      <c r="C12" s="444">
        <v>0</v>
      </c>
      <c r="D12" s="444">
        <v>2580.2600000000002</v>
      </c>
      <c r="E12" s="444">
        <v>4060.27</v>
      </c>
      <c r="F12" s="444">
        <v>5231.09</v>
      </c>
      <c r="G12" s="444">
        <v>6014.37</v>
      </c>
      <c r="H12" s="444">
        <v>3635.26</v>
      </c>
      <c r="I12" s="444">
        <v>1494.8878999999999</v>
      </c>
      <c r="J12" s="444">
        <v>6161.8200000000006</v>
      </c>
      <c r="K12" s="444">
        <v>6469.5400000000009</v>
      </c>
      <c r="L12" s="444">
        <v>6495.07</v>
      </c>
      <c r="M12" s="444">
        <v>5823.6600000000008</v>
      </c>
      <c r="N12" s="444">
        <v>2236.42</v>
      </c>
      <c r="O12" s="405">
        <v>50202.647900000004</v>
      </c>
      <c r="P12" s="444">
        <v>1967.1399999999999</v>
      </c>
      <c r="Q12" s="408">
        <v>10</v>
      </c>
      <c r="R12" s="408">
        <v>186.07999999999998</v>
      </c>
      <c r="S12" s="408">
        <v>1251.77</v>
      </c>
      <c r="T12" s="408">
        <v>1416.1399999999999</v>
      </c>
      <c r="U12" s="408">
        <v>749.76</v>
      </c>
      <c r="V12" s="408">
        <v>260</v>
      </c>
      <c r="W12" s="408">
        <v>260</v>
      </c>
      <c r="X12" s="408">
        <v>260</v>
      </c>
      <c r="Y12" s="408">
        <v>260</v>
      </c>
      <c r="Z12" s="408">
        <v>260</v>
      </c>
      <c r="AA12" s="408">
        <v>260</v>
      </c>
      <c r="AB12" s="405">
        <v>7140.8899999999994</v>
      </c>
    </row>
    <row r="13" spans="2:28">
      <c r="B13" s="400"/>
      <c r="C13" s="436"/>
      <c r="D13" s="436"/>
      <c r="E13" s="436"/>
      <c r="F13" s="436"/>
      <c r="G13" s="436"/>
      <c r="H13" s="436"/>
      <c r="I13" s="436"/>
      <c r="J13" s="436"/>
      <c r="K13" s="436"/>
      <c r="L13" s="436"/>
      <c r="M13" s="436"/>
      <c r="N13" s="436"/>
      <c r="O13" s="405"/>
      <c r="P13" s="444"/>
      <c r="Q13" s="408"/>
      <c r="R13" s="408"/>
      <c r="S13" s="408"/>
      <c r="T13" s="408"/>
      <c r="U13" s="408"/>
      <c r="V13" s="408"/>
      <c r="W13" s="408"/>
      <c r="X13" s="408"/>
      <c r="Y13" s="408"/>
      <c r="Z13" s="408"/>
      <c r="AA13" s="408"/>
      <c r="AB13" s="405"/>
    </row>
    <row r="14" spans="2:28">
      <c r="B14" s="411" t="s">
        <v>18</v>
      </c>
      <c r="C14" s="444">
        <v>4256.9500000000007</v>
      </c>
      <c r="D14" s="444">
        <v>-2299.29</v>
      </c>
      <c r="E14" s="444">
        <v>3858.68</v>
      </c>
      <c r="F14" s="444">
        <v>620.44000000000051</v>
      </c>
      <c r="G14" s="444">
        <v>803.3100000000004</v>
      </c>
      <c r="H14" s="444">
        <v>-1909.9000000000003</v>
      </c>
      <c r="I14" s="444">
        <v>839.68209999999976</v>
      </c>
      <c r="J14" s="444">
        <v>27893.85</v>
      </c>
      <c r="K14" s="444">
        <v>41506.560000000005</v>
      </c>
      <c r="L14" s="444">
        <v>15458.740000000002</v>
      </c>
      <c r="M14" s="444">
        <v>-5811.8200000000006</v>
      </c>
      <c r="N14" s="444">
        <v>4802.9100000000008</v>
      </c>
      <c r="O14" s="405"/>
      <c r="P14" s="444">
        <v>-277.14999999999986</v>
      </c>
      <c r="Q14" s="408">
        <v>7032.67</v>
      </c>
      <c r="R14" s="408">
        <v>-186.07999999999998</v>
      </c>
      <c r="S14" s="408">
        <v>-1251.77</v>
      </c>
      <c r="T14" s="408">
        <v>32383.86</v>
      </c>
      <c r="U14" s="408">
        <v>3282.24</v>
      </c>
      <c r="V14" s="408">
        <v>-260</v>
      </c>
      <c r="W14" s="408">
        <v>-260</v>
      </c>
      <c r="X14" s="408">
        <v>-260</v>
      </c>
      <c r="Y14" s="408">
        <v>29740</v>
      </c>
      <c r="Z14" s="408">
        <v>60220</v>
      </c>
      <c r="AA14" s="408">
        <v>-260</v>
      </c>
      <c r="AB14" s="405"/>
    </row>
    <row r="15" spans="2:28">
      <c r="B15" s="413" t="s">
        <v>19</v>
      </c>
      <c r="C15" s="445">
        <v>4256.9500000000007</v>
      </c>
      <c r="D15" s="445">
        <v>1957.6600000000008</v>
      </c>
      <c r="E15" s="445">
        <v>5816.34</v>
      </c>
      <c r="F15" s="445">
        <v>6436.7800000000007</v>
      </c>
      <c r="G15" s="445">
        <v>7240.0900000000011</v>
      </c>
      <c r="H15" s="445">
        <v>5330.1900000000005</v>
      </c>
      <c r="I15" s="445">
        <v>6169.8721000000005</v>
      </c>
      <c r="J15" s="445">
        <v>34063.722099999999</v>
      </c>
      <c r="K15" s="445">
        <v>75570.282100000011</v>
      </c>
      <c r="L15" s="445">
        <v>91029.022100000017</v>
      </c>
      <c r="M15" s="445">
        <v>85217.20210000001</v>
      </c>
      <c r="N15" s="446">
        <v>90020.112100000013</v>
      </c>
      <c r="O15" s="416">
        <v>90020.112099999969</v>
      </c>
      <c r="P15" s="445">
        <v>-277.14999999999986</v>
      </c>
      <c r="Q15" s="414">
        <v>6755.52</v>
      </c>
      <c r="R15" s="414">
        <v>6569.4400000000005</v>
      </c>
      <c r="S15" s="414">
        <v>5317.67</v>
      </c>
      <c r="T15" s="414">
        <v>37701.53</v>
      </c>
      <c r="U15" s="414">
        <v>40983.769999999997</v>
      </c>
      <c r="V15" s="414">
        <v>40723.769999999997</v>
      </c>
      <c r="W15" s="414">
        <v>40463.769999999997</v>
      </c>
      <c r="X15" s="414">
        <v>40203.769999999997</v>
      </c>
      <c r="Y15" s="414">
        <v>69943.76999999999</v>
      </c>
      <c r="Z15" s="414">
        <v>130163.76999999999</v>
      </c>
      <c r="AA15" s="415">
        <v>129903.76999999999</v>
      </c>
      <c r="AB15" s="416">
        <v>129903.77</v>
      </c>
    </row>
    <row r="16" spans="2:28">
      <c r="B16" s="404" t="s">
        <v>21</v>
      </c>
      <c r="C16" s="436"/>
      <c r="D16" s="436"/>
      <c r="E16" s="436"/>
      <c r="F16" s="436"/>
      <c r="G16" s="436"/>
      <c r="H16" s="436"/>
      <c r="I16" s="436"/>
      <c r="J16" s="436"/>
      <c r="K16" s="436"/>
      <c r="L16" s="436"/>
      <c r="M16" s="436"/>
      <c r="N16" s="436"/>
      <c r="O16" s="405"/>
      <c r="P16" s="444"/>
      <c r="Q16" s="408"/>
      <c r="R16" s="408"/>
      <c r="S16" s="408"/>
      <c r="T16" s="408"/>
      <c r="U16" s="408"/>
      <c r="V16" s="408"/>
      <c r="W16" s="408"/>
      <c r="X16" s="408"/>
      <c r="Y16" s="408"/>
      <c r="Z16" s="408"/>
      <c r="AA16" s="408"/>
      <c r="AB16" s="405"/>
    </row>
    <row r="17" spans="2:28">
      <c r="B17" s="407" t="s">
        <v>16</v>
      </c>
      <c r="C17" s="444">
        <v>0</v>
      </c>
      <c r="D17" s="444">
        <v>0</v>
      </c>
      <c r="E17" s="444">
        <v>11902</v>
      </c>
      <c r="F17" s="444">
        <v>0</v>
      </c>
      <c r="G17" s="444">
        <v>2858.9</v>
      </c>
      <c r="H17" s="444">
        <v>0</v>
      </c>
      <c r="I17" s="444">
        <v>0</v>
      </c>
      <c r="J17" s="444">
        <v>0</v>
      </c>
      <c r="K17" s="444">
        <v>0</v>
      </c>
      <c r="L17" s="444">
        <v>0</v>
      </c>
      <c r="M17" s="444">
        <v>0</v>
      </c>
      <c r="N17" s="444">
        <v>0</v>
      </c>
      <c r="O17" s="405">
        <v>14760.9</v>
      </c>
      <c r="P17" s="444">
        <v>0</v>
      </c>
      <c r="Q17" s="408">
        <v>0</v>
      </c>
      <c r="R17" s="408">
        <v>0</v>
      </c>
      <c r="S17" s="408">
        <v>0</v>
      </c>
      <c r="T17" s="408">
        <v>0</v>
      </c>
      <c r="U17" s="408">
        <v>0</v>
      </c>
      <c r="V17" s="408">
        <v>0</v>
      </c>
      <c r="W17" s="408">
        <v>0</v>
      </c>
      <c r="X17" s="408">
        <v>0</v>
      </c>
      <c r="Y17" s="408">
        <v>0</v>
      </c>
      <c r="Z17" s="408">
        <v>0</v>
      </c>
      <c r="AA17" s="408">
        <v>0</v>
      </c>
      <c r="AB17" s="405">
        <v>0</v>
      </c>
    </row>
    <row r="18" spans="2:28">
      <c r="B18" s="407" t="s">
        <v>17</v>
      </c>
      <c r="C18" s="444">
        <v>0</v>
      </c>
      <c r="D18" s="444">
        <v>0</v>
      </c>
      <c r="E18" s="444">
        <v>363.84</v>
      </c>
      <c r="F18" s="444">
        <v>50.2</v>
      </c>
      <c r="G18" s="444">
        <v>0</v>
      </c>
      <c r="H18" s="444">
        <v>0</v>
      </c>
      <c r="I18" s="444">
        <v>0</v>
      </c>
      <c r="J18" s="444">
        <v>0</v>
      </c>
      <c r="K18" s="444">
        <v>16.5</v>
      </c>
      <c r="L18" s="444">
        <v>0</v>
      </c>
      <c r="M18" s="444">
        <v>0</v>
      </c>
      <c r="N18" s="444">
        <v>0</v>
      </c>
      <c r="O18" s="405">
        <v>430.53999999999996</v>
      </c>
      <c r="P18" s="444">
        <v>0</v>
      </c>
      <c r="Q18" s="408">
        <v>0</v>
      </c>
      <c r="R18" s="408">
        <v>0</v>
      </c>
      <c r="S18" s="408">
        <v>0</v>
      </c>
      <c r="T18" s="408">
        <v>0</v>
      </c>
      <c r="U18" s="408">
        <v>0</v>
      </c>
      <c r="V18" s="408">
        <v>0</v>
      </c>
      <c r="W18" s="408">
        <v>0</v>
      </c>
      <c r="X18" s="408">
        <v>0</v>
      </c>
      <c r="Y18" s="408">
        <v>0</v>
      </c>
      <c r="Z18" s="408">
        <v>0</v>
      </c>
      <c r="AA18" s="408">
        <v>0</v>
      </c>
      <c r="AB18" s="405">
        <v>0</v>
      </c>
    </row>
    <row r="19" spans="2:28">
      <c r="B19" s="400"/>
      <c r="C19" s="436"/>
      <c r="D19" s="436"/>
      <c r="E19" s="436"/>
      <c r="F19" s="436"/>
      <c r="G19" s="436"/>
      <c r="H19" s="436"/>
      <c r="I19" s="436"/>
      <c r="J19" s="436"/>
      <c r="K19" s="436"/>
      <c r="L19" s="436"/>
      <c r="M19" s="436"/>
      <c r="N19" s="436"/>
      <c r="O19" s="405"/>
      <c r="P19" s="444"/>
      <c r="Q19" s="408"/>
      <c r="R19" s="408"/>
      <c r="S19" s="408"/>
      <c r="T19" s="408"/>
      <c r="U19" s="408"/>
      <c r="V19" s="408"/>
      <c r="W19" s="408"/>
      <c r="X19" s="408"/>
      <c r="Y19" s="408"/>
      <c r="Z19" s="408"/>
      <c r="AA19" s="408"/>
      <c r="AB19" s="405"/>
    </row>
    <row r="20" spans="2:28">
      <c r="B20" s="411" t="s">
        <v>18</v>
      </c>
      <c r="C20" s="444">
        <v>0</v>
      </c>
      <c r="D20" s="444">
        <v>0</v>
      </c>
      <c r="E20" s="444">
        <v>11538.16</v>
      </c>
      <c r="F20" s="444">
        <v>-50.2</v>
      </c>
      <c r="G20" s="444">
        <v>2858.9</v>
      </c>
      <c r="H20" s="444">
        <v>0</v>
      </c>
      <c r="I20" s="444">
        <v>0</v>
      </c>
      <c r="J20" s="444">
        <v>0</v>
      </c>
      <c r="K20" s="444">
        <v>-16.5</v>
      </c>
      <c r="L20" s="444">
        <v>0</v>
      </c>
      <c r="M20" s="444">
        <v>0</v>
      </c>
      <c r="N20" s="444">
        <v>0</v>
      </c>
      <c r="O20" s="405"/>
      <c r="P20" s="444">
        <v>0</v>
      </c>
      <c r="Q20" s="408">
        <v>0</v>
      </c>
      <c r="R20" s="408">
        <v>0</v>
      </c>
      <c r="S20" s="408">
        <v>0</v>
      </c>
      <c r="T20" s="408">
        <v>0</v>
      </c>
      <c r="U20" s="408">
        <v>0</v>
      </c>
      <c r="V20" s="408">
        <v>0</v>
      </c>
      <c r="W20" s="408">
        <v>0</v>
      </c>
      <c r="X20" s="408">
        <v>0</v>
      </c>
      <c r="Y20" s="408">
        <v>0</v>
      </c>
      <c r="Z20" s="408">
        <v>0</v>
      </c>
      <c r="AA20" s="408">
        <v>0</v>
      </c>
      <c r="AB20" s="405"/>
    </row>
    <row r="21" spans="2:28">
      <c r="B21" s="413" t="s">
        <v>19</v>
      </c>
      <c r="C21" s="445">
        <v>0</v>
      </c>
      <c r="D21" s="445">
        <v>0</v>
      </c>
      <c r="E21" s="445">
        <v>11538.16</v>
      </c>
      <c r="F21" s="445">
        <v>11487.96</v>
      </c>
      <c r="G21" s="445">
        <v>14346.859999999999</v>
      </c>
      <c r="H21" s="445">
        <v>14346.859999999999</v>
      </c>
      <c r="I21" s="445">
        <v>14346.859999999999</v>
      </c>
      <c r="J21" s="445">
        <v>14346.859999999999</v>
      </c>
      <c r="K21" s="445">
        <v>14330.359999999999</v>
      </c>
      <c r="L21" s="445">
        <v>14330.359999999999</v>
      </c>
      <c r="M21" s="445">
        <v>14330.359999999999</v>
      </c>
      <c r="N21" s="446">
        <v>14330.359999999999</v>
      </c>
      <c r="O21" s="416">
        <v>14330.36</v>
      </c>
      <c r="P21" s="445">
        <v>0</v>
      </c>
      <c r="Q21" s="414">
        <v>0</v>
      </c>
      <c r="R21" s="414">
        <v>0</v>
      </c>
      <c r="S21" s="414">
        <v>0</v>
      </c>
      <c r="T21" s="414">
        <v>0</v>
      </c>
      <c r="U21" s="414">
        <v>0</v>
      </c>
      <c r="V21" s="414">
        <v>0</v>
      </c>
      <c r="W21" s="414">
        <v>0</v>
      </c>
      <c r="X21" s="414">
        <v>0</v>
      </c>
      <c r="Y21" s="414">
        <v>0</v>
      </c>
      <c r="Z21" s="414">
        <v>0</v>
      </c>
      <c r="AA21" s="415">
        <v>0</v>
      </c>
      <c r="AB21" s="416">
        <v>0</v>
      </c>
    </row>
    <row r="22" spans="2:28">
      <c r="B22" s="417" t="s">
        <v>22</v>
      </c>
      <c r="C22" s="444"/>
      <c r="D22" s="444"/>
      <c r="E22" s="444"/>
      <c r="F22" s="444"/>
      <c r="G22" s="444"/>
      <c r="H22" s="444"/>
      <c r="I22" s="444"/>
      <c r="J22" s="444"/>
      <c r="K22" s="444"/>
      <c r="L22" s="444"/>
      <c r="M22" s="444"/>
      <c r="N22" s="444"/>
      <c r="O22" s="405"/>
      <c r="P22" s="447"/>
      <c r="Q22" s="418"/>
      <c r="R22" s="418"/>
      <c r="S22" s="418"/>
      <c r="T22" s="418"/>
      <c r="U22" s="418"/>
      <c r="V22" s="418"/>
      <c r="W22" s="418"/>
      <c r="X22" s="418"/>
      <c r="Y22" s="418"/>
      <c r="Z22" s="418"/>
      <c r="AA22" s="418"/>
      <c r="AB22" s="405"/>
    </row>
    <row r="23" spans="2:28">
      <c r="B23" s="407" t="s">
        <v>23</v>
      </c>
      <c r="C23" s="444">
        <v>-5295.4100000000008</v>
      </c>
      <c r="D23" s="444">
        <v>-12564.860000000002</v>
      </c>
      <c r="E23" s="444">
        <v>-10574.679999999998</v>
      </c>
      <c r="F23" s="444">
        <v>-48375.95</v>
      </c>
      <c r="G23" s="444">
        <v>-31144.9882</v>
      </c>
      <c r="H23" s="444">
        <v>-7833.02</v>
      </c>
      <c r="I23" s="444">
        <v>-9072.1999999999989</v>
      </c>
      <c r="J23" s="444">
        <v>-9847.07</v>
      </c>
      <c r="K23" s="444">
        <v>-13520.649999999998</v>
      </c>
      <c r="L23" s="444">
        <v>-16253.919999999998</v>
      </c>
      <c r="M23" s="444">
        <v>-25828.970000000005</v>
      </c>
      <c r="N23" s="444">
        <v>-91147.8</v>
      </c>
      <c r="O23" s="405">
        <v>-281459.51819999999</v>
      </c>
      <c r="P23" s="447">
        <v>-6553.13</v>
      </c>
      <c r="Q23" s="418">
        <v>-56284.99000000002</v>
      </c>
      <c r="R23" s="418">
        <v>-26352.110000000004</v>
      </c>
      <c r="S23" s="418">
        <v>-13966.470000000001</v>
      </c>
      <c r="T23" s="418">
        <v>-7422.86</v>
      </c>
      <c r="U23" s="418">
        <v>-4859.6200000000008</v>
      </c>
      <c r="V23" s="418">
        <v>-12986.369999999999</v>
      </c>
      <c r="W23" s="418">
        <v>-9095.36</v>
      </c>
      <c r="X23" s="418">
        <v>-13334.45</v>
      </c>
      <c r="Y23" s="418">
        <v>-12310.01</v>
      </c>
      <c r="Z23" s="418">
        <v>-6970.36</v>
      </c>
      <c r="AA23" s="418">
        <v>-6597.86</v>
      </c>
      <c r="AB23" s="405">
        <v>-176733.59000000003</v>
      </c>
    </row>
    <row r="24" spans="2:28">
      <c r="B24" s="400"/>
      <c r="C24" s="444"/>
      <c r="D24" s="444"/>
      <c r="E24" s="444"/>
      <c r="F24" s="444"/>
      <c r="G24" s="444"/>
      <c r="H24" s="444"/>
      <c r="I24" s="444"/>
      <c r="J24" s="444"/>
      <c r="K24" s="444"/>
      <c r="L24" s="444"/>
      <c r="M24" s="444"/>
      <c r="N24" s="444"/>
      <c r="O24" s="405"/>
      <c r="P24" s="447"/>
      <c r="Q24" s="418"/>
      <c r="R24" s="418"/>
      <c r="S24" s="418"/>
      <c r="T24" s="418"/>
      <c r="U24" s="418"/>
      <c r="V24" s="418"/>
      <c r="W24" s="418"/>
      <c r="X24" s="418"/>
      <c r="Y24" s="418"/>
      <c r="Z24" s="418"/>
      <c r="AA24" s="418"/>
      <c r="AB24" s="405"/>
    </row>
    <row r="25" spans="2:28">
      <c r="B25" s="411" t="s">
        <v>18</v>
      </c>
      <c r="C25" s="447">
        <v>-5295.4100000000008</v>
      </c>
      <c r="D25" s="447">
        <v>-12564.860000000002</v>
      </c>
      <c r="E25" s="447">
        <v>-10574.679999999998</v>
      </c>
      <c r="F25" s="447">
        <v>-48375.95</v>
      </c>
      <c r="G25" s="447">
        <v>-31144.9882</v>
      </c>
      <c r="H25" s="447">
        <v>-7833.02</v>
      </c>
      <c r="I25" s="447">
        <v>-9072.1999999999989</v>
      </c>
      <c r="J25" s="447">
        <v>-9847.07</v>
      </c>
      <c r="K25" s="447">
        <v>-13520.649999999998</v>
      </c>
      <c r="L25" s="447">
        <v>-16253.919999999998</v>
      </c>
      <c r="M25" s="447">
        <v>-25828.970000000005</v>
      </c>
      <c r="N25" s="447">
        <v>-91147.8</v>
      </c>
      <c r="O25" s="405"/>
      <c r="P25" s="447">
        <v>-6553.13</v>
      </c>
      <c r="Q25" s="408">
        <v>-56284.99000000002</v>
      </c>
      <c r="R25" s="408">
        <v>-26352.110000000004</v>
      </c>
      <c r="S25" s="408">
        <v>-13966.470000000001</v>
      </c>
      <c r="T25" s="408">
        <v>-7422.86</v>
      </c>
      <c r="U25" s="408">
        <v>-4859.6200000000008</v>
      </c>
      <c r="V25" s="408">
        <v>-12986.369999999999</v>
      </c>
      <c r="W25" s="408">
        <v>-9095.36</v>
      </c>
      <c r="X25" s="408">
        <v>-13334.45</v>
      </c>
      <c r="Y25" s="408">
        <v>-12310.01</v>
      </c>
      <c r="Z25" s="408">
        <v>-6970.36</v>
      </c>
      <c r="AA25" s="408">
        <v>-6597.86</v>
      </c>
      <c r="AB25" s="405"/>
    </row>
    <row r="26" spans="2:28">
      <c r="B26" s="413" t="s">
        <v>24</v>
      </c>
      <c r="C26" s="448">
        <v>-5295.4100000000008</v>
      </c>
      <c r="D26" s="448">
        <v>-17860.270000000004</v>
      </c>
      <c r="E26" s="448">
        <v>-28434.950000000004</v>
      </c>
      <c r="F26" s="448">
        <v>-76810.899999999994</v>
      </c>
      <c r="G26" s="448">
        <v>-107955.88819999999</v>
      </c>
      <c r="H26" s="448">
        <v>-115788.90819999999</v>
      </c>
      <c r="I26" s="448">
        <v>-124861.10819999999</v>
      </c>
      <c r="J26" s="448">
        <v>-134708.17819999999</v>
      </c>
      <c r="K26" s="448">
        <v>-148228.82819999999</v>
      </c>
      <c r="L26" s="448">
        <v>-164482.74819999997</v>
      </c>
      <c r="M26" s="448">
        <v>-190311.71819999997</v>
      </c>
      <c r="N26" s="448">
        <v>-281459.51819999999</v>
      </c>
      <c r="O26" s="420">
        <v>-281459.51819999999</v>
      </c>
      <c r="P26" s="447">
        <v>-6553.13</v>
      </c>
      <c r="Q26" s="414">
        <v>-62838.120000000017</v>
      </c>
      <c r="R26" s="414">
        <v>-89190.230000000025</v>
      </c>
      <c r="S26" s="414">
        <v>-103156.70000000003</v>
      </c>
      <c r="T26" s="414">
        <v>-110579.56000000003</v>
      </c>
      <c r="U26" s="414">
        <v>-115439.18000000002</v>
      </c>
      <c r="V26" s="414">
        <v>-128425.55000000002</v>
      </c>
      <c r="W26" s="414">
        <v>-137520.91000000003</v>
      </c>
      <c r="X26" s="414">
        <v>-150855.36000000004</v>
      </c>
      <c r="Y26" s="414">
        <v>-163165.37000000005</v>
      </c>
      <c r="Z26" s="414">
        <v>-170135.73000000004</v>
      </c>
      <c r="AA26" s="415">
        <v>-176733.59000000003</v>
      </c>
      <c r="AB26" s="420">
        <v>-176733.59000000003</v>
      </c>
    </row>
    <row r="27" spans="2:28">
      <c r="B27" s="417" t="s">
        <v>25</v>
      </c>
      <c r="C27" s="449"/>
      <c r="D27" s="449"/>
      <c r="E27" s="449"/>
      <c r="F27" s="449"/>
      <c r="G27" s="449"/>
      <c r="H27" s="449"/>
      <c r="I27" s="449"/>
      <c r="J27" s="449"/>
      <c r="K27" s="449"/>
      <c r="L27" s="449"/>
      <c r="M27" s="449"/>
      <c r="N27" s="449"/>
      <c r="O27" s="405"/>
      <c r="P27" s="470"/>
      <c r="Q27" s="422"/>
      <c r="R27" s="422"/>
      <c r="S27" s="422"/>
      <c r="T27" s="422"/>
      <c r="U27" s="422"/>
      <c r="V27" s="422"/>
      <c r="W27" s="422"/>
      <c r="X27" s="422"/>
      <c r="Y27" s="422"/>
      <c r="Z27" s="422"/>
      <c r="AA27" s="422"/>
      <c r="AB27" s="405"/>
    </row>
    <row r="28" spans="2:28">
      <c r="B28" s="407" t="s">
        <v>23</v>
      </c>
      <c r="C28" s="444">
        <v>0</v>
      </c>
      <c r="D28" s="444">
        <v>0</v>
      </c>
      <c r="E28" s="444">
        <v>0</v>
      </c>
      <c r="F28" s="444">
        <v>0</v>
      </c>
      <c r="G28" s="444">
        <v>-544.5</v>
      </c>
      <c r="H28" s="444">
        <v>-10393.93</v>
      </c>
      <c r="I28" s="444">
        <v>0</v>
      </c>
      <c r="J28" s="444">
        <v>-1739.1550000000002</v>
      </c>
      <c r="K28" s="444">
        <v>-4112.8999999999996</v>
      </c>
      <c r="L28" s="444">
        <v>0</v>
      </c>
      <c r="M28" s="444">
        <v>0</v>
      </c>
      <c r="N28" s="444">
        <v>0</v>
      </c>
      <c r="O28" s="405">
        <v>-16790.485000000001</v>
      </c>
      <c r="P28" s="444">
        <v>0</v>
      </c>
      <c r="Q28" s="408">
        <v>0</v>
      </c>
      <c r="R28" s="408">
        <v>0</v>
      </c>
      <c r="S28" s="408">
        <v>0</v>
      </c>
      <c r="T28" s="408">
        <v>0</v>
      </c>
      <c r="U28" s="408">
        <v>0</v>
      </c>
      <c r="V28" s="408">
        <v>0</v>
      </c>
      <c r="W28" s="408">
        <v>0</v>
      </c>
      <c r="X28" s="408">
        <v>0</v>
      </c>
      <c r="Y28" s="408">
        <v>0</v>
      </c>
      <c r="Z28" s="408">
        <v>0</v>
      </c>
      <c r="AA28" s="408">
        <v>0</v>
      </c>
      <c r="AB28" s="405">
        <v>0</v>
      </c>
    </row>
    <row r="29" spans="2:28">
      <c r="B29" s="400"/>
      <c r="C29" s="444"/>
      <c r="D29" s="444"/>
      <c r="E29" s="444"/>
      <c r="F29" s="444"/>
      <c r="G29" s="444"/>
      <c r="H29" s="444"/>
      <c r="I29" s="444"/>
      <c r="J29" s="444"/>
      <c r="K29" s="444"/>
      <c r="L29" s="444"/>
      <c r="M29" s="444"/>
      <c r="N29" s="444"/>
      <c r="O29" s="405"/>
      <c r="P29" s="447"/>
      <c r="Q29" s="418"/>
      <c r="R29" s="418"/>
      <c r="S29" s="418"/>
      <c r="T29" s="418"/>
      <c r="U29" s="418"/>
      <c r="V29" s="418"/>
      <c r="W29" s="418"/>
      <c r="X29" s="418"/>
      <c r="Y29" s="418"/>
      <c r="Z29" s="418"/>
      <c r="AA29" s="418"/>
      <c r="AB29" s="405"/>
    </row>
    <row r="30" spans="2:28">
      <c r="B30" s="411" t="s">
        <v>26</v>
      </c>
      <c r="C30" s="447">
        <v>0</v>
      </c>
      <c r="D30" s="447">
        <v>0</v>
      </c>
      <c r="E30" s="447">
        <v>0</v>
      </c>
      <c r="F30" s="447">
        <v>0</v>
      </c>
      <c r="G30" s="447">
        <v>-544.5</v>
      </c>
      <c r="H30" s="447">
        <v>-10393.93</v>
      </c>
      <c r="I30" s="447">
        <v>0</v>
      </c>
      <c r="J30" s="447">
        <v>-1739.1550000000002</v>
      </c>
      <c r="K30" s="447">
        <v>-4112.8999999999996</v>
      </c>
      <c r="L30" s="447">
        <v>0</v>
      </c>
      <c r="M30" s="447">
        <v>0</v>
      </c>
      <c r="N30" s="447">
        <v>0</v>
      </c>
      <c r="O30" s="405"/>
      <c r="P30" s="447">
        <v>0</v>
      </c>
      <c r="Q30" s="408">
        <v>0</v>
      </c>
      <c r="R30" s="408">
        <v>0</v>
      </c>
      <c r="S30" s="408">
        <v>0</v>
      </c>
      <c r="T30" s="408">
        <v>0</v>
      </c>
      <c r="U30" s="408">
        <v>0</v>
      </c>
      <c r="V30" s="408">
        <v>0</v>
      </c>
      <c r="W30" s="408">
        <v>0</v>
      </c>
      <c r="X30" s="408">
        <v>0</v>
      </c>
      <c r="Y30" s="408">
        <v>0</v>
      </c>
      <c r="Z30" s="408">
        <v>0</v>
      </c>
      <c r="AA30" s="408">
        <v>0</v>
      </c>
      <c r="AB30" s="405"/>
    </row>
    <row r="31" spans="2:28">
      <c r="B31" s="413" t="s">
        <v>24</v>
      </c>
      <c r="C31" s="448">
        <v>0</v>
      </c>
      <c r="D31" s="448">
        <v>0</v>
      </c>
      <c r="E31" s="448">
        <v>0</v>
      </c>
      <c r="F31" s="448">
        <v>0</v>
      </c>
      <c r="G31" s="448">
        <v>-544.5</v>
      </c>
      <c r="H31" s="448">
        <v>-10938.43</v>
      </c>
      <c r="I31" s="448">
        <v>-10938.43</v>
      </c>
      <c r="J31" s="448">
        <v>-12677.585000000001</v>
      </c>
      <c r="K31" s="448">
        <v>-16790.485000000001</v>
      </c>
      <c r="L31" s="448">
        <v>-16790.485000000001</v>
      </c>
      <c r="M31" s="448">
        <v>-16790.485000000001</v>
      </c>
      <c r="N31" s="448">
        <v>-16790.485000000001</v>
      </c>
      <c r="O31" s="420">
        <v>-16790.485000000001</v>
      </c>
      <c r="P31" s="447">
        <v>0</v>
      </c>
      <c r="Q31" s="414">
        <v>0</v>
      </c>
      <c r="R31" s="414">
        <v>0</v>
      </c>
      <c r="S31" s="414">
        <v>0</v>
      </c>
      <c r="T31" s="414">
        <v>0</v>
      </c>
      <c r="U31" s="414">
        <v>0</v>
      </c>
      <c r="V31" s="414">
        <v>0</v>
      </c>
      <c r="W31" s="414">
        <v>0</v>
      </c>
      <c r="X31" s="414">
        <v>0</v>
      </c>
      <c r="Y31" s="414">
        <v>0</v>
      </c>
      <c r="Z31" s="414">
        <v>0</v>
      </c>
      <c r="AA31" s="415">
        <v>0</v>
      </c>
      <c r="AB31" s="420">
        <v>0</v>
      </c>
    </row>
    <row r="32" spans="2:28">
      <c r="B32" s="404" t="s">
        <v>27</v>
      </c>
      <c r="C32" s="444">
        <v>743.04999999999927</v>
      </c>
      <c r="D32" s="444">
        <v>9000</v>
      </c>
      <c r="E32" s="444">
        <v>0</v>
      </c>
      <c r="F32" s="444">
        <v>0</v>
      </c>
      <c r="G32" s="444">
        <v>0</v>
      </c>
      <c r="H32" s="444">
        <v>0</v>
      </c>
      <c r="I32" s="444">
        <v>0</v>
      </c>
      <c r="J32" s="444">
        <v>0</v>
      </c>
      <c r="K32" s="444">
        <v>0</v>
      </c>
      <c r="L32" s="444">
        <v>0</v>
      </c>
      <c r="M32" s="444">
        <v>0</v>
      </c>
      <c r="N32" s="444">
        <v>0</v>
      </c>
      <c r="O32" s="405">
        <v>9743.0499999999993</v>
      </c>
      <c r="P32" s="470">
        <v>0</v>
      </c>
      <c r="Q32" s="422">
        <v>30000</v>
      </c>
      <c r="R32" s="422">
        <v>0</v>
      </c>
      <c r="S32" s="422">
        <v>0</v>
      </c>
      <c r="T32" s="422">
        <v>-30000</v>
      </c>
      <c r="U32" s="422">
        <v>0</v>
      </c>
      <c r="V32" s="422">
        <v>0</v>
      </c>
      <c r="W32" s="422">
        <v>0</v>
      </c>
      <c r="X32" s="422">
        <v>0</v>
      </c>
      <c r="Y32" s="422">
        <v>0</v>
      </c>
      <c r="Z32" s="422">
        <v>0</v>
      </c>
      <c r="AA32" s="422">
        <v>0</v>
      </c>
      <c r="AB32" s="405">
        <v>0</v>
      </c>
    </row>
    <row r="33" spans="2:28">
      <c r="B33" s="400"/>
      <c r="C33" s="444"/>
      <c r="D33" s="444"/>
      <c r="E33" s="444"/>
      <c r="F33" s="444"/>
      <c r="G33" s="444"/>
      <c r="H33" s="444"/>
      <c r="I33" s="444"/>
      <c r="J33" s="444"/>
      <c r="K33" s="444"/>
      <c r="L33" s="444"/>
      <c r="M33" s="444"/>
      <c r="N33" s="444"/>
      <c r="O33" s="405"/>
      <c r="P33" s="444"/>
      <c r="Q33" s="408"/>
      <c r="R33" s="408"/>
      <c r="S33" s="408"/>
      <c r="T33" s="408"/>
      <c r="U33" s="408"/>
      <c r="V33" s="408"/>
      <c r="W33" s="408"/>
      <c r="X33" s="408"/>
      <c r="Y33" s="408"/>
      <c r="Z33" s="408"/>
      <c r="AA33" s="408"/>
      <c r="AB33" s="405"/>
    </row>
    <row r="34" spans="2:28">
      <c r="B34" s="411" t="s">
        <v>28</v>
      </c>
      <c r="C34" s="447">
        <v>743.04999999999927</v>
      </c>
      <c r="D34" s="447">
        <v>9000</v>
      </c>
      <c r="E34" s="447">
        <v>0</v>
      </c>
      <c r="F34" s="447">
        <v>0</v>
      </c>
      <c r="G34" s="447">
        <v>0</v>
      </c>
      <c r="H34" s="447">
        <v>0</v>
      </c>
      <c r="I34" s="447">
        <v>0</v>
      </c>
      <c r="J34" s="447">
        <v>0</v>
      </c>
      <c r="K34" s="447">
        <v>0</v>
      </c>
      <c r="L34" s="447">
        <v>0</v>
      </c>
      <c r="M34" s="447">
        <v>0</v>
      </c>
      <c r="N34" s="447">
        <v>0</v>
      </c>
      <c r="O34" s="405"/>
      <c r="P34" s="447">
        <v>0</v>
      </c>
      <c r="Q34" s="418">
        <v>30000</v>
      </c>
      <c r="R34" s="418">
        <v>0</v>
      </c>
      <c r="S34" s="418">
        <v>0</v>
      </c>
      <c r="T34" s="418">
        <v>-30000</v>
      </c>
      <c r="U34" s="418">
        <v>0</v>
      </c>
      <c r="V34" s="418">
        <v>0</v>
      </c>
      <c r="W34" s="418">
        <v>0</v>
      </c>
      <c r="X34" s="418">
        <v>0</v>
      </c>
      <c r="Y34" s="418">
        <v>0</v>
      </c>
      <c r="Z34" s="418">
        <v>0</v>
      </c>
      <c r="AA34" s="418">
        <v>0</v>
      </c>
      <c r="AB34" s="405"/>
    </row>
    <row r="35" spans="2:28">
      <c r="B35" s="413" t="s">
        <v>29</v>
      </c>
      <c r="C35" s="448">
        <v>743.04999999999927</v>
      </c>
      <c r="D35" s="448">
        <v>9743.0499999999993</v>
      </c>
      <c r="E35" s="448">
        <v>9743.0499999999993</v>
      </c>
      <c r="F35" s="448">
        <v>9743.0499999999993</v>
      </c>
      <c r="G35" s="448">
        <v>9743.0499999999993</v>
      </c>
      <c r="H35" s="448">
        <v>9743.0499999999993</v>
      </c>
      <c r="I35" s="448">
        <v>9743.0499999999993</v>
      </c>
      <c r="J35" s="448">
        <v>9743.0499999999993</v>
      </c>
      <c r="K35" s="448">
        <v>9743.0499999999993</v>
      </c>
      <c r="L35" s="448">
        <v>9743.0499999999993</v>
      </c>
      <c r="M35" s="448">
        <v>9743.0499999999993</v>
      </c>
      <c r="N35" s="448">
        <v>9743.0499999999993</v>
      </c>
      <c r="O35" s="420">
        <v>9743.0499999999993</v>
      </c>
      <c r="P35" s="448">
        <v>0</v>
      </c>
      <c r="Q35" s="419">
        <v>30000</v>
      </c>
      <c r="R35" s="419">
        <v>30000</v>
      </c>
      <c r="S35" s="419">
        <v>30000</v>
      </c>
      <c r="T35" s="419">
        <v>0</v>
      </c>
      <c r="U35" s="419">
        <v>0</v>
      </c>
      <c r="V35" s="419">
        <v>0</v>
      </c>
      <c r="W35" s="419">
        <v>0</v>
      </c>
      <c r="X35" s="419">
        <v>0</v>
      </c>
      <c r="Y35" s="419">
        <v>0</v>
      </c>
      <c r="Z35" s="419">
        <v>0</v>
      </c>
      <c r="AA35" s="419">
        <v>0</v>
      </c>
      <c r="AB35" s="420">
        <v>0</v>
      </c>
    </row>
    <row r="36" spans="2:28">
      <c r="B36" s="400"/>
      <c r="C36" s="436"/>
      <c r="D36" s="436"/>
      <c r="E36" s="436"/>
      <c r="F36" s="436"/>
      <c r="G36" s="436"/>
      <c r="H36" s="436"/>
      <c r="I36" s="436"/>
      <c r="J36" s="436"/>
      <c r="K36" s="436"/>
      <c r="L36" s="436"/>
      <c r="M36" s="436"/>
      <c r="N36" s="436"/>
      <c r="O36" s="405"/>
      <c r="P36" s="444"/>
      <c r="Q36" s="408"/>
      <c r="R36" s="408"/>
      <c r="S36" s="408"/>
      <c r="T36" s="408"/>
      <c r="U36" s="408"/>
      <c r="V36" s="408"/>
      <c r="W36" s="408"/>
      <c r="X36" s="408"/>
      <c r="Y36" s="408"/>
      <c r="Z36" s="408"/>
      <c r="AA36" s="408"/>
      <c r="AB36" s="405"/>
    </row>
    <row r="37" spans="2:28">
      <c r="B37" s="404" t="s">
        <v>30</v>
      </c>
      <c r="C37" s="450">
        <v>260.88999999999942</v>
      </c>
      <c r="D37" s="450">
        <v>27213.360000000001</v>
      </c>
      <c r="E37" s="450">
        <v>53816.9</v>
      </c>
      <c r="F37" s="450">
        <v>-48641.77</v>
      </c>
      <c r="G37" s="450">
        <v>4896.6781999999948</v>
      </c>
      <c r="H37" s="450">
        <v>-20153.349999999999</v>
      </c>
      <c r="I37" s="450">
        <v>-8615.5978999999988</v>
      </c>
      <c r="J37" s="450">
        <v>39110.465000000004</v>
      </c>
      <c r="K37" s="450">
        <v>56022.310000000005</v>
      </c>
      <c r="L37" s="450">
        <v>17898.770000000004</v>
      </c>
      <c r="M37" s="450">
        <v>-32573.790000000005</v>
      </c>
      <c r="N37" s="450">
        <v>-69953.2</v>
      </c>
      <c r="O37" s="425">
        <v>19281.66529999999</v>
      </c>
      <c r="P37" s="450">
        <v>12477.519999999997</v>
      </c>
      <c r="Q37" s="424">
        <v>-13012.310000000019</v>
      </c>
      <c r="R37" s="424">
        <v>-13302.420000000004</v>
      </c>
      <c r="S37" s="424">
        <v>-1785.7400000000016</v>
      </c>
      <c r="T37" s="424">
        <v>2842.0964000000022</v>
      </c>
      <c r="U37" s="424">
        <v>6383.8099999999977</v>
      </c>
      <c r="V37" s="424">
        <v>-690.18000000000029</v>
      </c>
      <c r="W37" s="424">
        <v>-2580.92</v>
      </c>
      <c r="X37" s="424">
        <v>7691.5499999999993</v>
      </c>
      <c r="Y37" s="424">
        <v>46430.99</v>
      </c>
      <c r="Z37" s="424">
        <v>65468.229999999996</v>
      </c>
      <c r="AA37" s="424">
        <v>6591.14</v>
      </c>
      <c r="AB37" s="425">
        <v>116513.76640000002</v>
      </c>
    </row>
    <row r="38" spans="2:28">
      <c r="B38" s="426" t="s">
        <v>31</v>
      </c>
      <c r="C38" s="451"/>
      <c r="D38" s="451"/>
      <c r="E38" s="451"/>
      <c r="F38" s="451"/>
      <c r="G38" s="451"/>
      <c r="H38" s="451"/>
      <c r="I38" s="451"/>
      <c r="J38" s="451"/>
      <c r="K38" s="451"/>
      <c r="L38" s="451"/>
      <c r="M38" s="451"/>
      <c r="N38" s="451"/>
      <c r="O38" s="427">
        <v>0</v>
      </c>
      <c r="P38" s="471"/>
      <c r="Q38" s="428"/>
      <c r="R38" s="428"/>
      <c r="S38" s="428"/>
      <c r="T38" s="428"/>
      <c r="U38" s="428"/>
      <c r="V38" s="428"/>
      <c r="W38" s="428"/>
      <c r="X38" s="428"/>
      <c r="Y38" s="428"/>
      <c r="Z38" s="428"/>
      <c r="AA38" s="428"/>
      <c r="AB38" s="427">
        <v>0</v>
      </c>
    </row>
    <row r="39" spans="2:28">
      <c r="B39" s="429" t="s">
        <v>32</v>
      </c>
      <c r="C39" s="452"/>
      <c r="D39" s="452"/>
      <c r="E39" s="452"/>
      <c r="F39" s="452"/>
      <c r="G39" s="452"/>
      <c r="H39" s="452"/>
      <c r="I39" s="452"/>
      <c r="J39" s="452"/>
      <c r="K39" s="452"/>
      <c r="L39" s="452"/>
      <c r="M39" s="452"/>
      <c r="N39" s="452"/>
      <c r="O39" s="440"/>
      <c r="P39" s="453"/>
      <c r="Q39" s="431"/>
      <c r="R39" s="431"/>
      <c r="S39" s="431"/>
      <c r="T39" s="431"/>
      <c r="U39" s="431"/>
      <c r="V39" s="431"/>
      <c r="W39" s="431"/>
      <c r="X39" s="431"/>
      <c r="Y39" s="431"/>
      <c r="Z39" s="431"/>
      <c r="AA39" s="431"/>
      <c r="AB39" s="430"/>
    </row>
    <row r="40" spans="2:28">
      <c r="B40" s="400"/>
      <c r="C40" s="436"/>
      <c r="D40" s="436"/>
      <c r="E40" s="436"/>
      <c r="F40" s="436"/>
      <c r="G40" s="436"/>
      <c r="H40" s="436"/>
      <c r="I40" s="436"/>
      <c r="J40" s="436"/>
      <c r="K40" s="436"/>
      <c r="L40" s="436"/>
      <c r="M40" s="436"/>
      <c r="N40" s="436"/>
      <c r="O40" s="440"/>
      <c r="P40" s="444"/>
      <c r="Q40" s="408"/>
      <c r="R40" s="408"/>
      <c r="S40" s="408"/>
      <c r="T40" s="408"/>
      <c r="U40" s="408"/>
      <c r="V40" s="408"/>
      <c r="W40" s="408"/>
      <c r="X40" s="408"/>
      <c r="Y40" s="408"/>
      <c r="Z40" s="408"/>
      <c r="AA40" s="408"/>
      <c r="AB40" s="430"/>
    </row>
    <row r="41" spans="2:28">
      <c r="B41" s="404" t="s">
        <v>33</v>
      </c>
      <c r="C41" s="450">
        <v>260.88999999999942</v>
      </c>
      <c r="D41" s="450">
        <v>27213.360000000001</v>
      </c>
      <c r="E41" s="450">
        <v>53816.9</v>
      </c>
      <c r="F41" s="450">
        <v>-48641.77</v>
      </c>
      <c r="G41" s="450">
        <v>4896.6781999999948</v>
      </c>
      <c r="H41" s="450">
        <v>-20153.349999999999</v>
      </c>
      <c r="I41" s="450">
        <v>-8615.5978999999988</v>
      </c>
      <c r="J41" s="450">
        <v>39110.465000000004</v>
      </c>
      <c r="K41" s="450">
        <v>56022.310000000005</v>
      </c>
      <c r="L41" s="450">
        <v>17898.770000000004</v>
      </c>
      <c r="M41" s="450">
        <v>-32573.790000000005</v>
      </c>
      <c r="N41" s="450">
        <v>-69953.2</v>
      </c>
      <c r="O41" s="442"/>
      <c r="P41" s="450">
        <v>12477.519999999997</v>
      </c>
      <c r="Q41" s="424">
        <v>-13012.310000000019</v>
      </c>
      <c r="R41" s="424">
        <v>-13302.420000000004</v>
      </c>
      <c r="S41" s="424">
        <v>-1785.7400000000016</v>
      </c>
      <c r="T41" s="424">
        <v>2842.0964000000022</v>
      </c>
      <c r="U41" s="424">
        <v>6383.8099999999977</v>
      </c>
      <c r="V41" s="424">
        <v>-690.18000000000029</v>
      </c>
      <c r="W41" s="424">
        <v>-2580.92</v>
      </c>
      <c r="X41" s="424">
        <v>7691.5499999999993</v>
      </c>
      <c r="Y41" s="424">
        <v>46430.99</v>
      </c>
      <c r="Z41" s="424">
        <v>65468.229999999996</v>
      </c>
      <c r="AA41" s="424">
        <v>6591.14</v>
      </c>
      <c r="AB41" s="430"/>
    </row>
    <row r="42" spans="2:28">
      <c r="B42" s="429" t="s">
        <v>34</v>
      </c>
      <c r="C42" s="453">
        <v>260.88999999999942</v>
      </c>
      <c r="D42" s="453">
        <v>27474.25</v>
      </c>
      <c r="E42" s="453">
        <v>81291.149999999994</v>
      </c>
      <c r="F42" s="453">
        <v>32649.379999999997</v>
      </c>
      <c r="G42" s="453">
        <v>37546.058199999992</v>
      </c>
      <c r="H42" s="453">
        <v>17392.708199999994</v>
      </c>
      <c r="I42" s="453">
        <v>8777.1102999999948</v>
      </c>
      <c r="J42" s="453">
        <v>47887.575299999997</v>
      </c>
      <c r="K42" s="453">
        <v>103909.88529999999</v>
      </c>
      <c r="L42" s="453">
        <v>121808.6553</v>
      </c>
      <c r="M42" s="453">
        <v>89234.86529999999</v>
      </c>
      <c r="N42" s="453">
        <v>19281.665299999993</v>
      </c>
      <c r="O42" s="441"/>
      <c r="P42" s="453">
        <v>12477.519999999997</v>
      </c>
      <c r="Q42" s="431">
        <v>-534.7900000000227</v>
      </c>
      <c r="R42" s="431">
        <v>-13837.210000000026</v>
      </c>
      <c r="S42" s="431">
        <v>-15622.950000000028</v>
      </c>
      <c r="T42" s="431">
        <v>-12780.853600000026</v>
      </c>
      <c r="U42" s="431">
        <v>-6397.0436000000282</v>
      </c>
      <c r="V42" s="431">
        <v>-7087.2236000000285</v>
      </c>
      <c r="W42" s="431">
        <v>-9668.1436000000285</v>
      </c>
      <c r="X42" s="431">
        <v>-1976.5936000000293</v>
      </c>
      <c r="Y42" s="431">
        <v>44454.396399999969</v>
      </c>
      <c r="Z42" s="431">
        <v>109922.62639999996</v>
      </c>
      <c r="AA42" s="431">
        <v>116513.76639999996</v>
      </c>
      <c r="AB42" s="432"/>
    </row>
    <row r="43" spans="2:28">
      <c r="B43" s="400"/>
      <c r="C43" s="436"/>
      <c r="D43" s="436"/>
      <c r="E43" s="436"/>
      <c r="F43" s="436"/>
      <c r="G43" s="436"/>
      <c r="H43" s="436"/>
      <c r="I43" s="436"/>
      <c r="J43" s="436"/>
      <c r="K43" s="436"/>
      <c r="L43" s="436"/>
      <c r="M43" s="436"/>
      <c r="N43" s="436"/>
      <c r="O43" s="440"/>
      <c r="P43" s="444"/>
      <c r="Q43" s="408"/>
      <c r="R43" s="408"/>
      <c r="S43" s="408"/>
      <c r="T43" s="408"/>
      <c r="U43" s="408"/>
      <c r="V43" s="408"/>
      <c r="W43" s="408"/>
      <c r="X43" s="408"/>
      <c r="Y43" s="408"/>
      <c r="Z43" s="408"/>
      <c r="AA43" s="408"/>
      <c r="AB43" s="430"/>
    </row>
    <row r="44" spans="2:28">
      <c r="B44" s="407" t="s">
        <v>35</v>
      </c>
      <c r="C44" s="444">
        <v>1178.5999999999995</v>
      </c>
      <c r="D44" s="444">
        <v>1439.4899999999989</v>
      </c>
      <c r="E44" s="444">
        <v>28652.85</v>
      </c>
      <c r="F44" s="444">
        <v>82469.75</v>
      </c>
      <c r="G44" s="444">
        <v>33827.980000000003</v>
      </c>
      <c r="H44" s="444">
        <v>38724.658199999998</v>
      </c>
      <c r="I44" s="444">
        <v>18571.308199999999</v>
      </c>
      <c r="J44" s="444">
        <v>9955.7103000000006</v>
      </c>
      <c r="K44" s="444">
        <v>49066.175300000003</v>
      </c>
      <c r="L44" s="444">
        <v>105088.4853</v>
      </c>
      <c r="M44" s="444">
        <v>122987.2553</v>
      </c>
      <c r="N44" s="444">
        <v>90413.465299999996</v>
      </c>
      <c r="O44" s="440"/>
      <c r="P44" s="444">
        <v>20460.265299999999</v>
      </c>
      <c r="Q44" s="408">
        <v>32937.785299999996</v>
      </c>
      <c r="R44" s="408">
        <v>19925.475299999976</v>
      </c>
      <c r="S44" s="408">
        <v>6623.0552999999727</v>
      </c>
      <c r="T44" s="408">
        <v>4837.3152999999711</v>
      </c>
      <c r="U44" s="408">
        <v>7679.4116999999733</v>
      </c>
      <c r="V44" s="408">
        <v>14063.221699999971</v>
      </c>
      <c r="W44" s="408">
        <v>13373.041699999971</v>
      </c>
      <c r="X44" s="408">
        <v>10792.121699999971</v>
      </c>
      <c r="Y44" s="408">
        <v>18483.67169999997</v>
      </c>
      <c r="Z44" s="408">
        <v>64914.661699999968</v>
      </c>
      <c r="AA44" s="408">
        <v>130382.89169999996</v>
      </c>
      <c r="AB44" s="430"/>
    </row>
    <row r="45" spans="2:28">
      <c r="B45" s="407" t="s">
        <v>36</v>
      </c>
      <c r="C45" s="444">
        <v>260.88999999999942</v>
      </c>
      <c r="D45" s="444">
        <v>27213.360000000001</v>
      </c>
      <c r="E45" s="444">
        <v>53816.9</v>
      </c>
      <c r="F45" s="444">
        <v>-48641.77</v>
      </c>
      <c r="G45" s="444">
        <v>4896.6781999999948</v>
      </c>
      <c r="H45" s="444">
        <v>-20153.349999999999</v>
      </c>
      <c r="I45" s="444">
        <v>-8615.5978999999988</v>
      </c>
      <c r="J45" s="444">
        <v>39110.465000000004</v>
      </c>
      <c r="K45" s="444">
        <v>56022.310000000005</v>
      </c>
      <c r="L45" s="444">
        <v>17898.770000000004</v>
      </c>
      <c r="M45" s="444">
        <v>-32573.790000000005</v>
      </c>
      <c r="N45" s="444">
        <v>-69953.2</v>
      </c>
      <c r="O45" s="440"/>
      <c r="P45" s="444">
        <v>12477.519999999997</v>
      </c>
      <c r="Q45" s="408">
        <v>-13012.310000000019</v>
      </c>
      <c r="R45" s="408">
        <v>-13302.420000000004</v>
      </c>
      <c r="S45" s="408">
        <v>-1785.7400000000016</v>
      </c>
      <c r="T45" s="408">
        <v>2842.0964000000022</v>
      </c>
      <c r="U45" s="408">
        <v>6383.8099999999977</v>
      </c>
      <c r="V45" s="408">
        <v>-690.18000000000029</v>
      </c>
      <c r="W45" s="408">
        <v>-2580.92</v>
      </c>
      <c r="X45" s="408">
        <v>7691.5499999999993</v>
      </c>
      <c r="Y45" s="408">
        <v>46430.99</v>
      </c>
      <c r="Z45" s="408">
        <v>65468.229999999996</v>
      </c>
      <c r="AA45" s="408">
        <v>6591.14</v>
      </c>
      <c r="AB45" s="430"/>
    </row>
    <row r="46" spans="2:28">
      <c r="B46" s="429" t="s">
        <v>37</v>
      </c>
      <c r="C46" s="453">
        <v>1439.4899999999989</v>
      </c>
      <c r="D46" s="453">
        <v>28652.85</v>
      </c>
      <c r="E46" s="453">
        <v>82469.75</v>
      </c>
      <c r="F46" s="453">
        <v>33827.980000000003</v>
      </c>
      <c r="G46" s="453">
        <v>38724.658199999998</v>
      </c>
      <c r="H46" s="453">
        <v>18571.308199999999</v>
      </c>
      <c r="I46" s="453">
        <v>9955.7103000000006</v>
      </c>
      <c r="J46" s="453">
        <v>49066.175300000003</v>
      </c>
      <c r="K46" s="453">
        <v>105088.4853</v>
      </c>
      <c r="L46" s="453">
        <v>122987.2553</v>
      </c>
      <c r="M46" s="453">
        <v>90413.465299999996</v>
      </c>
      <c r="N46" s="453">
        <v>20460.265299999999</v>
      </c>
      <c r="O46" s="441"/>
      <c r="P46" s="453">
        <v>32937.785299999996</v>
      </c>
      <c r="Q46" s="431">
        <v>19925.475299999976</v>
      </c>
      <c r="R46" s="431">
        <v>6623.0552999999727</v>
      </c>
      <c r="S46" s="431">
        <v>4837.3152999999711</v>
      </c>
      <c r="T46" s="431">
        <v>7679.4116999999733</v>
      </c>
      <c r="U46" s="431">
        <v>14063.221699999971</v>
      </c>
      <c r="V46" s="431">
        <v>13373.041699999971</v>
      </c>
      <c r="W46" s="431">
        <v>10792.121699999971</v>
      </c>
      <c r="X46" s="431">
        <v>18483.67169999997</v>
      </c>
      <c r="Y46" s="431">
        <v>64914.661699999968</v>
      </c>
      <c r="Z46" s="431">
        <v>130382.89169999996</v>
      </c>
      <c r="AA46" s="431">
        <v>136974.03169999996</v>
      </c>
      <c r="AB46" s="432"/>
    </row>
    <row r="47" spans="2:28">
      <c r="B47" s="404" t="s">
        <v>38</v>
      </c>
      <c r="C47" s="436"/>
      <c r="D47" s="436"/>
      <c r="E47" s="436"/>
      <c r="F47" s="436"/>
      <c r="G47" s="436"/>
      <c r="H47" s="436"/>
      <c r="I47" s="436"/>
      <c r="J47" s="436"/>
      <c r="K47" s="436"/>
      <c r="L47" s="436"/>
      <c r="M47" s="436"/>
      <c r="N47" s="436"/>
      <c r="O47" s="440"/>
      <c r="P47" s="444"/>
      <c r="Q47" s="408"/>
      <c r="R47" s="408"/>
      <c r="S47" s="408"/>
      <c r="T47" s="408"/>
      <c r="U47" s="408"/>
      <c r="V47" s="408"/>
      <c r="W47" s="408"/>
      <c r="X47" s="408"/>
      <c r="Y47" s="408"/>
      <c r="Z47" s="408"/>
      <c r="AA47" s="408"/>
      <c r="AB47" s="430"/>
    </row>
    <row r="48" spans="2:28">
      <c r="B48" s="407" t="s">
        <v>39</v>
      </c>
      <c r="C48" s="444">
        <v>1449.16</v>
      </c>
      <c r="D48" s="444">
        <v>29148.21</v>
      </c>
      <c r="E48" s="444">
        <v>82883.58</v>
      </c>
      <c r="F48" s="444">
        <v>34241.81</v>
      </c>
      <c r="G48" s="444">
        <v>36138.49</v>
      </c>
      <c r="H48" s="444">
        <v>16786.84</v>
      </c>
      <c r="I48" s="444">
        <v>8792.5499999999993</v>
      </c>
      <c r="J48" s="444">
        <v>47903.01</v>
      </c>
      <c r="K48" s="444">
        <v>74324.320000000007</v>
      </c>
      <c r="L48" s="444">
        <v>90946.35</v>
      </c>
      <c r="M48" s="444">
        <v>56483.26</v>
      </c>
      <c r="N48" s="444">
        <v>18021.45</v>
      </c>
      <c r="O48" s="440"/>
      <c r="P48" s="444">
        <v>921</v>
      </c>
      <c r="Q48" s="408">
        <v>0</v>
      </c>
      <c r="R48" s="408">
        <v>0</v>
      </c>
      <c r="S48" s="408">
        <v>0</v>
      </c>
      <c r="T48" s="408">
        <v>0</v>
      </c>
      <c r="U48" s="408">
        <v>0</v>
      </c>
      <c r="V48" s="408">
        <v>0</v>
      </c>
      <c r="W48" s="408">
        <v>0</v>
      </c>
      <c r="X48" s="408">
        <v>0</v>
      </c>
      <c r="Y48" s="408">
        <v>0</v>
      </c>
      <c r="Z48" s="408">
        <v>0</v>
      </c>
      <c r="AA48" s="408">
        <v>0</v>
      </c>
      <c r="AB48" s="430"/>
    </row>
    <row r="49" spans="2:28">
      <c r="B49" s="407" t="s">
        <v>40</v>
      </c>
      <c r="C49" s="444">
        <v>-9.67</v>
      </c>
      <c r="D49" s="444">
        <v>-27.86</v>
      </c>
      <c r="E49" s="444">
        <v>53.67</v>
      </c>
      <c r="F49" s="444">
        <v>53.67</v>
      </c>
      <c r="G49" s="444">
        <v>53.67</v>
      </c>
      <c r="H49" s="444">
        <v>51.97</v>
      </c>
      <c r="I49" s="444">
        <v>105.67</v>
      </c>
      <c r="J49" s="444">
        <v>105.67</v>
      </c>
      <c r="K49" s="444">
        <v>28726.67</v>
      </c>
      <c r="L49" s="444">
        <v>30003.41</v>
      </c>
      <c r="M49" s="444">
        <v>31892.71</v>
      </c>
      <c r="N49" s="444">
        <v>401.32</v>
      </c>
      <c r="O49" s="440"/>
      <c r="P49" s="444">
        <v>29979.29</v>
      </c>
      <c r="Q49" s="408">
        <v>0</v>
      </c>
      <c r="R49" s="408">
        <v>0</v>
      </c>
      <c r="S49" s="408">
        <v>0</v>
      </c>
      <c r="T49" s="408">
        <v>0</v>
      </c>
      <c r="U49" s="408">
        <v>0</v>
      </c>
      <c r="V49" s="408">
        <v>0</v>
      </c>
      <c r="W49" s="408">
        <v>0</v>
      </c>
      <c r="X49" s="408">
        <v>0</v>
      </c>
      <c r="Y49" s="408">
        <v>0</v>
      </c>
      <c r="Z49" s="408">
        <v>0</v>
      </c>
      <c r="AA49" s="408">
        <v>0</v>
      </c>
      <c r="AB49" s="430"/>
    </row>
    <row r="50" spans="2:28">
      <c r="B50" s="434" t="s">
        <v>41</v>
      </c>
      <c r="C50" s="445">
        <v>0</v>
      </c>
      <c r="D50" s="445">
        <v>-467.5</v>
      </c>
      <c r="E50" s="445">
        <v>-467.5</v>
      </c>
      <c r="F50" s="445">
        <v>-467.5</v>
      </c>
      <c r="G50" s="445">
        <v>2532.5</v>
      </c>
      <c r="H50" s="445">
        <v>1732.5</v>
      </c>
      <c r="I50" s="445">
        <v>1057.5</v>
      </c>
      <c r="J50" s="445">
        <v>1057.5</v>
      </c>
      <c r="K50" s="445">
        <v>2037.5</v>
      </c>
      <c r="L50" s="445">
        <v>2037.5</v>
      </c>
      <c r="M50" s="445">
        <v>2037.5</v>
      </c>
      <c r="N50" s="445">
        <v>2037.5</v>
      </c>
      <c r="O50" s="441"/>
      <c r="P50" s="472">
        <v>2037.5</v>
      </c>
      <c r="Q50" s="414">
        <v>0</v>
      </c>
      <c r="R50" s="414">
        <v>0</v>
      </c>
      <c r="S50" s="414">
        <v>0</v>
      </c>
      <c r="T50" s="414">
        <v>0</v>
      </c>
      <c r="U50" s="414">
        <v>0</v>
      </c>
      <c r="V50" s="414">
        <v>0</v>
      </c>
      <c r="W50" s="414">
        <v>0</v>
      </c>
      <c r="X50" s="414">
        <v>0</v>
      </c>
      <c r="Y50" s="414">
        <v>0</v>
      </c>
      <c r="Z50" s="414">
        <v>0</v>
      </c>
      <c r="AA50" s="414">
        <v>0</v>
      </c>
      <c r="AB50" s="435"/>
    </row>
    <row r="51" spans="2:28">
      <c r="B51" s="407" t="s">
        <v>31</v>
      </c>
      <c r="C51" s="436">
        <v>1439.49</v>
      </c>
      <c r="D51" s="436">
        <v>28652.85</v>
      </c>
      <c r="E51" s="436">
        <v>82469.75</v>
      </c>
      <c r="F51" s="436">
        <v>33827.979999999996</v>
      </c>
      <c r="G51" s="436">
        <v>38724.659999999996</v>
      </c>
      <c r="H51" s="436">
        <v>18571.310000000001</v>
      </c>
      <c r="I51" s="436">
        <v>9955.7199999999993</v>
      </c>
      <c r="J51" s="436">
        <v>49066.18</v>
      </c>
      <c r="K51" s="436">
        <v>105088.49</v>
      </c>
      <c r="L51" s="436">
        <v>122987.26000000001</v>
      </c>
      <c r="M51" s="436">
        <v>90413.47</v>
      </c>
      <c r="N51" s="436">
        <v>20460.27</v>
      </c>
      <c r="O51" s="409"/>
      <c r="P51" s="444">
        <v>32937.79</v>
      </c>
      <c r="Q51" s="408">
        <v>0</v>
      </c>
      <c r="R51" s="408">
        <v>0</v>
      </c>
      <c r="S51" s="408">
        <v>0</v>
      </c>
      <c r="T51" s="408">
        <v>0</v>
      </c>
      <c r="U51" s="408">
        <v>0</v>
      </c>
      <c r="V51" s="408">
        <v>0</v>
      </c>
      <c r="W51" s="408">
        <v>0</v>
      </c>
      <c r="X51" s="408">
        <v>0</v>
      </c>
      <c r="Y51" s="408">
        <v>0</v>
      </c>
      <c r="Z51" s="408">
        <v>0</v>
      </c>
      <c r="AA51" s="408">
        <v>0</v>
      </c>
      <c r="AB51" s="436"/>
    </row>
    <row r="52" spans="2:28">
      <c r="B52" s="407" t="s">
        <v>42</v>
      </c>
      <c r="C52" s="437">
        <v>0</v>
      </c>
      <c r="D52" s="437">
        <v>0</v>
      </c>
      <c r="E52" s="437">
        <v>0</v>
      </c>
      <c r="F52" s="437">
        <v>0</v>
      </c>
      <c r="G52" s="437">
        <v>-1.799999998183921E-3</v>
      </c>
      <c r="H52" s="437">
        <v>-1.8000000018218998E-3</v>
      </c>
      <c r="I52" s="437">
        <v>-9.6999999987019692E-3</v>
      </c>
      <c r="J52" s="437">
        <v>-4.6999999976833351E-3</v>
      </c>
      <c r="K52" s="437">
        <v>-4.7000000049592927E-3</v>
      </c>
      <c r="L52" s="437">
        <v>-4.7000000049592927E-3</v>
      </c>
      <c r="M52" s="437">
        <v>-4.7000000049592927E-3</v>
      </c>
      <c r="N52" s="437">
        <v>-4.7000000013213139E-3</v>
      </c>
      <c r="O52" s="437"/>
      <c r="P52" s="437">
        <v>-4.7000000049592927E-3</v>
      </c>
      <c r="Q52" s="437"/>
      <c r="R52" s="437"/>
      <c r="S52" s="437"/>
      <c r="T52" s="437"/>
      <c r="U52" s="408"/>
      <c r="V52" s="408"/>
      <c r="W52" s="408"/>
      <c r="X52" s="408"/>
      <c r="Y52" s="408"/>
      <c r="Z52" s="408"/>
      <c r="AA52" s="408"/>
      <c r="AB52" s="436"/>
    </row>
  </sheetData>
  <mergeCells count="2">
    <mergeCell ref="C2:N2"/>
    <mergeCell ref="P2:AA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6BC3-5CE3-42F4-BF2B-9CEB7350F0B8}">
  <dimension ref="B3:L18"/>
  <sheetViews>
    <sheetView showGridLines="0" zoomScale="110" zoomScaleNormal="110" workbookViewId="0">
      <selection activeCell="K18" sqref="K18"/>
    </sheetView>
  </sheetViews>
  <sheetFormatPr baseColWidth="10" defaultRowHeight="15"/>
  <cols>
    <col min="2" max="2" width="16" bestFit="1" customWidth="1"/>
    <col min="9" max="9" width="18.140625" bestFit="1" customWidth="1"/>
    <col min="10" max="10" width="12.140625" bestFit="1" customWidth="1"/>
    <col min="11" max="11" width="11.5703125" bestFit="1" customWidth="1"/>
  </cols>
  <sheetData>
    <row r="3" spans="2:12">
      <c r="K3" s="550" t="s">
        <v>482</v>
      </c>
    </row>
    <row r="4" spans="2:12">
      <c r="C4" s="550" t="s">
        <v>481</v>
      </c>
      <c r="D4" s="549"/>
      <c r="E4" s="550" t="s">
        <v>482</v>
      </c>
      <c r="F4" s="548">
        <v>46112</v>
      </c>
      <c r="J4" s="549" t="s">
        <v>481</v>
      </c>
      <c r="K4" s="548">
        <v>46112</v>
      </c>
    </row>
    <row r="5" spans="2:12">
      <c r="C5" s="565" t="s">
        <v>480</v>
      </c>
      <c r="D5" s="547" t="s">
        <v>486</v>
      </c>
      <c r="E5" s="565" t="s">
        <v>480</v>
      </c>
      <c r="F5" s="565" t="s">
        <v>486</v>
      </c>
      <c r="J5" s="547" t="s">
        <v>480</v>
      </c>
      <c r="K5" s="547" t="s">
        <v>480</v>
      </c>
    </row>
    <row r="6" spans="2:12">
      <c r="B6" s="89" t="s">
        <v>485</v>
      </c>
      <c r="C6" s="123">
        <v>158</v>
      </c>
      <c r="D6" s="564">
        <v>1</v>
      </c>
      <c r="E6" s="123">
        <v>191</v>
      </c>
      <c r="F6" s="563">
        <v>1</v>
      </c>
      <c r="I6" s="81" t="s">
        <v>479</v>
      </c>
      <c r="J6" s="545">
        <v>30</v>
      </c>
      <c r="K6" s="545">
        <v>29</v>
      </c>
    </row>
    <row r="7" spans="2:12">
      <c r="B7" s="81" t="s">
        <v>477</v>
      </c>
      <c r="C7" s="56">
        <v>147</v>
      </c>
      <c r="D7" s="562">
        <f>+C7/C6</f>
        <v>0.930379746835443</v>
      </c>
      <c r="E7" s="56">
        <v>138</v>
      </c>
      <c r="F7" s="84">
        <f>+E7/$E$6</f>
        <v>0.72251308900523559</v>
      </c>
      <c r="I7" s="81" t="s">
        <v>478</v>
      </c>
      <c r="J7" s="545">
        <v>6</v>
      </c>
      <c r="K7" s="545">
        <f>5.517</f>
        <v>5.5170000000000003</v>
      </c>
    </row>
    <row r="8" spans="2:12">
      <c r="B8" s="91" t="s">
        <v>484</v>
      </c>
      <c r="C8" s="561">
        <f>+C7-5</f>
        <v>142</v>
      </c>
      <c r="D8" s="560">
        <f>+C8/$C$6</f>
        <v>0.89873417721518989</v>
      </c>
      <c r="E8" s="559">
        <v>138</v>
      </c>
      <c r="F8" s="558">
        <f t="shared" ref="F8:F12" si="0">+E8/$E$6</f>
        <v>0.72251308900523559</v>
      </c>
      <c r="I8" s="81" t="s">
        <v>477</v>
      </c>
      <c r="J8" s="544">
        <f>+J6*J7*2</f>
        <v>360</v>
      </c>
      <c r="K8" s="568">
        <f>+K6*K7*2</f>
        <v>319.98600000000005</v>
      </c>
    </row>
    <row r="9" spans="2:12">
      <c r="B9" s="543" t="s">
        <v>483</v>
      </c>
      <c r="C9" s="557">
        <v>142</v>
      </c>
      <c r="D9" s="556">
        <f>+C9/$C$6</f>
        <v>0.89873417721518989</v>
      </c>
      <c r="E9" s="56">
        <v>71</v>
      </c>
      <c r="F9" s="555">
        <f t="shared" si="0"/>
        <v>0.37172774869109948</v>
      </c>
      <c r="I9" s="81" t="s">
        <v>476</v>
      </c>
      <c r="J9" s="545">
        <v>60</v>
      </c>
      <c r="K9" s="545">
        <v>0</v>
      </c>
    </row>
    <row r="10" spans="2:12">
      <c r="B10" s="543" t="s">
        <v>493</v>
      </c>
      <c r="C10" s="557">
        <v>0</v>
      </c>
      <c r="D10" s="556">
        <f>+C10/$C$6</f>
        <v>0</v>
      </c>
      <c r="E10" s="56">
        <v>6</v>
      </c>
      <c r="F10" s="555">
        <f t="shared" si="0"/>
        <v>3.1413612565445025E-2</v>
      </c>
      <c r="I10" s="91" t="s">
        <v>475</v>
      </c>
      <c r="J10" s="546">
        <f>+J8-J9</f>
        <v>300</v>
      </c>
      <c r="K10" s="569">
        <f>+K8-K9</f>
        <v>319.98600000000005</v>
      </c>
    </row>
    <row r="11" spans="2:12">
      <c r="B11" s="543" t="s">
        <v>487</v>
      </c>
      <c r="C11" s="557">
        <v>0</v>
      </c>
      <c r="D11" s="556">
        <f>+C11/$C$6</f>
        <v>0</v>
      </c>
      <c r="E11" s="56">
        <v>49</v>
      </c>
      <c r="F11" s="555">
        <f t="shared" si="0"/>
        <v>0.25654450261780104</v>
      </c>
      <c r="I11" s="81" t="s">
        <v>495</v>
      </c>
      <c r="J11" s="545">
        <v>300</v>
      </c>
      <c r="K11" s="545">
        <v>320</v>
      </c>
    </row>
    <row r="12" spans="2:12">
      <c r="B12" s="554" t="s">
        <v>272</v>
      </c>
      <c r="C12" s="552">
        <f>SUM(C9:C11)</f>
        <v>142</v>
      </c>
      <c r="D12" s="553">
        <f>+C12/$C$6</f>
        <v>0.89873417721518989</v>
      </c>
      <c r="E12" s="552">
        <f>SUM(E9:E11)</f>
        <v>126</v>
      </c>
      <c r="F12" s="551">
        <f t="shared" si="0"/>
        <v>0.65968586387434558</v>
      </c>
      <c r="I12" s="81" t="s">
        <v>496</v>
      </c>
      <c r="J12" s="545">
        <v>111</v>
      </c>
      <c r="K12" s="545">
        <f>128+95</f>
        <v>223</v>
      </c>
      <c r="L12" t="s">
        <v>501</v>
      </c>
    </row>
    <row r="13" spans="2:12">
      <c r="I13" s="81" t="s">
        <v>199</v>
      </c>
      <c r="J13" s="544">
        <f>SUM(J14:J15)</f>
        <v>287</v>
      </c>
      <c r="K13" s="544">
        <f>SUM(K14:K15)</f>
        <v>277</v>
      </c>
    </row>
    <row r="14" spans="2:12">
      <c r="B14" s="543" t="s">
        <v>489</v>
      </c>
      <c r="C14" s="557">
        <v>85</v>
      </c>
      <c r="E14" s="557">
        <v>71</v>
      </c>
      <c r="I14" s="543" t="s">
        <v>474</v>
      </c>
      <c r="J14" s="542">
        <v>87</v>
      </c>
      <c r="K14" s="542">
        <f>86-4+6-5</f>
        <v>83</v>
      </c>
    </row>
    <row r="15" spans="2:12">
      <c r="B15" s="543" t="s">
        <v>490</v>
      </c>
      <c r="C15" s="557">
        <f>2+31</f>
        <v>33</v>
      </c>
      <c r="E15" s="557">
        <v>9</v>
      </c>
      <c r="I15" s="543" t="s">
        <v>473</v>
      </c>
      <c r="J15" s="542">
        <v>200</v>
      </c>
      <c r="K15" s="542">
        <f>200-6</f>
        <v>194</v>
      </c>
    </row>
    <row r="16" spans="2:12">
      <c r="B16" s="554" t="s">
        <v>488</v>
      </c>
      <c r="C16" s="54">
        <f>SUM(C14:C15)</f>
        <v>118</v>
      </c>
      <c r="E16" s="54">
        <f>SUM(E14:E15)</f>
        <v>80</v>
      </c>
      <c r="I16" s="89" t="s">
        <v>272</v>
      </c>
      <c r="J16" s="54">
        <f>+J11+J12+J13</f>
        <v>698</v>
      </c>
      <c r="K16" s="54">
        <f>+K11+K12+K13</f>
        <v>820</v>
      </c>
    </row>
    <row r="17" spans="9:11">
      <c r="I17" s="543" t="s">
        <v>497</v>
      </c>
      <c r="K17">
        <f>43</f>
        <v>43</v>
      </c>
    </row>
    <row r="18" spans="9:11">
      <c r="I18" s="543" t="s">
        <v>498</v>
      </c>
      <c r="K18">
        <v>3</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DED7-B98F-40D6-9BA4-0E15A59359D0}">
  <sheetPr>
    <tabColor theme="8" tint="0.59999389629810485"/>
  </sheetPr>
  <dimension ref="A1:BE255"/>
  <sheetViews>
    <sheetView zoomScaleNormal="100" workbookViewId="0">
      <pane xSplit="2" topLeftCell="AC1" activePane="topRight" state="frozen"/>
      <selection pane="topRight" activeCell="AI33" sqref="AI33"/>
    </sheetView>
  </sheetViews>
  <sheetFormatPr baseColWidth="10" defaultColWidth="10.7109375" defaultRowHeight="15"/>
  <cols>
    <col min="1" max="1" width="4.140625" style="400" customWidth="1"/>
    <col min="2" max="2" width="30.85546875" style="127" customWidth="1"/>
    <col min="3" max="3" width="8.42578125" style="127" customWidth="1"/>
    <col min="4" max="5" width="9.5703125" style="127" customWidth="1"/>
    <col min="6" max="6" width="10" style="127" customWidth="1"/>
    <col min="7" max="10" width="10.7109375" style="127" customWidth="1"/>
    <col min="11" max="13" width="11.28515625" style="127" customWidth="1"/>
    <col min="14" max="14" width="11.7109375" style="127" customWidth="1"/>
    <col min="15" max="15" width="12.7109375" style="140" customWidth="1"/>
    <col min="16" max="18" width="10.5703125" style="439" bestFit="1" customWidth="1"/>
    <col min="19" max="19" width="10.140625" style="439" bestFit="1" customWidth="1"/>
    <col min="20" max="21" width="10.42578125" style="439" bestFit="1" customWidth="1"/>
    <col min="22" max="24" width="10.140625" style="439" bestFit="1" customWidth="1"/>
    <col min="25" max="25" width="10.5703125" style="439" bestFit="1" customWidth="1"/>
    <col min="26" max="27" width="10.140625" style="439" bestFit="1" customWidth="1"/>
    <col min="28" max="28" width="12.7109375" style="140" bestFit="1" customWidth="1"/>
    <col min="29" max="31" width="10.5703125" style="438" bestFit="1" customWidth="1"/>
    <col min="32" max="32" width="10.140625" style="438" bestFit="1" customWidth="1"/>
    <col min="33" max="34" width="10.42578125" style="438" bestFit="1" customWidth="1"/>
    <col min="35" max="37" width="10.140625" style="438" bestFit="1" customWidth="1"/>
    <col min="38" max="38" width="10.5703125" style="438" bestFit="1" customWidth="1"/>
    <col min="39" max="40" width="10.140625" style="438" bestFit="1" customWidth="1"/>
    <col min="41" max="41" width="12.7109375" style="140" bestFit="1" customWidth="1"/>
    <col min="42" max="42" width="4.28515625" style="400" customWidth="1"/>
    <col min="43" max="43" width="3.7109375" style="400" customWidth="1"/>
    <col min="44" max="44" width="3.140625" style="486" customWidth="1"/>
    <col min="45" max="45" width="10.7109375" style="127"/>
    <col min="46" max="46" width="7.5703125" style="127" bestFit="1" customWidth="1"/>
    <col min="47" max="16384" width="10.7109375" style="127"/>
  </cols>
  <sheetData>
    <row r="1" spans="1:57" ht="12.75" customHeight="1">
      <c r="C1" s="578" t="s">
        <v>0</v>
      </c>
      <c r="D1" s="578"/>
      <c r="E1" s="578"/>
      <c r="F1" s="578"/>
      <c r="G1" s="578"/>
      <c r="H1" s="578"/>
      <c r="I1" s="578"/>
      <c r="J1" s="578"/>
      <c r="K1" s="578"/>
      <c r="L1" s="578"/>
      <c r="M1" s="578"/>
      <c r="N1" s="578"/>
      <c r="O1" s="454"/>
      <c r="P1" s="579" t="s">
        <v>1</v>
      </c>
      <c r="Q1" s="579"/>
      <c r="R1" s="579"/>
      <c r="S1" s="579"/>
      <c r="T1" s="579"/>
      <c r="U1" s="579"/>
      <c r="V1" s="579"/>
      <c r="W1" s="579"/>
      <c r="X1" s="579"/>
      <c r="Y1" s="579"/>
      <c r="Z1" s="579"/>
      <c r="AA1" s="579"/>
      <c r="AB1" s="129"/>
      <c r="AC1" s="580" t="s">
        <v>442</v>
      </c>
      <c r="AD1" s="580"/>
      <c r="AE1" s="580"/>
      <c r="AF1" s="580"/>
      <c r="AG1" s="580"/>
      <c r="AH1" s="580"/>
      <c r="AI1" s="580"/>
      <c r="AJ1" s="580"/>
      <c r="AK1" s="580"/>
      <c r="AL1" s="580"/>
      <c r="AM1" s="580"/>
      <c r="AN1" s="580"/>
      <c r="AO1" s="129"/>
      <c r="AS1" s="581" t="s">
        <v>443</v>
      </c>
      <c r="AT1" s="581"/>
      <c r="AU1" s="581"/>
      <c r="AV1" s="581"/>
      <c r="AW1" s="581"/>
      <c r="AX1" s="581"/>
      <c r="AY1" s="581"/>
      <c r="AZ1" s="581"/>
      <c r="BA1" s="581"/>
      <c r="BB1" s="581"/>
      <c r="BC1" s="581"/>
      <c r="BD1" s="581"/>
      <c r="BE1" s="129"/>
    </row>
    <row r="2" spans="1:57" ht="10.5" customHeight="1">
      <c r="B2" s="401"/>
      <c r="C2" s="134" t="s">
        <v>2</v>
      </c>
      <c r="D2" s="134" t="s">
        <v>3</v>
      </c>
      <c r="E2" s="134" t="s">
        <v>4</v>
      </c>
      <c r="F2" s="134" t="s">
        <v>5</v>
      </c>
      <c r="G2" s="134" t="s">
        <v>6</v>
      </c>
      <c r="H2" s="134" t="s">
        <v>7</v>
      </c>
      <c r="I2" s="134" t="s">
        <v>8</v>
      </c>
      <c r="J2" s="134" t="s">
        <v>9</v>
      </c>
      <c r="K2" s="134" t="s">
        <v>10</v>
      </c>
      <c r="L2" s="134" t="s">
        <v>11</v>
      </c>
      <c r="M2" s="134" t="s">
        <v>12</v>
      </c>
      <c r="N2" s="134" t="s">
        <v>13</v>
      </c>
      <c r="O2" s="402" t="s">
        <v>14</v>
      </c>
      <c r="P2" s="403" t="s">
        <v>2</v>
      </c>
      <c r="Q2" s="403" t="s">
        <v>3</v>
      </c>
      <c r="R2" s="403" t="s">
        <v>4</v>
      </c>
      <c r="S2" s="403" t="s">
        <v>5</v>
      </c>
      <c r="T2" s="403" t="s">
        <v>6</v>
      </c>
      <c r="U2" s="403" t="s">
        <v>7</v>
      </c>
      <c r="V2" s="403" t="s">
        <v>8</v>
      </c>
      <c r="W2" s="403" t="s">
        <v>9</v>
      </c>
      <c r="X2" s="403" t="s">
        <v>10</v>
      </c>
      <c r="Y2" s="403" t="s">
        <v>11</v>
      </c>
      <c r="Z2" s="403" t="s">
        <v>12</v>
      </c>
      <c r="AA2" s="403" t="s">
        <v>13</v>
      </c>
      <c r="AB2" s="402" t="s">
        <v>14</v>
      </c>
      <c r="AC2" s="406" t="s">
        <v>2</v>
      </c>
      <c r="AD2" s="406" t="s">
        <v>3</v>
      </c>
      <c r="AE2" s="406" t="s">
        <v>4</v>
      </c>
      <c r="AF2" s="406" t="s">
        <v>5</v>
      </c>
      <c r="AG2" s="406" t="s">
        <v>6</v>
      </c>
      <c r="AH2" s="406" t="s">
        <v>7</v>
      </c>
      <c r="AI2" s="406" t="s">
        <v>8</v>
      </c>
      <c r="AJ2" s="406" t="s">
        <v>9</v>
      </c>
      <c r="AK2" s="406" t="s">
        <v>10</v>
      </c>
      <c r="AL2" s="406" t="s">
        <v>11</v>
      </c>
      <c r="AM2" s="406" t="s">
        <v>12</v>
      </c>
      <c r="AN2" s="406" t="s">
        <v>13</v>
      </c>
      <c r="AO2" s="402" t="s">
        <v>14</v>
      </c>
      <c r="AS2" s="406" t="s">
        <v>2</v>
      </c>
      <c r="AT2" s="406" t="s">
        <v>3</v>
      </c>
      <c r="AU2" s="406" t="s">
        <v>4</v>
      </c>
      <c r="AV2" s="406" t="s">
        <v>5</v>
      </c>
      <c r="AW2" s="406" t="s">
        <v>6</v>
      </c>
      <c r="AX2" s="406" t="s">
        <v>7</v>
      </c>
      <c r="AY2" s="406" t="s">
        <v>8</v>
      </c>
      <c r="AZ2" s="406" t="s">
        <v>9</v>
      </c>
      <c r="BA2" s="406" t="s">
        <v>10</v>
      </c>
      <c r="BB2" s="406" t="s">
        <v>11</v>
      </c>
      <c r="BC2" s="406" t="s">
        <v>12</v>
      </c>
      <c r="BD2" s="406" t="s">
        <v>13</v>
      </c>
      <c r="BE2" s="402" t="s">
        <v>14</v>
      </c>
    </row>
    <row r="3" spans="1:57" ht="11.25" customHeight="1">
      <c r="B3" s="404" t="s">
        <v>15</v>
      </c>
      <c r="C3" s="443"/>
      <c r="D3" s="443"/>
      <c r="E3" s="443"/>
      <c r="F3" s="443"/>
      <c r="G3" s="443"/>
      <c r="H3" s="443"/>
      <c r="I3" s="443"/>
      <c r="J3" s="443"/>
      <c r="K3" s="443"/>
      <c r="L3" s="443"/>
      <c r="M3" s="443"/>
      <c r="N3" s="443"/>
      <c r="O3" s="405"/>
      <c r="P3" s="469"/>
      <c r="Q3" s="469"/>
      <c r="R3" s="469"/>
      <c r="S3" s="469"/>
      <c r="T3" s="469"/>
      <c r="U3" s="469"/>
      <c r="V3" s="469"/>
      <c r="W3" s="469"/>
      <c r="X3" s="469"/>
      <c r="Y3" s="469"/>
      <c r="Z3" s="469"/>
      <c r="AA3" s="469"/>
      <c r="AB3" s="405"/>
      <c r="AC3" s="469"/>
      <c r="AD3" s="469"/>
      <c r="AE3" s="469"/>
      <c r="AF3" s="469"/>
      <c r="AG3" s="469"/>
      <c r="AH3" s="469"/>
      <c r="AI3" s="469"/>
      <c r="AJ3" s="469"/>
      <c r="AK3" s="406"/>
      <c r="AL3" s="406"/>
      <c r="AM3" s="406"/>
      <c r="AN3" s="406"/>
      <c r="AO3" s="405"/>
      <c r="AS3" s="406"/>
      <c r="AT3" s="406"/>
      <c r="AU3" s="406"/>
      <c r="AV3" s="406"/>
      <c r="AW3" s="406"/>
      <c r="AX3" s="406"/>
      <c r="AY3" s="406"/>
      <c r="AZ3" s="406"/>
      <c r="BA3" s="406"/>
      <c r="BB3" s="406"/>
      <c r="BC3" s="406"/>
      <c r="BD3" s="406"/>
      <c r="BE3" s="405"/>
    </row>
    <row r="4" spans="1:57">
      <c r="B4" s="407" t="s">
        <v>16</v>
      </c>
      <c r="C4" s="444">
        <f>'Ing y gtos'!AE16</f>
        <v>556.29999999999995</v>
      </c>
      <c r="D4" s="444">
        <f>'Ing y gtos'!AF16</f>
        <v>33077.51</v>
      </c>
      <c r="E4" s="444">
        <f>'Ing y gtos'!AG16</f>
        <v>51305.32</v>
      </c>
      <c r="F4" s="444">
        <f>'Ing y gtos'!AH16</f>
        <v>0</v>
      </c>
      <c r="G4" s="444">
        <f>'Ing y gtos'!AI16</f>
        <v>37253.67</v>
      </c>
      <c r="H4" s="444">
        <f>'Ing y gtos'!AJ16</f>
        <v>0</v>
      </c>
      <c r="I4" s="444">
        <f>'Ing y gtos'!AK16</f>
        <v>0</v>
      </c>
      <c r="J4" s="444">
        <f>'Ing y gtos'!AL16</f>
        <v>24907.200000000001</v>
      </c>
      <c r="K4" s="444">
        <f>'Ing y gtos'!AM16</f>
        <v>32803.199999999997</v>
      </c>
      <c r="L4" s="444">
        <f>'Ing y gtos'!AN16</f>
        <v>19326.060000000001</v>
      </c>
      <c r="M4" s="444">
        <f>'Ing y gtos'!AO16</f>
        <v>2174.17</v>
      </c>
      <c r="N4" s="444">
        <f>'Ing y gtos'!AP16</f>
        <v>17183.670000000002</v>
      </c>
      <c r="O4" s="405">
        <f>SUM(C4:N4)</f>
        <v>218587.10000000003</v>
      </c>
      <c r="P4" s="444">
        <f>'Ing y gtos'!AU16</f>
        <v>20013.439999999999</v>
      </c>
      <c r="Q4" s="444">
        <f>'Ing y gtos'!AV16</f>
        <v>26949.059999999998</v>
      </c>
      <c r="R4" s="444">
        <f>'Ing y gtos'!AW16</f>
        <v>315</v>
      </c>
      <c r="S4" s="444">
        <f>'Ing y gtos'!AX16</f>
        <v>12466.31</v>
      </c>
      <c r="T4" s="444">
        <f>'Ing y gtos'!AY16</f>
        <v>7989.53</v>
      </c>
      <c r="U4" s="444">
        <f>'Ing y gtos'!AZ16</f>
        <v>0</v>
      </c>
      <c r="V4" s="444">
        <f>'Ing y gtos'!BA16</f>
        <v>10410.67</v>
      </c>
      <c r="W4" s="444">
        <f>'Ing y gtos'!BB16</f>
        <v>11634.21</v>
      </c>
      <c r="X4" s="444">
        <f>'Ing y gtos'!BC16</f>
        <v>1459.85</v>
      </c>
      <c r="Y4" s="444">
        <f>'Ing y gtos'!BD16</f>
        <v>4927.53</v>
      </c>
      <c r="Z4" s="444">
        <f>'Ing y gtos'!BE16</f>
        <v>182.16000000000003</v>
      </c>
      <c r="AA4" s="444">
        <f>'Ing y gtos'!BF16</f>
        <v>24335.96</v>
      </c>
      <c r="AB4" s="405">
        <f>SUM(P4:AA4)</f>
        <v>120683.72</v>
      </c>
      <c r="AC4" s="444">
        <f>'Ing y gtos'!BJ16</f>
        <v>8092.83</v>
      </c>
      <c r="AD4" s="444">
        <f>'Ing y gtos'!BK16</f>
        <v>29566.61</v>
      </c>
      <c r="AE4" s="444">
        <f>'Ing y gtos'!BL16</f>
        <v>35506.83</v>
      </c>
      <c r="AF4" s="444">
        <f>'Ing y gtos'!BM16</f>
        <v>5514.23</v>
      </c>
      <c r="AG4" s="444">
        <f>'Ing y gtos'!BN16</f>
        <v>8798.9</v>
      </c>
      <c r="AH4" s="444">
        <f>'Ing y gtos'!BO16</f>
        <v>0</v>
      </c>
      <c r="AI4" s="444">
        <f>'Ing y gtos'!BP16</f>
        <v>7620.43</v>
      </c>
      <c r="AJ4" s="444">
        <f>'Ing y gtos'!BQ16</f>
        <v>276.39</v>
      </c>
      <c r="AK4" s="408">
        <f>'Ing y gtos'!BR16</f>
        <v>3223.58</v>
      </c>
      <c r="AL4" s="408">
        <f>'Ing y gtos'!BS16</f>
        <v>17620.899999999998</v>
      </c>
      <c r="AM4" s="408">
        <f>'Ing y gtos'!BT16</f>
        <v>31584.009999999995</v>
      </c>
      <c r="AN4" s="408">
        <f>'Ing y gtos'!BU16</f>
        <v>28490.25</v>
      </c>
      <c r="AO4" s="405">
        <f>SUM(AC4:AN4)</f>
        <v>176294.95999999996</v>
      </c>
      <c r="AS4" s="408">
        <f>'Ing y gtos'!BY16</f>
        <v>5927.4999999999991</v>
      </c>
      <c r="AT4" s="408">
        <f>'Ing y gtos'!BZ16</f>
        <v>36282.5</v>
      </c>
      <c r="AU4" s="408">
        <f>'Ing y gtos'!CA16</f>
        <v>21096.999999999996</v>
      </c>
      <c r="AV4" s="408">
        <f>'Ing y gtos'!CB16</f>
        <v>31411.5</v>
      </c>
      <c r="AW4" s="408">
        <f>'Ing y gtos'!CC16</f>
        <v>1185.4999999999998</v>
      </c>
      <c r="AX4" s="408">
        <f>'Ing y gtos'!CD16</f>
        <v>5927.4999999999991</v>
      </c>
      <c r="AY4" s="408">
        <f>'Ing y gtos'!CE16</f>
        <v>4741.9999999999991</v>
      </c>
      <c r="AZ4" s="408">
        <f>'Ing y gtos'!CF16</f>
        <v>2370.9999999999995</v>
      </c>
      <c r="BA4" s="408">
        <f>'Ing y gtos'!CG16</f>
        <v>18967.999999999996</v>
      </c>
      <c r="BB4" s="408">
        <f>'Ing y gtos'!CH16</f>
        <v>14225.999999999998</v>
      </c>
      <c r="BC4" s="408">
        <f>'Ing y gtos'!CI16</f>
        <v>29874.599999999995</v>
      </c>
      <c r="BD4" s="408">
        <f>'Ing y gtos'!CJ16</f>
        <v>35517.58</v>
      </c>
      <c r="BE4" s="405">
        <f>SUM(AS4:BD4)</f>
        <v>207530.68</v>
      </c>
    </row>
    <row r="5" spans="1:57">
      <c r="B5" s="407" t="s">
        <v>17</v>
      </c>
      <c r="C5" s="444">
        <f>'Ing y gtos'!AE33</f>
        <v>0</v>
      </c>
      <c r="D5" s="444">
        <f>'Ing y gtos'!AF33</f>
        <v>0</v>
      </c>
      <c r="E5" s="444">
        <f>'Ing y gtos'!AG33</f>
        <v>2310.58</v>
      </c>
      <c r="F5" s="444">
        <f>'Ing y gtos'!AH33</f>
        <v>836.06000000000006</v>
      </c>
      <c r="G5" s="444">
        <f>'Ing y gtos'!AI33</f>
        <v>5019.7136</v>
      </c>
      <c r="H5" s="444">
        <f>'Ing y gtos'!AJ33</f>
        <v>16.5</v>
      </c>
      <c r="I5" s="444">
        <f>'Ing y gtos'!AK33</f>
        <v>350</v>
      </c>
      <c r="J5" s="444">
        <f>'Ing y gtos'!AL33</f>
        <v>2104.3599999999997</v>
      </c>
      <c r="K5" s="444">
        <f>'Ing y gtos'!AM33</f>
        <v>637.40000000000009</v>
      </c>
      <c r="L5" s="444">
        <f>'Ing y gtos'!AN33</f>
        <v>593.26</v>
      </c>
      <c r="M5" s="444">
        <f>'Ing y gtos'!AO33</f>
        <v>3107.1699999999996</v>
      </c>
      <c r="N5" s="444">
        <f>'Ing y gtos'!AP33</f>
        <v>791.98</v>
      </c>
      <c r="O5" s="405">
        <f>SUM(C5:N5)</f>
        <v>15767.023599999999</v>
      </c>
      <c r="P5" s="444">
        <f>'Ing y gtos'!AU33</f>
        <v>705.64</v>
      </c>
      <c r="Q5" s="444">
        <f>'Ing y gtos'!AV33</f>
        <v>2112.36</v>
      </c>
      <c r="R5" s="444">
        <f>'Ing y gtos'!AW33</f>
        <v>-2118.7799999999997</v>
      </c>
      <c r="S5" s="444">
        <f>'Ing y gtos'!AX33</f>
        <v>1585.65</v>
      </c>
      <c r="T5" s="444">
        <f>'Ing y gtos'!AY33</f>
        <v>2063.23</v>
      </c>
      <c r="U5" s="444">
        <f>'Ing y gtos'!AZ33</f>
        <v>-2875.8799999999997</v>
      </c>
      <c r="V5" s="444">
        <f>'Ing y gtos'!BA33</f>
        <v>1496.17</v>
      </c>
      <c r="W5" s="444">
        <f>'Ing y gtos'!BB33</f>
        <v>10323</v>
      </c>
      <c r="X5" s="444">
        <f>'Ing y gtos'!BC33</f>
        <v>-7329.75</v>
      </c>
      <c r="Y5" s="444">
        <f>'Ing y gtos'!BD33</f>
        <v>-659.91999999999985</v>
      </c>
      <c r="Z5" s="444">
        <f>'Ing y gtos'!BE33</f>
        <v>3098.2000000000007</v>
      </c>
      <c r="AA5" s="444">
        <f>'Ing y gtos'!BF33</f>
        <v>2493.1</v>
      </c>
      <c r="AB5" s="405">
        <f>SUM(P5:AA5)</f>
        <v>10893.020000000002</v>
      </c>
      <c r="AC5" s="444">
        <f>'Ing y gtos'!BJ33</f>
        <v>8.93</v>
      </c>
      <c r="AD5" s="444">
        <f>'Ing y gtos'!BK33</f>
        <v>4924.88</v>
      </c>
      <c r="AE5" s="444">
        <f>'Ing y gtos'!BL33</f>
        <v>1939.3600000000001</v>
      </c>
      <c r="AF5" s="444">
        <f>'Ing y gtos'!BM33</f>
        <v>1243.6100000000001</v>
      </c>
      <c r="AG5" s="444">
        <f>'Ing y gtos'!BN33</f>
        <v>1931.1999999999998</v>
      </c>
      <c r="AH5" s="444">
        <f>'Ing y gtos'!BO33</f>
        <v>-1902.6800000000003</v>
      </c>
      <c r="AI5" s="444">
        <f>'Ing y gtos'!BP33</f>
        <v>1921.29</v>
      </c>
      <c r="AJ5" s="444">
        <f>'Ing y gtos'!BQ33</f>
        <v>1054.1599999999999</v>
      </c>
      <c r="AK5" s="408">
        <f>'Ing y gtos'!BR33</f>
        <v>170.41999999999985</v>
      </c>
      <c r="AL5" s="408">
        <f>'Ing y gtos'!BS33</f>
        <v>4157.99</v>
      </c>
      <c r="AM5" s="408">
        <f>'Ing y gtos'!BT33</f>
        <v>3811.41</v>
      </c>
      <c r="AN5" s="408">
        <f>'Ing y gtos'!BU33</f>
        <v>1960</v>
      </c>
      <c r="AO5" s="405">
        <f>SUM(AC5:AN5)</f>
        <v>21220.57</v>
      </c>
      <c r="AS5" s="408">
        <f>'Ing y gtos'!BY33</f>
        <v>600</v>
      </c>
      <c r="AT5" s="408">
        <f>'Ing y gtos'!BZ33</f>
        <v>2961.41</v>
      </c>
      <c r="AU5" s="408">
        <f>'Ing y gtos'!CA33</f>
        <v>600</v>
      </c>
      <c r="AV5" s="408">
        <f>'Ing y gtos'!CB33</f>
        <v>900</v>
      </c>
      <c r="AW5" s="408">
        <f>'Ing y gtos'!CC33</f>
        <v>4137.59</v>
      </c>
      <c r="AX5" s="408">
        <f>'Ing y gtos'!CD33</f>
        <v>600</v>
      </c>
      <c r="AY5" s="408">
        <f>'Ing y gtos'!CE33</f>
        <v>1300</v>
      </c>
      <c r="AZ5" s="408">
        <f>'Ing y gtos'!CF33</f>
        <v>1874.56</v>
      </c>
      <c r="BA5" s="408">
        <f>'Ing y gtos'!CG33</f>
        <v>600</v>
      </c>
      <c r="BB5" s="408">
        <f>'Ing y gtos'!CH33</f>
        <v>600</v>
      </c>
      <c r="BC5" s="408">
        <f>'Ing y gtos'!CI33</f>
        <v>3161.41</v>
      </c>
      <c r="BD5" s="408">
        <f>'Ing y gtos'!CJ33</f>
        <v>1760</v>
      </c>
      <c r="BE5" s="405">
        <f>SUM(AS5:BD5)</f>
        <v>19094.97</v>
      </c>
    </row>
    <row r="6" spans="1:57" ht="4.5" hidden="1" customHeight="1">
      <c r="B6" s="400"/>
      <c r="C6" s="436"/>
      <c r="D6" s="436"/>
      <c r="E6" s="436"/>
      <c r="F6" s="436"/>
      <c r="G6" s="436"/>
      <c r="H6" s="436"/>
      <c r="I6" s="436"/>
      <c r="J6" s="436"/>
      <c r="K6" s="436"/>
      <c r="L6" s="436"/>
      <c r="M6" s="436"/>
      <c r="N6" s="436"/>
      <c r="O6" s="405"/>
      <c r="P6" s="444"/>
      <c r="Q6" s="444"/>
      <c r="R6" s="444"/>
      <c r="S6" s="444"/>
      <c r="T6" s="444"/>
      <c r="U6" s="444"/>
      <c r="V6" s="444"/>
      <c r="W6" s="444"/>
      <c r="X6" s="444"/>
      <c r="Y6" s="444"/>
      <c r="Z6" s="444"/>
      <c r="AA6" s="444"/>
      <c r="AB6" s="405"/>
      <c r="AC6" s="444"/>
      <c r="AD6" s="444"/>
      <c r="AE6" s="444"/>
      <c r="AF6" s="444"/>
      <c r="AG6" s="444"/>
      <c r="AH6" s="444"/>
      <c r="AI6" s="444"/>
      <c r="AJ6" s="444"/>
      <c r="AK6" s="408"/>
      <c r="AL6" s="408"/>
      <c r="AM6" s="408"/>
      <c r="AN6" s="408"/>
      <c r="AO6" s="405"/>
      <c r="AS6" s="408"/>
      <c r="AT6" s="408"/>
      <c r="AU6" s="408"/>
      <c r="AV6" s="408"/>
      <c r="AW6" s="408"/>
      <c r="AX6" s="408"/>
      <c r="AY6" s="408"/>
      <c r="AZ6" s="408"/>
      <c r="BA6" s="408"/>
      <c r="BB6" s="408"/>
      <c r="BC6" s="408"/>
      <c r="BD6" s="408"/>
      <c r="BE6" s="405"/>
    </row>
    <row r="7" spans="1:57" s="412" customFormat="1" ht="12.75" customHeight="1">
      <c r="A7" s="410"/>
      <c r="B7" s="411" t="s">
        <v>18</v>
      </c>
      <c r="C7" s="444">
        <f>C4-C5</f>
        <v>556.29999999999995</v>
      </c>
      <c r="D7" s="444">
        <f t="shared" ref="D7:N7" si="0">D4-D5</f>
        <v>33077.51</v>
      </c>
      <c r="E7" s="444">
        <f t="shared" si="0"/>
        <v>48994.74</v>
      </c>
      <c r="F7" s="444">
        <f t="shared" si="0"/>
        <v>-836.06000000000006</v>
      </c>
      <c r="G7" s="444">
        <f>G4-G5</f>
        <v>32233.956399999999</v>
      </c>
      <c r="H7" s="444">
        <f t="shared" si="0"/>
        <v>-16.5</v>
      </c>
      <c r="I7" s="444">
        <f t="shared" si="0"/>
        <v>-350</v>
      </c>
      <c r="J7" s="444">
        <f t="shared" si="0"/>
        <v>22802.84</v>
      </c>
      <c r="K7" s="444">
        <f t="shared" si="0"/>
        <v>32165.799999999996</v>
      </c>
      <c r="L7" s="444">
        <f t="shared" si="0"/>
        <v>18732.800000000003</v>
      </c>
      <c r="M7" s="444">
        <f t="shared" si="0"/>
        <v>-932.99999999999955</v>
      </c>
      <c r="N7" s="444">
        <f t="shared" si="0"/>
        <v>16391.690000000002</v>
      </c>
      <c r="O7" s="405"/>
      <c r="P7" s="444">
        <f>P4-P5</f>
        <v>19307.8</v>
      </c>
      <c r="Q7" s="444">
        <f t="shared" ref="Q7:AA7" si="1">Q4-Q5</f>
        <v>24836.699999999997</v>
      </c>
      <c r="R7" s="444">
        <f t="shared" si="1"/>
        <v>2433.7799999999997</v>
      </c>
      <c r="S7" s="444">
        <f t="shared" si="1"/>
        <v>10880.66</v>
      </c>
      <c r="T7" s="444">
        <f t="shared" si="1"/>
        <v>5926.2999999999993</v>
      </c>
      <c r="U7" s="444">
        <f t="shared" si="1"/>
        <v>2875.8799999999997</v>
      </c>
      <c r="V7" s="444">
        <f t="shared" si="1"/>
        <v>8914.5</v>
      </c>
      <c r="W7" s="444">
        <f t="shared" si="1"/>
        <v>1311.2099999999991</v>
      </c>
      <c r="X7" s="444">
        <f t="shared" si="1"/>
        <v>8789.6</v>
      </c>
      <c r="Y7" s="444">
        <f t="shared" si="1"/>
        <v>5587.45</v>
      </c>
      <c r="Z7" s="444">
        <f t="shared" si="1"/>
        <v>-2916.0400000000009</v>
      </c>
      <c r="AA7" s="444">
        <f t="shared" si="1"/>
        <v>21842.86</v>
      </c>
      <c r="AB7" s="405"/>
      <c r="AC7" s="444">
        <f>AC4-AC5</f>
        <v>8083.9</v>
      </c>
      <c r="AD7" s="444">
        <f t="shared" ref="AD7:AM7" si="2">AD4-AD5</f>
        <v>24641.73</v>
      </c>
      <c r="AE7" s="444">
        <f t="shared" si="2"/>
        <v>33567.47</v>
      </c>
      <c r="AF7" s="444">
        <f t="shared" si="2"/>
        <v>4270.619999999999</v>
      </c>
      <c r="AG7" s="444">
        <f t="shared" si="2"/>
        <v>6867.7</v>
      </c>
      <c r="AH7" s="444">
        <f t="shared" si="2"/>
        <v>1902.6800000000003</v>
      </c>
      <c r="AI7" s="444">
        <f t="shared" si="2"/>
        <v>5699.14</v>
      </c>
      <c r="AJ7" s="444">
        <f t="shared" si="2"/>
        <v>-777.76999999999987</v>
      </c>
      <c r="AK7" s="408">
        <f t="shared" si="2"/>
        <v>3053.16</v>
      </c>
      <c r="AL7" s="408">
        <f t="shared" si="2"/>
        <v>13462.909999999998</v>
      </c>
      <c r="AM7" s="408">
        <f t="shared" si="2"/>
        <v>27772.599999999995</v>
      </c>
      <c r="AN7" s="408">
        <f>AN4-AN5</f>
        <v>26530.25</v>
      </c>
      <c r="AO7" s="405"/>
      <c r="AP7" s="410"/>
      <c r="AQ7" s="410"/>
      <c r="AR7" s="487"/>
      <c r="AS7" s="408">
        <f>AS4-AS5</f>
        <v>5327.4999999999991</v>
      </c>
      <c r="AT7" s="408">
        <f t="shared" ref="AT7:BD7" si="3">AT4-AT5</f>
        <v>33321.089999999997</v>
      </c>
      <c r="AU7" s="408">
        <f t="shared" si="3"/>
        <v>20496.999999999996</v>
      </c>
      <c r="AV7" s="408">
        <f t="shared" si="3"/>
        <v>30511.5</v>
      </c>
      <c r="AW7" s="408">
        <f t="shared" si="3"/>
        <v>-2952.09</v>
      </c>
      <c r="AX7" s="408">
        <f t="shared" si="3"/>
        <v>5327.4999999999991</v>
      </c>
      <c r="AY7" s="408">
        <f t="shared" si="3"/>
        <v>3441.9999999999991</v>
      </c>
      <c r="AZ7" s="408">
        <f t="shared" si="3"/>
        <v>496.4399999999996</v>
      </c>
      <c r="BA7" s="408">
        <f t="shared" si="3"/>
        <v>18367.999999999996</v>
      </c>
      <c r="BB7" s="408">
        <f t="shared" si="3"/>
        <v>13625.999999999998</v>
      </c>
      <c r="BC7" s="408">
        <f t="shared" si="3"/>
        <v>26713.189999999995</v>
      </c>
      <c r="BD7" s="408">
        <f t="shared" si="3"/>
        <v>33757.58</v>
      </c>
      <c r="BE7" s="405"/>
    </row>
    <row r="8" spans="1:57" s="412" customFormat="1">
      <c r="A8" s="410"/>
      <c r="B8" s="413" t="s">
        <v>19</v>
      </c>
      <c r="C8" s="445">
        <f>C7</f>
        <v>556.29999999999995</v>
      </c>
      <c r="D8" s="445">
        <f>D7+C8</f>
        <v>33633.810000000005</v>
      </c>
      <c r="E8" s="445">
        <f t="shared" ref="E8:M8" si="4">E7+D8</f>
        <v>82628.55</v>
      </c>
      <c r="F8" s="445">
        <f t="shared" si="4"/>
        <v>81792.490000000005</v>
      </c>
      <c r="G8" s="445">
        <f>G7+F8</f>
        <v>114026.4464</v>
      </c>
      <c r="H8" s="445">
        <f t="shared" si="4"/>
        <v>114009.9464</v>
      </c>
      <c r="I8" s="445">
        <f t="shared" si="4"/>
        <v>113659.9464</v>
      </c>
      <c r="J8" s="445">
        <f t="shared" si="4"/>
        <v>136462.78640000001</v>
      </c>
      <c r="K8" s="445">
        <f t="shared" si="4"/>
        <v>168628.5864</v>
      </c>
      <c r="L8" s="445">
        <f t="shared" si="4"/>
        <v>187361.38640000002</v>
      </c>
      <c r="M8" s="445">
        <f t="shared" si="4"/>
        <v>186428.38640000002</v>
      </c>
      <c r="N8" s="446">
        <f>N7+M8</f>
        <v>202820.07640000002</v>
      </c>
      <c r="O8" s="416">
        <f>O4-O5</f>
        <v>202820.07640000005</v>
      </c>
      <c r="P8" s="445">
        <f>P7</f>
        <v>19307.8</v>
      </c>
      <c r="Q8" s="445">
        <f>Q7+P8</f>
        <v>44144.5</v>
      </c>
      <c r="R8" s="445">
        <f>R7+Q8</f>
        <v>46578.28</v>
      </c>
      <c r="S8" s="445">
        <f t="shared" ref="S8" si="5">S7+R8</f>
        <v>57458.94</v>
      </c>
      <c r="T8" s="445">
        <f t="shared" ref="T8" si="6">T7+S8</f>
        <v>63385.240000000005</v>
      </c>
      <c r="U8" s="445">
        <f t="shared" ref="U8:V8" si="7">U7+T8</f>
        <v>66261.12000000001</v>
      </c>
      <c r="V8" s="445">
        <f t="shared" si="7"/>
        <v>75175.62000000001</v>
      </c>
      <c r="W8" s="445">
        <f t="shared" ref="W8" si="8">W7+V8</f>
        <v>76486.830000000016</v>
      </c>
      <c r="X8" s="445">
        <f t="shared" ref="X8:Y8" si="9">X7+W8</f>
        <v>85276.430000000022</v>
      </c>
      <c r="Y8" s="445">
        <f t="shared" si="9"/>
        <v>90863.880000000019</v>
      </c>
      <c r="Z8" s="445">
        <f t="shared" ref="Z8" si="10">Z7+Y8</f>
        <v>87947.840000000026</v>
      </c>
      <c r="AA8" s="446">
        <f t="shared" ref="AA8" si="11">AA7+Z8</f>
        <v>109790.70000000003</v>
      </c>
      <c r="AB8" s="416">
        <f>AB4-AB5</f>
        <v>109790.7</v>
      </c>
      <c r="AC8" s="445">
        <f>AC7</f>
        <v>8083.9</v>
      </c>
      <c r="AD8" s="445">
        <f>AD7+AC8</f>
        <v>32725.629999999997</v>
      </c>
      <c r="AE8" s="445">
        <f t="shared" ref="AE8" si="12">AE7+AD8</f>
        <v>66293.100000000006</v>
      </c>
      <c r="AF8" s="445">
        <f t="shared" ref="AF8" si="13">AF7+AE8</f>
        <v>70563.72</v>
      </c>
      <c r="AG8" s="445">
        <f t="shared" ref="AG8" si="14">AG7+AF8</f>
        <v>77431.42</v>
      </c>
      <c r="AH8" s="445">
        <f t="shared" ref="AH8" si="15">AH7+AG8</f>
        <v>79334.100000000006</v>
      </c>
      <c r="AI8" s="445">
        <f t="shared" ref="AI8" si="16">AI7+AH8</f>
        <v>85033.24</v>
      </c>
      <c r="AJ8" s="445">
        <f t="shared" ref="AJ8" si="17">AJ7+AI8</f>
        <v>84255.47</v>
      </c>
      <c r="AK8" s="414">
        <f t="shared" ref="AK8" si="18">AK7+AJ8</f>
        <v>87308.63</v>
      </c>
      <c r="AL8" s="414">
        <f t="shared" ref="AL8" si="19">AL7+AK8</f>
        <v>100771.54000000001</v>
      </c>
      <c r="AM8" s="414">
        <f t="shared" ref="AM8" si="20">AM7+AL8</f>
        <v>128544.14</v>
      </c>
      <c r="AN8" s="415">
        <f t="shared" ref="AN8" si="21">AN7+AM8</f>
        <v>155074.39000000001</v>
      </c>
      <c r="AO8" s="416">
        <f>AO4-AO5</f>
        <v>155074.38999999996</v>
      </c>
      <c r="AP8" s="410"/>
      <c r="AQ8" s="410"/>
      <c r="AR8" s="487"/>
      <c r="AS8" s="414">
        <f>AS7</f>
        <v>5327.4999999999991</v>
      </c>
      <c r="AT8" s="414">
        <f>AT7+AS8</f>
        <v>38648.589999999997</v>
      </c>
      <c r="AU8" s="414">
        <f t="shared" ref="AU8" si="22">AU7+AT8</f>
        <v>59145.59</v>
      </c>
      <c r="AV8" s="414">
        <f t="shared" ref="AV8" si="23">AV7+AU8</f>
        <v>89657.09</v>
      </c>
      <c r="AW8" s="414">
        <f t="shared" ref="AW8" si="24">AW7+AV8</f>
        <v>86705</v>
      </c>
      <c r="AX8" s="414">
        <f t="shared" ref="AX8" si="25">AX7+AW8</f>
        <v>92032.5</v>
      </c>
      <c r="AY8" s="414">
        <f t="shared" ref="AY8" si="26">AY7+AX8</f>
        <v>95474.5</v>
      </c>
      <c r="AZ8" s="414">
        <f t="shared" ref="AZ8" si="27">AZ7+AY8</f>
        <v>95970.94</v>
      </c>
      <c r="BA8" s="414">
        <f t="shared" ref="BA8" si="28">BA7+AZ8</f>
        <v>114338.94</v>
      </c>
      <c r="BB8" s="414">
        <f t="shared" ref="BB8" si="29">BB7+BA8</f>
        <v>127964.94</v>
      </c>
      <c r="BC8" s="414">
        <f t="shared" ref="BC8" si="30">BC7+BB8</f>
        <v>154678.13</v>
      </c>
      <c r="BD8" s="415">
        <f t="shared" ref="BD8" si="31">BD7+BC8</f>
        <v>188435.71000000002</v>
      </c>
      <c r="BE8" s="416">
        <f>BE4-BE5</f>
        <v>188435.71</v>
      </c>
    </row>
    <row r="9" spans="1:57" ht="12" customHeight="1">
      <c r="B9" s="404" t="s">
        <v>20</v>
      </c>
      <c r="C9" s="436"/>
      <c r="D9" s="436"/>
      <c r="E9" s="436"/>
      <c r="F9" s="436"/>
      <c r="G9" s="436"/>
      <c r="H9" s="436"/>
      <c r="I9" s="436"/>
      <c r="J9" s="436"/>
      <c r="K9" s="436"/>
      <c r="L9" s="436"/>
      <c r="M9" s="436"/>
      <c r="N9" s="436"/>
      <c r="O9" s="405"/>
      <c r="P9" s="444"/>
      <c r="Q9" s="444"/>
      <c r="R9" s="444"/>
      <c r="S9" s="444"/>
      <c r="T9" s="444"/>
      <c r="U9" s="444"/>
      <c r="V9" s="444"/>
      <c r="W9" s="444"/>
      <c r="X9" s="444"/>
      <c r="Y9" s="444"/>
      <c r="Z9" s="444"/>
      <c r="AA9" s="444"/>
      <c r="AB9" s="405"/>
      <c r="AC9" s="444"/>
      <c r="AD9" s="444"/>
      <c r="AE9" s="444"/>
      <c r="AF9" s="444"/>
      <c r="AG9" s="444"/>
      <c r="AH9" s="444"/>
      <c r="AI9" s="444"/>
      <c r="AJ9" s="444"/>
      <c r="AK9" s="408"/>
      <c r="AL9" s="408"/>
      <c r="AM9" s="408"/>
      <c r="AN9" s="408"/>
      <c r="AO9" s="405"/>
      <c r="AS9" s="408"/>
      <c r="AT9" s="408"/>
      <c r="AU9" s="408"/>
      <c r="AV9" s="408"/>
      <c r="AW9" s="408"/>
      <c r="AX9" s="408"/>
      <c r="AY9" s="408"/>
      <c r="AZ9" s="408"/>
      <c r="BA9" s="408"/>
      <c r="BB9" s="408"/>
      <c r="BC9" s="408"/>
      <c r="BD9" s="408"/>
      <c r="BE9" s="405"/>
    </row>
    <row r="10" spans="1:57">
      <c r="B10" s="407" t="s">
        <v>16</v>
      </c>
      <c r="C10" s="444">
        <f>'Ing y gtos'!AE42</f>
        <v>4256.9500000000007</v>
      </c>
      <c r="D10" s="444">
        <f>'Ing y gtos'!AF42</f>
        <v>280.97000000000003</v>
      </c>
      <c r="E10" s="444">
        <f>'Ing y gtos'!AG42</f>
        <v>7918.95</v>
      </c>
      <c r="F10" s="444">
        <f>'Ing y gtos'!AH42</f>
        <v>5851.5300000000007</v>
      </c>
      <c r="G10" s="444">
        <f>'Ing y gtos'!AI42</f>
        <v>6817.68</v>
      </c>
      <c r="H10" s="444">
        <f>'Ing y gtos'!AJ42</f>
        <v>1725.36</v>
      </c>
      <c r="I10" s="444">
        <f>'Ing y gtos'!AK42</f>
        <v>2334.5699999999997</v>
      </c>
      <c r="J10" s="444">
        <f>'Ing y gtos'!AL42</f>
        <v>34055.67</v>
      </c>
      <c r="K10" s="444">
        <f>'Ing y gtos'!AM42</f>
        <v>48086.100000000006</v>
      </c>
      <c r="L10" s="444">
        <f>'Ing y gtos'!AN42</f>
        <v>21953.81</v>
      </c>
      <c r="M10" s="444">
        <f>'Ing y gtos'!AO42</f>
        <v>11.84</v>
      </c>
      <c r="N10" s="444">
        <f>'Ing y gtos'!AP42</f>
        <v>7039.3300000000008</v>
      </c>
      <c r="O10" s="405">
        <f>SUM(C10:N10)</f>
        <v>140332.75999999998</v>
      </c>
      <c r="P10" s="444">
        <f>'Ing y gtos'!AU42</f>
        <v>1689.99</v>
      </c>
      <c r="Q10" s="444">
        <f>'Ing y gtos'!AV42</f>
        <v>5922.68</v>
      </c>
      <c r="R10" s="444">
        <f>'Ing y gtos'!AW42</f>
        <v>1825.73</v>
      </c>
      <c r="S10" s="444">
        <f>'Ing y gtos'!AX42</f>
        <v>3923.39</v>
      </c>
      <c r="T10" s="444">
        <f>'Ing y gtos'!AY42</f>
        <v>3567.39</v>
      </c>
      <c r="U10" s="444">
        <f>'Ing y gtos'!AZ42</f>
        <v>20249.95</v>
      </c>
      <c r="V10" s="444">
        <f>'Ing y gtos'!BA42</f>
        <v>18215.37</v>
      </c>
      <c r="W10" s="444">
        <f>'Ing y gtos'!BB42</f>
        <v>53326</v>
      </c>
      <c r="X10" s="444">
        <f>'Ing y gtos'!BC42</f>
        <v>20214.210000000003</v>
      </c>
      <c r="Y10" s="444">
        <f>'Ing y gtos'!BD42</f>
        <v>2453.8500000000004</v>
      </c>
      <c r="Z10" s="444">
        <f>'Ing y gtos'!BE42</f>
        <v>5037.74</v>
      </c>
      <c r="AA10" s="444">
        <f>'Ing y gtos'!BF42</f>
        <v>8485.09</v>
      </c>
      <c r="AB10" s="405">
        <f>SUM(P10:AA10)</f>
        <v>144911.38999999998</v>
      </c>
      <c r="AC10" s="444">
        <f>'Ing y gtos'!BJ42</f>
        <v>3918.04</v>
      </c>
      <c r="AD10" s="444">
        <f>'Ing y gtos'!BK42</f>
        <v>6447.53</v>
      </c>
      <c r="AE10" s="444">
        <f>'Ing y gtos'!BL42</f>
        <v>4972.3700000000008</v>
      </c>
      <c r="AF10" s="444">
        <f>'Ing y gtos'!BM42</f>
        <v>5951.74</v>
      </c>
      <c r="AG10" s="444">
        <f>'Ing y gtos'!BN42</f>
        <v>3440.3899999999994</v>
      </c>
      <c r="AH10" s="444">
        <f>'Ing y gtos'!BO42</f>
        <v>31356.42</v>
      </c>
      <c r="AI10" s="444">
        <f>'Ing y gtos'!BP42</f>
        <v>4000.67</v>
      </c>
      <c r="AJ10" s="444">
        <f>'Ing y gtos'!BQ42</f>
        <v>58156.46</v>
      </c>
      <c r="AK10" s="408">
        <f>'Ing y gtos'!BR42</f>
        <v>2972.1899999999996</v>
      </c>
      <c r="AL10" s="408">
        <f>'Ing y gtos'!BS42</f>
        <v>10791.53</v>
      </c>
      <c r="AM10" s="408">
        <f>'Ing y gtos'!BT42</f>
        <v>4449.9699999999993</v>
      </c>
      <c r="AN10" s="408">
        <f>'Ing y gtos'!BU42</f>
        <v>6321.49</v>
      </c>
      <c r="AO10" s="405">
        <f>SUM(AC10:AN10)</f>
        <v>142778.79999999999</v>
      </c>
      <c r="AS10" s="408">
        <f>'Ing y gtos'!BY42</f>
        <v>0</v>
      </c>
      <c r="AT10" s="408">
        <f>'Ing y gtos'!BZ42</f>
        <v>0</v>
      </c>
      <c r="AU10" s="408">
        <f>'Ing y gtos'!CA42</f>
        <v>0</v>
      </c>
      <c r="AV10" s="408">
        <f>'Ing y gtos'!CB42</f>
        <v>0</v>
      </c>
      <c r="AW10" s="408">
        <f>'Ing y gtos'!CC42</f>
        <v>0</v>
      </c>
      <c r="AX10" s="408">
        <f>'Ing y gtos'!CD42</f>
        <v>31824</v>
      </c>
      <c r="AY10" s="408">
        <f>'Ing y gtos'!CE42</f>
        <v>63648</v>
      </c>
      <c r="AZ10" s="408">
        <f>'Ing y gtos'!CF42</f>
        <v>31824</v>
      </c>
      <c r="BA10" s="408">
        <f>'Ing y gtos'!CG42</f>
        <v>8000</v>
      </c>
      <c r="BB10" s="408">
        <f>'Ing y gtos'!CH42</f>
        <v>8000</v>
      </c>
      <c r="BC10" s="408">
        <f>'Ing y gtos'!CI42</f>
        <v>0</v>
      </c>
      <c r="BD10" s="408">
        <f>'Ing y gtos'!CJ42</f>
        <v>0</v>
      </c>
      <c r="BE10" s="405">
        <f>SUM(AS10:BD10)</f>
        <v>143296</v>
      </c>
    </row>
    <row r="11" spans="1:57">
      <c r="B11" s="407" t="s">
        <v>17</v>
      </c>
      <c r="C11" s="444">
        <f>'Ing y gtos'!AE54</f>
        <v>0</v>
      </c>
      <c r="D11" s="444">
        <f>'Ing y gtos'!AF54</f>
        <v>2580.2600000000002</v>
      </c>
      <c r="E11" s="444">
        <f>'Ing y gtos'!AG54</f>
        <v>4060.27</v>
      </c>
      <c r="F11" s="444">
        <f>'Ing y gtos'!AH54</f>
        <v>5231.09</v>
      </c>
      <c r="G11" s="444">
        <f>'Ing y gtos'!AI54</f>
        <v>6014.37</v>
      </c>
      <c r="H11" s="444">
        <f>'Ing y gtos'!AJ54</f>
        <v>3635.26</v>
      </c>
      <c r="I11" s="444">
        <f>'Ing y gtos'!AK54</f>
        <v>1494.8878999999999</v>
      </c>
      <c r="J11" s="444">
        <f>'Ing y gtos'!AL54</f>
        <v>6161.8200000000006</v>
      </c>
      <c r="K11" s="444">
        <f>'Ing y gtos'!AM54</f>
        <v>6469.5400000000009</v>
      </c>
      <c r="L11" s="444">
        <f>'Ing y gtos'!AN54</f>
        <v>6495.07</v>
      </c>
      <c r="M11" s="444">
        <f>'Ing y gtos'!AO54</f>
        <v>5823.6600000000008</v>
      </c>
      <c r="N11" s="444">
        <f>'Ing y gtos'!AP54</f>
        <v>2308.35</v>
      </c>
      <c r="O11" s="405">
        <f>SUM(C11:N11)</f>
        <v>50274.577900000004</v>
      </c>
      <c r="P11" s="444">
        <f>'Ing y gtos'!AU54</f>
        <v>1967.1399999999999</v>
      </c>
      <c r="Q11" s="444">
        <f>'Ing y gtos'!AV54</f>
        <v>48.389999999999993</v>
      </c>
      <c r="R11" s="444">
        <f>'Ing y gtos'!AW54</f>
        <v>4608.29</v>
      </c>
      <c r="S11" s="444">
        <f>'Ing y gtos'!AX54</f>
        <v>3678.4300000000003</v>
      </c>
      <c r="T11" s="444">
        <f>'Ing y gtos'!AY54</f>
        <v>4127.2</v>
      </c>
      <c r="U11" s="444">
        <f>'Ing y gtos'!AZ54</f>
        <v>1865.58</v>
      </c>
      <c r="V11" s="444">
        <f>'Ing y gtos'!BA54</f>
        <v>1951.9599999999998</v>
      </c>
      <c r="W11" s="444">
        <f>'Ing y gtos'!BB54</f>
        <v>7250.01</v>
      </c>
      <c r="X11" s="444">
        <f>'Ing y gtos'!BC54</f>
        <v>11254.779999999999</v>
      </c>
      <c r="Y11" s="444">
        <f>'Ing y gtos'!BD54</f>
        <v>6244.57</v>
      </c>
      <c r="Z11" s="444">
        <f>'Ing y gtos'!BE54</f>
        <v>364.61</v>
      </c>
      <c r="AA11" s="444">
        <f>'Ing y gtos'!BF54</f>
        <v>4600.9400000000005</v>
      </c>
      <c r="AB11" s="405">
        <f>SUM(P11:AA11)</f>
        <v>47961.9</v>
      </c>
      <c r="AC11" s="444">
        <f>'Ing y gtos'!BJ54</f>
        <v>362.52</v>
      </c>
      <c r="AD11" s="444">
        <f>'Ing y gtos'!BK54</f>
        <v>8388.630000000001</v>
      </c>
      <c r="AE11" s="444">
        <f>'Ing y gtos'!BL54</f>
        <v>10129.099999999999</v>
      </c>
      <c r="AF11" s="444">
        <f>'Ing y gtos'!BM54</f>
        <v>9859.880000000001</v>
      </c>
      <c r="AG11" s="444">
        <f>'Ing y gtos'!BN54</f>
        <v>3139.49</v>
      </c>
      <c r="AH11" s="444">
        <f>'Ing y gtos'!BO54</f>
        <v>7828.4699999999993</v>
      </c>
      <c r="AI11" s="444">
        <f>'Ing y gtos'!BP54</f>
        <v>6049.99</v>
      </c>
      <c r="AJ11" s="444">
        <f>'Ing y gtos'!BQ54</f>
        <v>6219.26</v>
      </c>
      <c r="AK11" s="408">
        <f>'Ing y gtos'!BR54</f>
        <v>5203.12</v>
      </c>
      <c r="AL11" s="408">
        <f>'Ing y gtos'!BS54</f>
        <v>7950.31</v>
      </c>
      <c r="AM11" s="408">
        <f>'Ing y gtos'!BT54</f>
        <v>804.67000000000007</v>
      </c>
      <c r="AN11" s="408">
        <f>'Ing y gtos'!BU54</f>
        <v>1700</v>
      </c>
      <c r="AO11" s="405">
        <f>SUM(AC11:AN11)</f>
        <v>67635.44</v>
      </c>
      <c r="AS11" s="408">
        <f>'Ing y gtos'!BY54</f>
        <v>750</v>
      </c>
      <c r="AT11" s="408">
        <f>'Ing y gtos'!BZ54</f>
        <v>250</v>
      </c>
      <c r="AU11" s="408">
        <f>'Ing y gtos'!CA54</f>
        <v>1750</v>
      </c>
      <c r="AV11" s="408">
        <f>'Ing y gtos'!CB54</f>
        <v>750</v>
      </c>
      <c r="AW11" s="408">
        <f>'Ing y gtos'!CC54</f>
        <v>750</v>
      </c>
      <c r="AX11" s="408">
        <f>'Ing y gtos'!CD54</f>
        <v>250</v>
      </c>
      <c r="AY11" s="408">
        <f>'Ing y gtos'!CE54</f>
        <v>250</v>
      </c>
      <c r="AZ11" s="408">
        <f>'Ing y gtos'!CF54</f>
        <v>2250</v>
      </c>
      <c r="BA11" s="408">
        <f>'Ing y gtos'!CG54</f>
        <v>250</v>
      </c>
      <c r="BB11" s="408">
        <f>'Ing y gtos'!CH54</f>
        <v>250</v>
      </c>
      <c r="BC11" s="408">
        <f>'Ing y gtos'!CI54</f>
        <v>250</v>
      </c>
      <c r="BD11" s="408">
        <f>'Ing y gtos'!CJ54</f>
        <v>250</v>
      </c>
      <c r="BE11" s="405">
        <f>SUM(AS11:BD11)</f>
        <v>8000</v>
      </c>
    </row>
    <row r="12" spans="1:57" ht="5.25" hidden="1" customHeight="1">
      <c r="B12" s="400"/>
      <c r="C12" s="436"/>
      <c r="D12" s="436"/>
      <c r="E12" s="436"/>
      <c r="F12" s="436"/>
      <c r="G12" s="436"/>
      <c r="H12" s="436"/>
      <c r="I12" s="436"/>
      <c r="J12" s="436"/>
      <c r="K12" s="436"/>
      <c r="L12" s="436"/>
      <c r="M12" s="436"/>
      <c r="N12" s="436"/>
      <c r="O12" s="405"/>
      <c r="P12" s="444"/>
      <c r="Q12" s="444"/>
      <c r="R12" s="444"/>
      <c r="S12" s="444"/>
      <c r="T12" s="444"/>
      <c r="U12" s="444"/>
      <c r="V12" s="444"/>
      <c r="W12" s="444"/>
      <c r="X12" s="444"/>
      <c r="Y12" s="444"/>
      <c r="Z12" s="444"/>
      <c r="AA12" s="444"/>
      <c r="AB12" s="405"/>
      <c r="AC12" s="444"/>
      <c r="AD12" s="444"/>
      <c r="AE12" s="444"/>
      <c r="AF12" s="444"/>
      <c r="AG12" s="444"/>
      <c r="AH12" s="444"/>
      <c r="AI12" s="444"/>
      <c r="AJ12" s="444"/>
      <c r="AK12" s="408"/>
      <c r="AL12" s="408"/>
      <c r="AM12" s="408"/>
      <c r="AN12" s="408"/>
      <c r="AO12" s="405"/>
      <c r="AS12" s="408"/>
      <c r="AT12" s="408"/>
      <c r="AU12" s="408"/>
      <c r="AV12" s="408"/>
      <c r="AW12" s="408"/>
      <c r="AX12" s="408"/>
      <c r="AY12" s="408"/>
      <c r="AZ12" s="408"/>
      <c r="BA12" s="408"/>
      <c r="BB12" s="408"/>
      <c r="BC12" s="408"/>
      <c r="BD12" s="408"/>
      <c r="BE12" s="405"/>
    </row>
    <row r="13" spans="1:57" s="412" customFormat="1">
      <c r="A13" s="410"/>
      <c r="B13" s="411" t="s">
        <v>18</v>
      </c>
      <c r="C13" s="444">
        <f>C10-C11</f>
        <v>4256.9500000000007</v>
      </c>
      <c r="D13" s="444">
        <f t="shared" ref="D13:N13" si="32">D10-D11</f>
        <v>-2299.29</v>
      </c>
      <c r="E13" s="444">
        <f t="shared" si="32"/>
        <v>3858.68</v>
      </c>
      <c r="F13" s="444">
        <f t="shared" si="32"/>
        <v>620.44000000000051</v>
      </c>
      <c r="G13" s="444">
        <f t="shared" si="32"/>
        <v>803.3100000000004</v>
      </c>
      <c r="H13" s="444">
        <f t="shared" si="32"/>
        <v>-1909.9000000000003</v>
      </c>
      <c r="I13" s="444">
        <f t="shared" si="32"/>
        <v>839.68209999999976</v>
      </c>
      <c r="J13" s="444">
        <f t="shared" si="32"/>
        <v>27893.85</v>
      </c>
      <c r="K13" s="444">
        <f t="shared" si="32"/>
        <v>41616.560000000005</v>
      </c>
      <c r="L13" s="444">
        <f t="shared" si="32"/>
        <v>15458.740000000002</v>
      </c>
      <c r="M13" s="444">
        <f t="shared" si="32"/>
        <v>-5811.8200000000006</v>
      </c>
      <c r="N13" s="444">
        <f t="shared" si="32"/>
        <v>4730.9800000000014</v>
      </c>
      <c r="O13" s="405"/>
      <c r="P13" s="444">
        <f>P10-P11</f>
        <v>-277.14999999999986</v>
      </c>
      <c r="Q13" s="444">
        <f>Q10-Q11</f>
        <v>5874.29</v>
      </c>
      <c r="R13" s="444">
        <f t="shared" ref="R13:AA13" si="33">R10-R11</f>
        <v>-2782.56</v>
      </c>
      <c r="S13" s="444">
        <f t="shared" si="33"/>
        <v>244.95999999999958</v>
      </c>
      <c r="T13" s="444">
        <f t="shared" si="33"/>
        <v>-559.80999999999995</v>
      </c>
      <c r="U13" s="444">
        <f t="shared" si="33"/>
        <v>18384.370000000003</v>
      </c>
      <c r="V13" s="444">
        <f t="shared" si="33"/>
        <v>16263.41</v>
      </c>
      <c r="W13" s="444">
        <f t="shared" si="33"/>
        <v>46075.99</v>
      </c>
      <c r="X13" s="444">
        <f t="shared" si="33"/>
        <v>8959.4300000000039</v>
      </c>
      <c r="Y13" s="444">
        <f t="shared" si="33"/>
        <v>-3790.7199999999993</v>
      </c>
      <c r="Z13" s="444">
        <f t="shared" si="33"/>
        <v>4673.13</v>
      </c>
      <c r="AA13" s="444">
        <f t="shared" si="33"/>
        <v>3884.1499999999996</v>
      </c>
      <c r="AB13" s="405"/>
      <c r="AC13" s="444">
        <f>AC10-AC11</f>
        <v>3555.52</v>
      </c>
      <c r="AD13" s="444">
        <f>AD10-AD11</f>
        <v>-1941.1000000000013</v>
      </c>
      <c r="AE13" s="444">
        <f t="shared" ref="AE13:AN13" si="34">AE10-AE11</f>
        <v>-5156.7299999999977</v>
      </c>
      <c r="AF13" s="444">
        <f t="shared" si="34"/>
        <v>-3908.1400000000012</v>
      </c>
      <c r="AG13" s="444">
        <f t="shared" si="34"/>
        <v>300.89999999999964</v>
      </c>
      <c r="AH13" s="444">
        <f t="shared" si="34"/>
        <v>23527.949999999997</v>
      </c>
      <c r="AI13" s="444">
        <f t="shared" si="34"/>
        <v>-2049.3199999999997</v>
      </c>
      <c r="AJ13" s="444">
        <f t="shared" si="34"/>
        <v>51937.2</v>
      </c>
      <c r="AK13" s="408">
        <f t="shared" si="34"/>
        <v>-2230.9300000000003</v>
      </c>
      <c r="AL13" s="408">
        <f t="shared" si="34"/>
        <v>2841.2200000000003</v>
      </c>
      <c r="AM13" s="408">
        <f t="shared" si="34"/>
        <v>3645.2999999999993</v>
      </c>
      <c r="AN13" s="408">
        <f t="shared" si="34"/>
        <v>4621.49</v>
      </c>
      <c r="AO13" s="405"/>
      <c r="AP13" s="410"/>
      <c r="AQ13" s="410"/>
      <c r="AR13" s="487"/>
      <c r="AS13" s="408">
        <f>AS10-AS11</f>
        <v>-750</v>
      </c>
      <c r="AT13" s="408">
        <f>AT10-AT11</f>
        <v>-250</v>
      </c>
      <c r="AU13" s="408">
        <f t="shared" ref="AU13:BD13" si="35">AU10-AU11</f>
        <v>-1750</v>
      </c>
      <c r="AV13" s="408">
        <f t="shared" si="35"/>
        <v>-750</v>
      </c>
      <c r="AW13" s="408">
        <f t="shared" si="35"/>
        <v>-750</v>
      </c>
      <c r="AX13" s="408">
        <f t="shared" si="35"/>
        <v>31574</v>
      </c>
      <c r="AY13" s="408">
        <f t="shared" si="35"/>
        <v>63398</v>
      </c>
      <c r="AZ13" s="408">
        <f t="shared" si="35"/>
        <v>29574</v>
      </c>
      <c r="BA13" s="408">
        <f t="shared" si="35"/>
        <v>7750</v>
      </c>
      <c r="BB13" s="408">
        <f t="shared" si="35"/>
        <v>7750</v>
      </c>
      <c r="BC13" s="408">
        <f t="shared" si="35"/>
        <v>-250</v>
      </c>
      <c r="BD13" s="408">
        <f t="shared" si="35"/>
        <v>-250</v>
      </c>
      <c r="BE13" s="405"/>
    </row>
    <row r="14" spans="1:57" s="412" customFormat="1">
      <c r="A14" s="410"/>
      <c r="B14" s="413" t="s">
        <v>19</v>
      </c>
      <c r="C14" s="445">
        <f>C13</f>
        <v>4256.9500000000007</v>
      </c>
      <c r="D14" s="445">
        <f>D13+C14</f>
        <v>1957.6600000000008</v>
      </c>
      <c r="E14" s="445">
        <f t="shared" ref="E14:N14" si="36">E13+D14</f>
        <v>5816.34</v>
      </c>
      <c r="F14" s="445">
        <f t="shared" si="36"/>
        <v>6436.7800000000007</v>
      </c>
      <c r="G14" s="445">
        <f t="shared" si="36"/>
        <v>7240.0900000000011</v>
      </c>
      <c r="H14" s="445">
        <f t="shared" si="36"/>
        <v>5330.1900000000005</v>
      </c>
      <c r="I14" s="445">
        <f t="shared" si="36"/>
        <v>6169.8721000000005</v>
      </c>
      <c r="J14" s="445">
        <f t="shared" si="36"/>
        <v>34063.722099999999</v>
      </c>
      <c r="K14" s="445">
        <f t="shared" si="36"/>
        <v>75680.282100000011</v>
      </c>
      <c r="L14" s="445">
        <f t="shared" si="36"/>
        <v>91139.022100000017</v>
      </c>
      <c r="M14" s="445">
        <f t="shared" si="36"/>
        <v>85327.20210000001</v>
      </c>
      <c r="N14" s="446">
        <f t="shared" si="36"/>
        <v>90058.182100000005</v>
      </c>
      <c r="O14" s="416">
        <f>O10-O11</f>
        <v>90058.182099999976</v>
      </c>
      <c r="P14" s="445">
        <f>P13</f>
        <v>-277.14999999999986</v>
      </c>
      <c r="Q14" s="445">
        <f>Q13+P14</f>
        <v>5597.14</v>
      </c>
      <c r="R14" s="445">
        <f t="shared" ref="R14:AA14" si="37">R13+Q14</f>
        <v>2814.5800000000004</v>
      </c>
      <c r="S14" s="445">
        <f t="shared" si="37"/>
        <v>3059.54</v>
      </c>
      <c r="T14" s="445">
        <f t="shared" si="37"/>
        <v>2499.73</v>
      </c>
      <c r="U14" s="445">
        <f t="shared" si="37"/>
        <v>20884.100000000002</v>
      </c>
      <c r="V14" s="445">
        <f t="shared" si="37"/>
        <v>37147.51</v>
      </c>
      <c r="W14" s="445">
        <f t="shared" si="37"/>
        <v>83223.5</v>
      </c>
      <c r="X14" s="445">
        <f t="shared" si="37"/>
        <v>92182.930000000008</v>
      </c>
      <c r="Y14" s="445">
        <f t="shared" si="37"/>
        <v>88392.21</v>
      </c>
      <c r="Z14" s="445">
        <f t="shared" si="37"/>
        <v>93065.340000000011</v>
      </c>
      <c r="AA14" s="446">
        <f t="shared" si="37"/>
        <v>96949.49</v>
      </c>
      <c r="AB14" s="416">
        <f>AB10-AB11</f>
        <v>96949.489999999991</v>
      </c>
      <c r="AC14" s="445">
        <f>AC13</f>
        <v>3555.52</v>
      </c>
      <c r="AD14" s="445">
        <f>AD13+AC14</f>
        <v>1614.4199999999987</v>
      </c>
      <c r="AE14" s="445">
        <f t="shared" ref="AE14" si="38">AE13+AD14</f>
        <v>-3542.309999999999</v>
      </c>
      <c r="AF14" s="445">
        <f t="shared" ref="AF14" si="39">AF13+AE14</f>
        <v>-7450.4500000000007</v>
      </c>
      <c r="AG14" s="445">
        <f t="shared" ref="AG14" si="40">AG13+AF14</f>
        <v>-7149.5500000000011</v>
      </c>
      <c r="AH14" s="445">
        <f t="shared" ref="AH14" si="41">AH13+AG14</f>
        <v>16378.399999999996</v>
      </c>
      <c r="AI14" s="445">
        <f t="shared" ref="AI14" si="42">AI13+AH14</f>
        <v>14329.079999999996</v>
      </c>
      <c r="AJ14" s="445">
        <f t="shared" ref="AJ14" si="43">AJ13+AI14</f>
        <v>66266.28</v>
      </c>
      <c r="AK14" s="414">
        <f t="shared" ref="AK14" si="44">AK13+AJ14</f>
        <v>64035.35</v>
      </c>
      <c r="AL14" s="414">
        <f t="shared" ref="AL14" si="45">AL13+AK14</f>
        <v>66876.569999999992</v>
      </c>
      <c r="AM14" s="414">
        <f t="shared" ref="AM14" si="46">AM13+AL14</f>
        <v>70521.87</v>
      </c>
      <c r="AN14" s="415">
        <f t="shared" ref="AN14" si="47">AN13+AM14</f>
        <v>75143.360000000001</v>
      </c>
      <c r="AO14" s="416">
        <f>AO10-AO11</f>
        <v>75143.359999999986</v>
      </c>
      <c r="AP14" s="410"/>
      <c r="AQ14" s="410"/>
      <c r="AR14" s="487"/>
      <c r="AS14" s="414">
        <f>AS13</f>
        <v>-750</v>
      </c>
      <c r="AT14" s="414">
        <f>AT13+AS14</f>
        <v>-1000</v>
      </c>
      <c r="AU14" s="414">
        <f t="shared" ref="AU14" si="48">AU13+AT14</f>
        <v>-2750</v>
      </c>
      <c r="AV14" s="414">
        <f t="shared" ref="AV14" si="49">AV13+AU14</f>
        <v>-3500</v>
      </c>
      <c r="AW14" s="414">
        <f t="shared" ref="AW14" si="50">AW13+AV14</f>
        <v>-4250</v>
      </c>
      <c r="AX14" s="414">
        <f t="shared" ref="AX14" si="51">AX13+AW14</f>
        <v>27324</v>
      </c>
      <c r="AY14" s="414">
        <f t="shared" ref="AY14" si="52">AY13+AX14</f>
        <v>90722</v>
      </c>
      <c r="AZ14" s="414">
        <f t="shared" ref="AZ14" si="53">AZ13+AY14</f>
        <v>120296</v>
      </c>
      <c r="BA14" s="414">
        <f t="shared" ref="BA14" si="54">BA13+AZ14</f>
        <v>128046</v>
      </c>
      <c r="BB14" s="414">
        <f t="shared" ref="BB14" si="55">BB13+BA14</f>
        <v>135796</v>
      </c>
      <c r="BC14" s="414">
        <f t="shared" ref="BC14" si="56">BC13+BB14</f>
        <v>135546</v>
      </c>
      <c r="BD14" s="415">
        <f t="shared" ref="BD14" si="57">BD13+BC14</f>
        <v>135296</v>
      </c>
      <c r="BE14" s="416">
        <f>BE10-BE11</f>
        <v>135296</v>
      </c>
    </row>
    <row r="15" spans="1:57" ht="11.25" customHeight="1">
      <c r="B15" s="404" t="s">
        <v>21</v>
      </c>
      <c r="C15" s="436"/>
      <c r="D15" s="436"/>
      <c r="E15" s="436"/>
      <c r="F15" s="436"/>
      <c r="G15" s="436"/>
      <c r="H15" s="436"/>
      <c r="I15" s="436"/>
      <c r="J15" s="436"/>
      <c r="K15" s="436"/>
      <c r="L15" s="436"/>
      <c r="M15" s="436"/>
      <c r="N15" s="436"/>
      <c r="O15" s="405"/>
      <c r="P15" s="444"/>
      <c r="Q15" s="444"/>
      <c r="R15" s="444"/>
      <c r="S15" s="444"/>
      <c r="T15" s="444"/>
      <c r="U15" s="444"/>
      <c r="V15" s="444"/>
      <c r="W15" s="444"/>
      <c r="X15" s="444"/>
      <c r="Y15" s="444"/>
      <c r="Z15" s="444"/>
      <c r="AA15" s="444"/>
      <c r="AB15" s="405"/>
      <c r="AC15" s="444"/>
      <c r="AD15" s="444"/>
      <c r="AE15" s="444"/>
      <c r="AF15" s="444"/>
      <c r="AG15" s="444"/>
      <c r="AH15" s="444"/>
      <c r="AI15" s="444"/>
      <c r="AJ15" s="444"/>
      <c r="AK15" s="408"/>
      <c r="AL15" s="408"/>
      <c r="AM15" s="408"/>
      <c r="AN15" s="408"/>
      <c r="AO15" s="405"/>
      <c r="AS15" s="408"/>
      <c r="AT15" s="408"/>
      <c r="AU15" s="408"/>
      <c r="AV15" s="408"/>
      <c r="AW15" s="408"/>
      <c r="AX15" s="408"/>
      <c r="AY15" s="408"/>
      <c r="AZ15" s="408"/>
      <c r="BA15" s="408"/>
      <c r="BB15" s="408"/>
      <c r="BC15" s="408"/>
      <c r="BD15" s="408"/>
      <c r="BE15" s="405"/>
    </row>
    <row r="16" spans="1:57">
      <c r="B16" s="407" t="s">
        <v>16</v>
      </c>
      <c r="C16" s="444">
        <f>'Ing y gtos'!AE65</f>
        <v>0</v>
      </c>
      <c r="D16" s="444">
        <f>'Ing y gtos'!AF65</f>
        <v>0</v>
      </c>
      <c r="E16" s="444">
        <f>'Ing y gtos'!AG65</f>
        <v>11902</v>
      </c>
      <c r="F16" s="444">
        <f>'Ing y gtos'!AH65</f>
        <v>0</v>
      </c>
      <c r="G16" s="444">
        <f>'Ing y gtos'!AI65</f>
        <v>2858.9</v>
      </c>
      <c r="H16" s="444">
        <f>'Ing y gtos'!AJ65</f>
        <v>0</v>
      </c>
      <c r="I16" s="444">
        <f>'Ing y gtos'!AK65</f>
        <v>0</v>
      </c>
      <c r="J16" s="444">
        <f>'Ing y gtos'!AL65</f>
        <v>0</v>
      </c>
      <c r="K16" s="444">
        <f>'Ing y gtos'!AM65</f>
        <v>75</v>
      </c>
      <c r="L16" s="444">
        <f>'Ing y gtos'!AN65</f>
        <v>900</v>
      </c>
      <c r="M16" s="444">
        <f>'Ing y gtos'!AO65</f>
        <v>0</v>
      </c>
      <c r="N16" s="444">
        <f>'Ing y gtos'!AP65</f>
        <v>0</v>
      </c>
      <c r="O16" s="405">
        <f t="shared" ref="O16:O17" si="58">SUM(C16:N16)</f>
        <v>15735.9</v>
      </c>
      <c r="P16" s="444">
        <f>'Ing y gtos'!AU61</f>
        <v>0</v>
      </c>
      <c r="Q16" s="444">
        <f>'Ing y gtos'!AV61</f>
        <v>0</v>
      </c>
      <c r="R16" s="444">
        <f>'Ing y gtos'!AW61</f>
        <v>0</v>
      </c>
      <c r="S16" s="444">
        <f>'Ing y gtos'!AX61</f>
        <v>0</v>
      </c>
      <c r="T16" s="444">
        <f>'Ing y gtos'!AY61</f>
        <v>180</v>
      </c>
      <c r="U16" s="444">
        <f>'Ing y gtos'!AZ61</f>
        <v>0</v>
      </c>
      <c r="V16" s="444">
        <f>'Ing y gtos'!BA61</f>
        <v>0</v>
      </c>
      <c r="W16" s="444">
        <f>'Ing y gtos'!BB61</f>
        <v>1232</v>
      </c>
      <c r="X16" s="444">
        <f>'Ing y gtos'!BC61</f>
        <v>0</v>
      </c>
      <c r="Y16" s="444">
        <f>'Ing y gtos'!BD61</f>
        <v>0</v>
      </c>
      <c r="Z16" s="444">
        <f>'Ing y gtos'!BE61</f>
        <v>0</v>
      </c>
      <c r="AA16" s="444">
        <f>'Ing y gtos'!BF61</f>
        <v>0</v>
      </c>
      <c r="AB16" s="405">
        <f t="shared" ref="AB16:AB17" si="59">SUM(P16:AA16)</f>
        <v>1412</v>
      </c>
      <c r="AC16" s="444">
        <f>'Ing y gtos'!BJ61</f>
        <v>0</v>
      </c>
      <c r="AD16" s="444">
        <f>'Ing y gtos'!BK61</f>
        <v>0</v>
      </c>
      <c r="AE16" s="444">
        <f>'Ing y gtos'!BL61</f>
        <v>0</v>
      </c>
      <c r="AF16" s="444">
        <f>'Ing y gtos'!BM61</f>
        <v>365</v>
      </c>
      <c r="AG16" s="444">
        <f>'Ing y gtos'!BN61</f>
        <v>0</v>
      </c>
      <c r="AH16" s="444">
        <f>'Ing y gtos'!BO61</f>
        <v>400</v>
      </c>
      <c r="AI16" s="444">
        <f>'Ing y gtos'!BP61</f>
        <v>0</v>
      </c>
      <c r="AJ16" s="444">
        <f>'Ing y gtos'!BQ61</f>
        <v>1045</v>
      </c>
      <c r="AK16" s="408">
        <f>'Ing y gtos'!BR61</f>
        <v>0</v>
      </c>
      <c r="AL16" s="408">
        <f>'Ing y gtos'!BS61</f>
        <v>0</v>
      </c>
      <c r="AM16" s="408">
        <f>'Ing y gtos'!BT61</f>
        <v>0</v>
      </c>
      <c r="AN16" s="408">
        <f>'Ing y gtos'!BU61</f>
        <v>0</v>
      </c>
      <c r="AO16" s="405">
        <f t="shared" ref="AO16:AO17" si="60">SUM(AC16:AN16)</f>
        <v>1810</v>
      </c>
      <c r="AS16" s="408">
        <f>'Ing y gtos'!BY61</f>
        <v>0</v>
      </c>
      <c r="AT16" s="408">
        <f>'Ing y gtos'!BZ61</f>
        <v>0</v>
      </c>
      <c r="AU16" s="408">
        <f>'Ing y gtos'!CA61</f>
        <v>0</v>
      </c>
      <c r="AV16" s="408">
        <f>'Ing y gtos'!CB61</f>
        <v>0</v>
      </c>
      <c r="AW16" s="408">
        <f>'Ing y gtos'!CC61</f>
        <v>0</v>
      </c>
      <c r="AX16" s="408">
        <f>'Ing y gtos'!CD61</f>
        <v>0</v>
      </c>
      <c r="AY16" s="408">
        <f>'Ing y gtos'!CE61</f>
        <v>0</v>
      </c>
      <c r="AZ16" s="408">
        <f>'Ing y gtos'!CF61</f>
        <v>0</v>
      </c>
      <c r="BA16" s="408">
        <f>'Ing y gtos'!CG61</f>
        <v>0</v>
      </c>
      <c r="BB16" s="408">
        <f>'Ing y gtos'!CH61</f>
        <v>0</v>
      </c>
      <c r="BC16" s="408">
        <f>'Ing y gtos'!CI61</f>
        <v>0</v>
      </c>
      <c r="BD16" s="408">
        <f>'Ing y gtos'!CJ61</f>
        <v>0</v>
      </c>
      <c r="BE16" s="405">
        <f t="shared" ref="BE16:BE17" si="61">SUM(AS16:BD16)</f>
        <v>0</v>
      </c>
    </row>
    <row r="17" spans="1:57">
      <c r="B17" s="407" t="s">
        <v>17</v>
      </c>
      <c r="C17" s="444">
        <f>'Ing y gtos'!AE73</f>
        <v>0</v>
      </c>
      <c r="D17" s="444">
        <f>'Ing y gtos'!AF73</f>
        <v>0</v>
      </c>
      <c r="E17" s="444">
        <f>'Ing y gtos'!AG73</f>
        <v>363.84</v>
      </c>
      <c r="F17" s="444">
        <f>'Ing y gtos'!AH73</f>
        <v>50.2</v>
      </c>
      <c r="G17" s="444">
        <f>'Ing y gtos'!AI73</f>
        <v>0</v>
      </c>
      <c r="H17" s="444">
        <f>'Ing y gtos'!AJ73</f>
        <v>0</v>
      </c>
      <c r="I17" s="444">
        <f>'Ing y gtos'!AK73</f>
        <v>0</v>
      </c>
      <c r="J17" s="444">
        <f>'Ing y gtos'!AL73</f>
        <v>0</v>
      </c>
      <c r="K17" s="444">
        <f>'Ing y gtos'!AM73</f>
        <v>16.5</v>
      </c>
      <c r="L17" s="444">
        <f>'Ing y gtos'!AN73</f>
        <v>0</v>
      </c>
      <c r="M17" s="444">
        <f>'Ing y gtos'!AO73</f>
        <v>0</v>
      </c>
      <c r="N17" s="444">
        <f>'Ing y gtos'!AP73</f>
        <v>0</v>
      </c>
      <c r="O17" s="405">
        <f t="shared" si="58"/>
        <v>430.53999999999996</v>
      </c>
      <c r="P17" s="444">
        <f>'Ing y gtos'!AU73</f>
        <v>0</v>
      </c>
      <c r="Q17" s="444">
        <f>'Ing y gtos'!AV73</f>
        <v>0</v>
      </c>
      <c r="R17" s="444">
        <f>'Ing y gtos'!AW73</f>
        <v>0</v>
      </c>
      <c r="S17" s="444">
        <f>'Ing y gtos'!AX73</f>
        <v>0</v>
      </c>
      <c r="T17" s="444">
        <f>'Ing y gtos'!AY73</f>
        <v>57.2</v>
      </c>
      <c r="U17" s="444">
        <f>'Ing y gtos'!AZ73</f>
        <v>0</v>
      </c>
      <c r="V17" s="444">
        <f>'Ing y gtos'!BA73</f>
        <v>0</v>
      </c>
      <c r="W17" s="444">
        <f>'Ing y gtos'!BB73</f>
        <v>0</v>
      </c>
      <c r="X17" s="444">
        <f>'Ing y gtos'!BC73</f>
        <v>0</v>
      </c>
      <c r="Y17" s="444">
        <f>'Ing y gtos'!BD73</f>
        <v>120</v>
      </c>
      <c r="Z17" s="444">
        <f>'Ing y gtos'!BE73</f>
        <v>0</v>
      </c>
      <c r="AA17" s="444">
        <f>'Ing y gtos'!BF73</f>
        <v>94.6</v>
      </c>
      <c r="AB17" s="405">
        <f t="shared" si="59"/>
        <v>271.79999999999995</v>
      </c>
      <c r="AC17" s="444">
        <f>'Ing y gtos'!BJ73</f>
        <v>0</v>
      </c>
      <c r="AD17" s="444">
        <f>'Ing y gtos'!BK73</f>
        <v>0</v>
      </c>
      <c r="AE17" s="444">
        <f>'Ing y gtos'!BL73</f>
        <v>0</v>
      </c>
      <c r="AF17" s="444">
        <f>'Ing y gtos'!BM73</f>
        <v>0</v>
      </c>
      <c r="AG17" s="444">
        <f>'Ing y gtos'!BN73</f>
        <v>0</v>
      </c>
      <c r="AH17" s="444">
        <f>'Ing y gtos'!BO73</f>
        <v>0</v>
      </c>
      <c r="AI17" s="444">
        <f>'Ing y gtos'!BP73</f>
        <v>0</v>
      </c>
      <c r="AJ17" s="444">
        <f>'Ing y gtos'!BQ73</f>
        <v>0</v>
      </c>
      <c r="AK17" s="408">
        <f>'Ing y gtos'!BR73</f>
        <v>0</v>
      </c>
      <c r="AL17" s="408">
        <f>'Ing y gtos'!BS73</f>
        <v>0</v>
      </c>
      <c r="AM17" s="408">
        <f>'Ing y gtos'!BT73</f>
        <v>0</v>
      </c>
      <c r="AN17" s="408">
        <f>'Ing y gtos'!BU73</f>
        <v>0</v>
      </c>
      <c r="AO17" s="405">
        <f t="shared" si="60"/>
        <v>0</v>
      </c>
      <c r="AS17" s="408">
        <f>'Ing y gtos'!BY73</f>
        <v>0</v>
      </c>
      <c r="AT17" s="408">
        <f>'Ing y gtos'!BZ73</f>
        <v>0</v>
      </c>
      <c r="AU17" s="408">
        <f>'Ing y gtos'!CA73</f>
        <v>0</v>
      </c>
      <c r="AV17" s="408">
        <f>'Ing y gtos'!CB73</f>
        <v>0</v>
      </c>
      <c r="AW17" s="408">
        <f>'Ing y gtos'!CC73</f>
        <v>0</v>
      </c>
      <c r="AX17" s="408">
        <f>'Ing y gtos'!CD73</f>
        <v>0</v>
      </c>
      <c r="AY17" s="408">
        <f>'Ing y gtos'!CE73</f>
        <v>0</v>
      </c>
      <c r="AZ17" s="408">
        <f>'Ing y gtos'!CF73</f>
        <v>0</v>
      </c>
      <c r="BA17" s="408">
        <f>'Ing y gtos'!CG73</f>
        <v>0</v>
      </c>
      <c r="BB17" s="408">
        <f>'Ing y gtos'!CH73</f>
        <v>0</v>
      </c>
      <c r="BC17" s="408">
        <f>'Ing y gtos'!CI73</f>
        <v>0</v>
      </c>
      <c r="BD17" s="408">
        <f>'Ing y gtos'!CJ73</f>
        <v>0</v>
      </c>
      <c r="BE17" s="405">
        <f t="shared" si="61"/>
        <v>0</v>
      </c>
    </row>
    <row r="18" spans="1:57" ht="3" customHeight="1">
      <c r="B18" s="400"/>
      <c r="C18" s="436"/>
      <c r="D18" s="436"/>
      <c r="E18" s="436"/>
      <c r="F18" s="436"/>
      <c r="G18" s="436"/>
      <c r="H18" s="436"/>
      <c r="I18" s="436"/>
      <c r="J18" s="436"/>
      <c r="K18" s="436"/>
      <c r="L18" s="436"/>
      <c r="M18" s="436"/>
      <c r="N18" s="436"/>
      <c r="O18" s="405"/>
      <c r="P18" s="444"/>
      <c r="Q18" s="444"/>
      <c r="R18" s="444"/>
      <c r="S18" s="444"/>
      <c r="T18" s="444"/>
      <c r="U18" s="444"/>
      <c r="V18" s="444"/>
      <c r="W18" s="444"/>
      <c r="X18" s="444"/>
      <c r="Y18" s="444"/>
      <c r="Z18" s="444"/>
      <c r="AA18" s="444"/>
      <c r="AB18" s="405"/>
      <c r="AC18" s="444"/>
      <c r="AD18" s="444"/>
      <c r="AE18" s="444"/>
      <c r="AF18" s="444"/>
      <c r="AG18" s="444"/>
      <c r="AH18" s="444"/>
      <c r="AI18" s="444"/>
      <c r="AJ18" s="444"/>
      <c r="AK18" s="408"/>
      <c r="AL18" s="408"/>
      <c r="AM18" s="408"/>
      <c r="AN18" s="408"/>
      <c r="AO18" s="405"/>
      <c r="AS18" s="408"/>
      <c r="AT18" s="408"/>
      <c r="AU18" s="408"/>
      <c r="AV18" s="408"/>
      <c r="AW18" s="408"/>
      <c r="AX18" s="408"/>
      <c r="AY18" s="408"/>
      <c r="AZ18" s="408"/>
      <c r="BA18" s="408"/>
      <c r="BB18" s="408"/>
      <c r="BC18" s="408"/>
      <c r="BD18" s="408"/>
      <c r="BE18" s="405"/>
    </row>
    <row r="19" spans="1:57" s="412" customFormat="1" ht="12.75" customHeight="1">
      <c r="A19" s="410"/>
      <c r="B19" s="411" t="s">
        <v>18</v>
      </c>
      <c r="C19" s="444">
        <f>C16-C17</f>
        <v>0</v>
      </c>
      <c r="D19" s="444">
        <f t="shared" ref="D19:N19" si="62">D16-D17</f>
        <v>0</v>
      </c>
      <c r="E19" s="444">
        <f t="shared" si="62"/>
        <v>11538.16</v>
      </c>
      <c r="F19" s="444">
        <f t="shared" si="62"/>
        <v>-50.2</v>
      </c>
      <c r="G19" s="444">
        <f t="shared" si="62"/>
        <v>2858.9</v>
      </c>
      <c r="H19" s="444">
        <f t="shared" si="62"/>
        <v>0</v>
      </c>
      <c r="I19" s="444">
        <f t="shared" si="62"/>
        <v>0</v>
      </c>
      <c r="J19" s="444">
        <f t="shared" si="62"/>
        <v>0</v>
      </c>
      <c r="K19" s="444">
        <f t="shared" si="62"/>
        <v>58.5</v>
      </c>
      <c r="L19" s="444">
        <f t="shared" si="62"/>
        <v>900</v>
      </c>
      <c r="M19" s="444">
        <f t="shared" si="62"/>
        <v>0</v>
      </c>
      <c r="N19" s="444">
        <f t="shared" si="62"/>
        <v>0</v>
      </c>
      <c r="O19" s="405"/>
      <c r="P19" s="444">
        <f>P16-P17</f>
        <v>0</v>
      </c>
      <c r="Q19" s="444">
        <f>Q16-Q17</f>
        <v>0</v>
      </c>
      <c r="R19" s="444">
        <f t="shared" ref="R19:AA19" si="63">R16-R17</f>
        <v>0</v>
      </c>
      <c r="S19" s="444">
        <f t="shared" si="63"/>
        <v>0</v>
      </c>
      <c r="T19" s="444">
        <f t="shared" si="63"/>
        <v>122.8</v>
      </c>
      <c r="U19" s="444">
        <f t="shared" si="63"/>
        <v>0</v>
      </c>
      <c r="V19" s="444">
        <f t="shared" si="63"/>
        <v>0</v>
      </c>
      <c r="W19" s="444">
        <f t="shared" si="63"/>
        <v>1232</v>
      </c>
      <c r="X19" s="444">
        <f t="shared" si="63"/>
        <v>0</v>
      </c>
      <c r="Y19" s="444">
        <f t="shared" si="63"/>
        <v>-120</v>
      </c>
      <c r="Z19" s="444">
        <f t="shared" si="63"/>
        <v>0</v>
      </c>
      <c r="AA19" s="444">
        <f t="shared" si="63"/>
        <v>-94.6</v>
      </c>
      <c r="AB19" s="405"/>
      <c r="AC19" s="444">
        <f>AC16-AC17</f>
        <v>0</v>
      </c>
      <c r="AD19" s="444">
        <f>AD16-AD17</f>
        <v>0</v>
      </c>
      <c r="AE19" s="444">
        <f t="shared" ref="AE19:AN19" si="64">AE16-AE17</f>
        <v>0</v>
      </c>
      <c r="AF19" s="444">
        <f t="shared" si="64"/>
        <v>365</v>
      </c>
      <c r="AG19" s="444">
        <f t="shared" si="64"/>
        <v>0</v>
      </c>
      <c r="AH19" s="444">
        <f t="shared" si="64"/>
        <v>400</v>
      </c>
      <c r="AI19" s="444">
        <f t="shared" si="64"/>
        <v>0</v>
      </c>
      <c r="AJ19" s="444">
        <f t="shared" si="64"/>
        <v>1045</v>
      </c>
      <c r="AK19" s="408">
        <f t="shared" si="64"/>
        <v>0</v>
      </c>
      <c r="AL19" s="408">
        <f t="shared" si="64"/>
        <v>0</v>
      </c>
      <c r="AM19" s="408">
        <f t="shared" si="64"/>
        <v>0</v>
      </c>
      <c r="AN19" s="408">
        <f t="shared" si="64"/>
        <v>0</v>
      </c>
      <c r="AO19" s="405"/>
      <c r="AP19" s="410"/>
      <c r="AQ19" s="410"/>
      <c r="AR19" s="487"/>
      <c r="AS19" s="408">
        <f>AS16-AS17</f>
        <v>0</v>
      </c>
      <c r="AT19" s="408">
        <f>AT16-AT17</f>
        <v>0</v>
      </c>
      <c r="AU19" s="408">
        <f t="shared" ref="AU19:BD19" si="65">AU16-AU17</f>
        <v>0</v>
      </c>
      <c r="AV19" s="408">
        <f t="shared" si="65"/>
        <v>0</v>
      </c>
      <c r="AW19" s="408">
        <f t="shared" si="65"/>
        <v>0</v>
      </c>
      <c r="AX19" s="408">
        <f t="shared" si="65"/>
        <v>0</v>
      </c>
      <c r="AY19" s="408">
        <f t="shared" si="65"/>
        <v>0</v>
      </c>
      <c r="AZ19" s="408">
        <f t="shared" si="65"/>
        <v>0</v>
      </c>
      <c r="BA19" s="408">
        <f t="shared" si="65"/>
        <v>0</v>
      </c>
      <c r="BB19" s="408">
        <f t="shared" si="65"/>
        <v>0</v>
      </c>
      <c r="BC19" s="408">
        <f t="shared" si="65"/>
        <v>0</v>
      </c>
      <c r="BD19" s="408">
        <f t="shared" si="65"/>
        <v>0</v>
      </c>
      <c r="BE19" s="405"/>
    </row>
    <row r="20" spans="1:57" s="412" customFormat="1">
      <c r="A20" s="410"/>
      <c r="B20" s="413" t="s">
        <v>19</v>
      </c>
      <c r="C20" s="445">
        <f>C19</f>
        <v>0</v>
      </c>
      <c r="D20" s="445">
        <f>D19+C20</f>
        <v>0</v>
      </c>
      <c r="E20" s="445">
        <f t="shared" ref="E20:N20" si="66">E19+D20</f>
        <v>11538.16</v>
      </c>
      <c r="F20" s="445">
        <f t="shared" si="66"/>
        <v>11487.96</v>
      </c>
      <c r="G20" s="445">
        <f t="shared" si="66"/>
        <v>14346.859999999999</v>
      </c>
      <c r="H20" s="445">
        <f t="shared" si="66"/>
        <v>14346.859999999999</v>
      </c>
      <c r="I20" s="445">
        <f t="shared" si="66"/>
        <v>14346.859999999999</v>
      </c>
      <c r="J20" s="445">
        <f t="shared" si="66"/>
        <v>14346.859999999999</v>
      </c>
      <c r="K20" s="445">
        <f t="shared" si="66"/>
        <v>14405.359999999999</v>
      </c>
      <c r="L20" s="445">
        <f t="shared" si="66"/>
        <v>15305.359999999999</v>
      </c>
      <c r="M20" s="445">
        <f t="shared" si="66"/>
        <v>15305.359999999999</v>
      </c>
      <c r="N20" s="446">
        <f t="shared" si="66"/>
        <v>15305.359999999999</v>
      </c>
      <c r="O20" s="416">
        <f>O16-O17</f>
        <v>15305.36</v>
      </c>
      <c r="P20" s="445">
        <f>P19</f>
        <v>0</v>
      </c>
      <c r="Q20" s="445">
        <f>Q19+P20</f>
        <v>0</v>
      </c>
      <c r="R20" s="445">
        <f t="shared" ref="R20" si="67">R19+Q20</f>
        <v>0</v>
      </c>
      <c r="S20" s="445">
        <f t="shared" ref="S20" si="68">S19+R20</f>
        <v>0</v>
      </c>
      <c r="T20" s="445">
        <f t="shared" ref="T20" si="69">T19+S20</f>
        <v>122.8</v>
      </c>
      <c r="U20" s="445">
        <f t="shared" ref="U20" si="70">U19+T20</f>
        <v>122.8</v>
      </c>
      <c r="V20" s="445">
        <f t="shared" ref="V20" si="71">V19+U20</f>
        <v>122.8</v>
      </c>
      <c r="W20" s="445">
        <f t="shared" ref="W20" si="72">W19+V20</f>
        <v>1354.8</v>
      </c>
      <c r="X20" s="445">
        <f t="shared" ref="X20" si="73">X19+W20</f>
        <v>1354.8</v>
      </c>
      <c r="Y20" s="445">
        <f t="shared" ref="Y20" si="74">Y19+X20</f>
        <v>1234.8</v>
      </c>
      <c r="Z20" s="445">
        <f t="shared" ref="Z20" si="75">Z19+Y20</f>
        <v>1234.8</v>
      </c>
      <c r="AA20" s="446">
        <f t="shared" ref="AA20" si="76">AA19+Z20</f>
        <v>1140.2</v>
      </c>
      <c r="AB20" s="416">
        <f>AB16-AB17</f>
        <v>1140.2</v>
      </c>
      <c r="AC20" s="445">
        <f>AC19</f>
        <v>0</v>
      </c>
      <c r="AD20" s="445">
        <f>AD19+AC20</f>
        <v>0</v>
      </c>
      <c r="AE20" s="445">
        <f t="shared" ref="AE20" si="77">AE19+AD20</f>
        <v>0</v>
      </c>
      <c r="AF20" s="445">
        <f t="shared" ref="AF20" si="78">AF19+AE20</f>
        <v>365</v>
      </c>
      <c r="AG20" s="445">
        <f t="shared" ref="AG20" si="79">AG19+AF20</f>
        <v>365</v>
      </c>
      <c r="AH20" s="445">
        <f t="shared" ref="AH20" si="80">AH19+AG20</f>
        <v>765</v>
      </c>
      <c r="AI20" s="445">
        <f t="shared" ref="AI20" si="81">AI19+AH20</f>
        <v>765</v>
      </c>
      <c r="AJ20" s="445">
        <f t="shared" ref="AJ20" si="82">AJ19+AI20</f>
        <v>1810</v>
      </c>
      <c r="AK20" s="414">
        <f t="shared" ref="AK20" si="83">AK19+AJ20</f>
        <v>1810</v>
      </c>
      <c r="AL20" s="414">
        <f t="shared" ref="AL20" si="84">AL19+AK20</f>
        <v>1810</v>
      </c>
      <c r="AM20" s="414">
        <f t="shared" ref="AM20" si="85">AM19+AL20</f>
        <v>1810</v>
      </c>
      <c r="AN20" s="415">
        <f t="shared" ref="AN20" si="86">AN19+AM20</f>
        <v>1810</v>
      </c>
      <c r="AO20" s="416">
        <f>AO16-AO17</f>
        <v>1810</v>
      </c>
      <c r="AP20" s="410"/>
      <c r="AQ20" s="410"/>
      <c r="AR20" s="487"/>
      <c r="AS20" s="414">
        <f>AS19</f>
        <v>0</v>
      </c>
      <c r="AT20" s="414">
        <f>AT19+AS20</f>
        <v>0</v>
      </c>
      <c r="AU20" s="414">
        <f t="shared" ref="AU20" si="87">AU19+AT20</f>
        <v>0</v>
      </c>
      <c r="AV20" s="414">
        <f t="shared" ref="AV20" si="88">AV19+AU20</f>
        <v>0</v>
      </c>
      <c r="AW20" s="414">
        <f t="shared" ref="AW20" si="89">AW19+AV20</f>
        <v>0</v>
      </c>
      <c r="AX20" s="414">
        <f t="shared" ref="AX20" si="90">AX19+AW20</f>
        <v>0</v>
      </c>
      <c r="AY20" s="414">
        <f t="shared" ref="AY20" si="91">AY19+AX20</f>
        <v>0</v>
      </c>
      <c r="AZ20" s="414">
        <f t="shared" ref="AZ20" si="92">AZ19+AY20</f>
        <v>0</v>
      </c>
      <c r="BA20" s="414">
        <f t="shared" ref="BA20" si="93">BA19+AZ20</f>
        <v>0</v>
      </c>
      <c r="BB20" s="414">
        <f t="shared" ref="BB20" si="94">BB19+BA20</f>
        <v>0</v>
      </c>
      <c r="BC20" s="414">
        <f t="shared" ref="BC20" si="95">BC19+BB20</f>
        <v>0</v>
      </c>
      <c r="BD20" s="415">
        <f t="shared" ref="BD20" si="96">BD19+BC20</f>
        <v>0</v>
      </c>
      <c r="BE20" s="416">
        <f>BE16-BE17</f>
        <v>0</v>
      </c>
    </row>
    <row r="21" spans="1:57" s="412" customFormat="1" ht="12.75" customHeight="1">
      <c r="A21" s="410"/>
      <c r="B21" s="417" t="s">
        <v>22</v>
      </c>
      <c r="C21" s="444"/>
      <c r="D21" s="444"/>
      <c r="E21" s="444"/>
      <c r="F21" s="444"/>
      <c r="G21" s="444"/>
      <c r="H21" s="444"/>
      <c r="I21" s="444"/>
      <c r="J21" s="444"/>
      <c r="K21" s="444"/>
      <c r="L21" s="444"/>
      <c r="M21" s="444"/>
      <c r="N21" s="444"/>
      <c r="O21" s="405"/>
      <c r="P21" s="447"/>
      <c r="Q21" s="447"/>
      <c r="R21" s="447"/>
      <c r="S21" s="447"/>
      <c r="T21" s="447"/>
      <c r="U21" s="447"/>
      <c r="V21" s="447"/>
      <c r="W21" s="447"/>
      <c r="X21" s="447"/>
      <c r="Y21" s="447"/>
      <c r="Z21" s="447"/>
      <c r="AA21" s="447"/>
      <c r="AB21" s="405"/>
      <c r="AC21" s="447"/>
      <c r="AD21" s="447"/>
      <c r="AE21" s="447"/>
      <c r="AF21" s="447"/>
      <c r="AG21" s="447"/>
      <c r="AH21" s="447"/>
      <c r="AI21" s="447"/>
      <c r="AJ21" s="447"/>
      <c r="AK21" s="418"/>
      <c r="AL21" s="418"/>
      <c r="AM21" s="418"/>
      <c r="AN21" s="418"/>
      <c r="AO21" s="405"/>
      <c r="AP21" s="410"/>
      <c r="AQ21" s="410"/>
      <c r="AR21" s="487"/>
      <c r="AS21" s="418"/>
      <c r="AT21" s="418"/>
      <c r="AU21" s="418"/>
      <c r="AV21" s="418"/>
      <c r="AW21" s="418"/>
      <c r="AX21" s="418"/>
      <c r="AY21" s="418"/>
      <c r="AZ21" s="418"/>
      <c r="BA21" s="418"/>
      <c r="BB21" s="418"/>
      <c r="BC21" s="418"/>
      <c r="BD21" s="418"/>
      <c r="BE21" s="405"/>
    </row>
    <row r="22" spans="1:57" s="412" customFormat="1">
      <c r="A22" s="410"/>
      <c r="B22" s="407" t="s">
        <v>23</v>
      </c>
      <c r="C22" s="444">
        <f>-'Ing y gtos'!AE121</f>
        <v>-9552.36</v>
      </c>
      <c r="D22" s="444">
        <f>-'Ing y gtos'!AF121</f>
        <v>-12097.360000000002</v>
      </c>
      <c r="E22" s="444">
        <f>-'Ing y gtos'!AG121</f>
        <v>-10574.679999999998</v>
      </c>
      <c r="F22" s="444">
        <f>-'Ing y gtos'!AH121</f>
        <v>-48375.95</v>
      </c>
      <c r="G22" s="444">
        <f>-'Ing y gtos'!AI121</f>
        <v>-30644.9882</v>
      </c>
      <c r="H22" s="444">
        <f>-'Ing y gtos'!AJ121</f>
        <v>-7833.02</v>
      </c>
      <c r="I22" s="444">
        <f>-'Ing y gtos'!AK121</f>
        <v>-9105.2699999999986</v>
      </c>
      <c r="J22" s="444">
        <f>-'Ing y gtos'!AL121</f>
        <v>-10847.08</v>
      </c>
      <c r="K22" s="444">
        <f>-'Ing y gtos'!AM121</f>
        <v>-14590.649999999998</v>
      </c>
      <c r="L22" s="444">
        <f>-'Ing y gtos'!AN121</f>
        <v>-17197.769999999997</v>
      </c>
      <c r="M22" s="444">
        <f>-'Ing y gtos'!AO121</f>
        <v>-25948.970000000005</v>
      </c>
      <c r="N22" s="444">
        <f>-'Ing y gtos'!AP121</f>
        <v>-91075.87000000001</v>
      </c>
      <c r="O22" s="405">
        <f t="shared" ref="O22" si="97">SUM(C22:N22)</f>
        <v>-287843.9682</v>
      </c>
      <c r="P22" s="447">
        <f>-'Ing y gtos'!AU121</f>
        <v>-6343.13</v>
      </c>
      <c r="Q22" s="447">
        <f>-'Ing y gtos'!AV121</f>
        <v>-23399.14</v>
      </c>
      <c r="R22" s="447">
        <f>-'Ing y gtos'!AW121</f>
        <v>-41914.550000000003</v>
      </c>
      <c r="S22" s="447">
        <f>-'Ing y gtos'!AX121</f>
        <v>-25865.78</v>
      </c>
      <c r="T22" s="447">
        <f>-'Ing y gtos'!AY121</f>
        <v>-27367.23</v>
      </c>
      <c r="U22" s="447">
        <f>-'Ing y gtos'!AZ121</f>
        <v>-18293.240000000002</v>
      </c>
      <c r="V22" s="447">
        <f>-'Ing y gtos'!BA121</f>
        <v>-16871.129999999997</v>
      </c>
      <c r="W22" s="447">
        <f>-'Ing y gtos'!BB121</f>
        <v>-31497.31</v>
      </c>
      <c r="X22" s="447">
        <f>-'Ing y gtos'!BC121</f>
        <v>-13235.439999999999</v>
      </c>
      <c r="Y22" s="447">
        <f>-'Ing y gtos'!BD121</f>
        <v>-18984.330000000002</v>
      </c>
      <c r="Z22" s="447">
        <f>-'Ing y gtos'!BE121</f>
        <v>-3558.48</v>
      </c>
      <c r="AA22" s="447">
        <f>-'Ing y gtos'!BF121</f>
        <v>-15563.829999999998</v>
      </c>
      <c r="AB22" s="405">
        <f t="shared" ref="AB22" si="98">SUM(P22:AA22)</f>
        <v>-242893.59000000003</v>
      </c>
      <c r="AC22" s="447">
        <f>-'Ing y gtos'!BJ121</f>
        <v>-48879.29</v>
      </c>
      <c r="AD22" s="447">
        <f>-'Ing y gtos'!BK121</f>
        <v>-29541.509999999995</v>
      </c>
      <c r="AE22" s="447">
        <f>-'Ing y gtos'!BL121</f>
        <v>-31309.259999999995</v>
      </c>
      <c r="AF22" s="447">
        <f>-'Ing y gtos'!BM121</f>
        <v>-26855.129999999997</v>
      </c>
      <c r="AG22" s="447">
        <f>-'Ing y gtos'!BN121</f>
        <v>-19974.990000000002</v>
      </c>
      <c r="AH22" s="447">
        <f>-'Ing y gtos'!BO121</f>
        <v>-15936.719999999998</v>
      </c>
      <c r="AI22" s="447">
        <f>-'Ing y gtos'!BP121</f>
        <v>-26195.730000000003</v>
      </c>
      <c r="AJ22" s="447">
        <f>-'Ing y gtos'!BQ121</f>
        <v>-8667.630000000001</v>
      </c>
      <c r="AK22" s="418">
        <f>-'Ing y gtos'!BR121</f>
        <v>-30374.52</v>
      </c>
      <c r="AL22" s="418">
        <f>-'Ing y gtos'!BS121</f>
        <v>-31171.17</v>
      </c>
      <c r="AM22" s="418">
        <f>-'Ing y gtos'!BT121</f>
        <v>-10131.459999999997</v>
      </c>
      <c r="AN22" s="418">
        <f>-'Ing y gtos'!BU121</f>
        <v>-11996.58</v>
      </c>
      <c r="AO22" s="405">
        <f t="shared" ref="AO22" si="99">SUM(AC22:AN22)</f>
        <v>-291033.99</v>
      </c>
      <c r="AP22" s="410"/>
      <c r="AQ22" s="410"/>
      <c r="AR22" s="487"/>
      <c r="AS22" s="418">
        <f>-'Ing y gtos'!BY121</f>
        <v>-48628.770000000004</v>
      </c>
      <c r="AT22" s="418">
        <f>-'Ing y gtos'!BZ121</f>
        <v>-22319.89</v>
      </c>
      <c r="AU22" s="418">
        <f>-'Ing y gtos'!CA121</f>
        <v>-23747.79</v>
      </c>
      <c r="AV22" s="418">
        <f>-'Ing y gtos'!CB121</f>
        <v>-33267.47</v>
      </c>
      <c r="AW22" s="418">
        <f>-'Ing y gtos'!CC121</f>
        <v>-13804.79</v>
      </c>
      <c r="AX22" s="418">
        <f>-'Ing y gtos'!CD121</f>
        <v>-12246.45</v>
      </c>
      <c r="AY22" s="418">
        <f>-'Ing y gtos'!CE121</f>
        <v>-13303.84</v>
      </c>
      <c r="AZ22" s="418">
        <f>-'Ing y gtos'!CF121</f>
        <v>-13711.51</v>
      </c>
      <c r="BA22" s="418">
        <f>-'Ing y gtos'!CG121</f>
        <v>-27070.329999999998</v>
      </c>
      <c r="BB22" s="418">
        <f>-'Ing y gtos'!CH121</f>
        <v>-8009.67</v>
      </c>
      <c r="BC22" s="418">
        <f>-'Ing y gtos'!CI121</f>
        <v>-30979.510000000002</v>
      </c>
      <c r="BD22" s="418">
        <f>-'Ing y gtos'!CJ121</f>
        <v>-18763.07</v>
      </c>
      <c r="BE22" s="405">
        <f t="shared" ref="BE22" si="100">SUM(AS22:BD22)</f>
        <v>-265853.09000000003</v>
      </c>
    </row>
    <row r="23" spans="1:57" s="412" customFormat="1" ht="1.5" customHeight="1">
      <c r="A23" s="410"/>
      <c r="B23" s="400"/>
      <c r="C23" s="444"/>
      <c r="D23" s="444"/>
      <c r="E23" s="444"/>
      <c r="F23" s="444"/>
      <c r="G23" s="444"/>
      <c r="H23" s="444"/>
      <c r="I23" s="444"/>
      <c r="J23" s="444"/>
      <c r="K23" s="444"/>
      <c r="L23" s="444"/>
      <c r="M23" s="444"/>
      <c r="N23" s="444"/>
      <c r="O23" s="405"/>
      <c r="P23" s="447"/>
      <c r="Q23" s="447"/>
      <c r="R23" s="447"/>
      <c r="S23" s="447"/>
      <c r="T23" s="447"/>
      <c r="U23" s="447"/>
      <c r="V23" s="447"/>
      <c r="W23" s="447"/>
      <c r="X23" s="447"/>
      <c r="Y23" s="447"/>
      <c r="Z23" s="447"/>
      <c r="AA23" s="447"/>
      <c r="AB23" s="405"/>
      <c r="AC23" s="447"/>
      <c r="AD23" s="447"/>
      <c r="AE23" s="447"/>
      <c r="AF23" s="447"/>
      <c r="AG23" s="447"/>
      <c r="AH23" s="447"/>
      <c r="AI23" s="447"/>
      <c r="AJ23" s="447"/>
      <c r="AK23" s="418"/>
      <c r="AL23" s="418"/>
      <c r="AM23" s="418"/>
      <c r="AN23" s="418"/>
      <c r="AO23" s="405"/>
      <c r="AP23" s="410"/>
      <c r="AQ23" s="410"/>
      <c r="AR23" s="487"/>
      <c r="AS23" s="418"/>
      <c r="AT23" s="418"/>
      <c r="AU23" s="418"/>
      <c r="AV23" s="418"/>
      <c r="AW23" s="418"/>
      <c r="AX23" s="418"/>
      <c r="AY23" s="418"/>
      <c r="AZ23" s="418"/>
      <c r="BA23" s="418"/>
      <c r="BB23" s="418"/>
      <c r="BC23" s="418"/>
      <c r="BD23" s="418"/>
      <c r="BE23" s="405"/>
    </row>
    <row r="24" spans="1:57" s="412" customFormat="1" ht="12" customHeight="1">
      <c r="A24" s="410"/>
      <c r="B24" s="411" t="s">
        <v>18</v>
      </c>
      <c r="C24" s="447">
        <f>C22</f>
        <v>-9552.36</v>
      </c>
      <c r="D24" s="447">
        <f t="shared" ref="D24:N24" si="101">D22</f>
        <v>-12097.360000000002</v>
      </c>
      <c r="E24" s="447">
        <f>E22</f>
        <v>-10574.679999999998</v>
      </c>
      <c r="F24" s="447">
        <f t="shared" si="101"/>
        <v>-48375.95</v>
      </c>
      <c r="G24" s="447">
        <f t="shared" si="101"/>
        <v>-30644.9882</v>
      </c>
      <c r="H24" s="447">
        <f t="shared" si="101"/>
        <v>-7833.02</v>
      </c>
      <c r="I24" s="447">
        <f t="shared" si="101"/>
        <v>-9105.2699999999986</v>
      </c>
      <c r="J24" s="447">
        <f t="shared" si="101"/>
        <v>-10847.08</v>
      </c>
      <c r="K24" s="447">
        <f t="shared" si="101"/>
        <v>-14590.649999999998</v>
      </c>
      <c r="L24" s="447">
        <f t="shared" si="101"/>
        <v>-17197.769999999997</v>
      </c>
      <c r="M24" s="447">
        <f t="shared" si="101"/>
        <v>-25948.970000000005</v>
      </c>
      <c r="N24" s="447">
        <f t="shared" si="101"/>
        <v>-91075.87000000001</v>
      </c>
      <c r="O24" s="405"/>
      <c r="P24" s="447">
        <f>P22</f>
        <v>-6343.13</v>
      </c>
      <c r="Q24" s="444">
        <f>Q22</f>
        <v>-23399.14</v>
      </c>
      <c r="R24" s="444">
        <f t="shared" ref="R24:AA24" si="102">R22</f>
        <v>-41914.550000000003</v>
      </c>
      <c r="S24" s="444">
        <f t="shared" si="102"/>
        <v>-25865.78</v>
      </c>
      <c r="T24" s="444">
        <f t="shared" si="102"/>
        <v>-27367.23</v>
      </c>
      <c r="U24" s="444">
        <f t="shared" si="102"/>
        <v>-18293.240000000002</v>
      </c>
      <c r="V24" s="444">
        <f t="shared" si="102"/>
        <v>-16871.129999999997</v>
      </c>
      <c r="W24" s="444">
        <f t="shared" si="102"/>
        <v>-31497.31</v>
      </c>
      <c r="X24" s="444">
        <f t="shared" si="102"/>
        <v>-13235.439999999999</v>
      </c>
      <c r="Y24" s="444">
        <f t="shared" si="102"/>
        <v>-18984.330000000002</v>
      </c>
      <c r="Z24" s="444">
        <f t="shared" si="102"/>
        <v>-3558.48</v>
      </c>
      <c r="AA24" s="444">
        <f t="shared" si="102"/>
        <v>-15563.829999999998</v>
      </c>
      <c r="AB24" s="405"/>
      <c r="AC24" s="447">
        <f>AC22</f>
        <v>-48879.29</v>
      </c>
      <c r="AD24" s="444">
        <f>AD22</f>
        <v>-29541.509999999995</v>
      </c>
      <c r="AE24" s="444">
        <f t="shared" ref="AE24:AM24" si="103">AE22</f>
        <v>-31309.259999999995</v>
      </c>
      <c r="AF24" s="444">
        <f t="shared" si="103"/>
        <v>-26855.129999999997</v>
      </c>
      <c r="AG24" s="444">
        <f t="shared" si="103"/>
        <v>-19974.990000000002</v>
      </c>
      <c r="AH24" s="444">
        <f t="shared" si="103"/>
        <v>-15936.719999999998</v>
      </c>
      <c r="AI24" s="444">
        <f t="shared" si="103"/>
        <v>-26195.730000000003</v>
      </c>
      <c r="AJ24" s="444">
        <f t="shared" si="103"/>
        <v>-8667.630000000001</v>
      </c>
      <c r="AK24" s="408">
        <f t="shared" si="103"/>
        <v>-30374.52</v>
      </c>
      <c r="AL24" s="408">
        <f t="shared" si="103"/>
        <v>-31171.17</v>
      </c>
      <c r="AM24" s="408">
        <f t="shared" si="103"/>
        <v>-10131.459999999997</v>
      </c>
      <c r="AN24" s="408">
        <f>AN22</f>
        <v>-11996.58</v>
      </c>
      <c r="AO24" s="405"/>
      <c r="AP24" s="410"/>
      <c r="AQ24" s="410"/>
      <c r="AR24" s="487"/>
      <c r="AS24" s="418">
        <f>AS22</f>
        <v>-48628.770000000004</v>
      </c>
      <c r="AT24" s="408">
        <f>AT22</f>
        <v>-22319.89</v>
      </c>
      <c r="AU24" s="408">
        <f t="shared" ref="AU24:BD24" si="104">AU22</f>
        <v>-23747.79</v>
      </c>
      <c r="AV24" s="408">
        <f t="shared" si="104"/>
        <v>-33267.47</v>
      </c>
      <c r="AW24" s="408">
        <f t="shared" si="104"/>
        <v>-13804.79</v>
      </c>
      <c r="AX24" s="408">
        <f t="shared" si="104"/>
        <v>-12246.45</v>
      </c>
      <c r="AY24" s="408">
        <f t="shared" si="104"/>
        <v>-13303.84</v>
      </c>
      <c r="AZ24" s="408">
        <f t="shared" si="104"/>
        <v>-13711.51</v>
      </c>
      <c r="BA24" s="408">
        <f t="shared" si="104"/>
        <v>-27070.329999999998</v>
      </c>
      <c r="BB24" s="408">
        <f t="shared" si="104"/>
        <v>-8009.67</v>
      </c>
      <c r="BC24" s="408">
        <f t="shared" si="104"/>
        <v>-30979.510000000002</v>
      </c>
      <c r="BD24" s="408">
        <f t="shared" si="104"/>
        <v>-18763.07</v>
      </c>
      <c r="BE24" s="405"/>
    </row>
    <row r="25" spans="1:57" s="412" customFormat="1">
      <c r="A25" s="410"/>
      <c r="B25" s="413" t="s">
        <v>24</v>
      </c>
      <c r="C25" s="448">
        <f>C24</f>
        <v>-9552.36</v>
      </c>
      <c r="D25" s="448">
        <f>D24+C25</f>
        <v>-21649.72</v>
      </c>
      <c r="E25" s="448">
        <f>E24+D25</f>
        <v>-32224.400000000001</v>
      </c>
      <c r="F25" s="448">
        <f t="shared" ref="F25" si="105">F24+E25</f>
        <v>-80600.350000000006</v>
      </c>
      <c r="G25" s="448">
        <f t="shared" ref="G25" si="106">G24+F25</f>
        <v>-111245.3382</v>
      </c>
      <c r="H25" s="448">
        <f t="shared" ref="H25" si="107">H24+G25</f>
        <v>-119078.3582</v>
      </c>
      <c r="I25" s="448">
        <f t="shared" ref="I25" si="108">I24+H25</f>
        <v>-128183.62820000001</v>
      </c>
      <c r="J25" s="448">
        <f t="shared" ref="J25" si="109">J24+I25</f>
        <v>-139030.70819999999</v>
      </c>
      <c r="K25" s="448">
        <f t="shared" ref="K25" si="110">K24+J25</f>
        <v>-153621.35819999999</v>
      </c>
      <c r="L25" s="448">
        <f t="shared" ref="L25" si="111">L24+K25</f>
        <v>-170819.12819999998</v>
      </c>
      <c r="M25" s="448">
        <f t="shared" ref="M25" si="112">M24+L25</f>
        <v>-196768.09819999998</v>
      </c>
      <c r="N25" s="448">
        <f t="shared" ref="N25" si="113">N24+M25</f>
        <v>-287843.9682</v>
      </c>
      <c r="O25" s="420">
        <f>SUM(O22:O23)</f>
        <v>-287843.9682</v>
      </c>
      <c r="P25" s="447">
        <f>P24</f>
        <v>-6343.13</v>
      </c>
      <c r="Q25" s="445">
        <f>Q24+P25</f>
        <v>-29742.27</v>
      </c>
      <c r="R25" s="445">
        <f t="shared" ref="R25" si="114">R24+Q25</f>
        <v>-71656.820000000007</v>
      </c>
      <c r="S25" s="445">
        <f t="shared" ref="S25" si="115">S24+R25</f>
        <v>-97522.6</v>
      </c>
      <c r="T25" s="445">
        <f t="shared" ref="T25" si="116">T24+S25</f>
        <v>-124889.83</v>
      </c>
      <c r="U25" s="445">
        <f t="shared" ref="U25" si="117">U24+T25</f>
        <v>-143183.07</v>
      </c>
      <c r="V25" s="445">
        <f t="shared" ref="V25" si="118">V24+U25</f>
        <v>-160054.20000000001</v>
      </c>
      <c r="W25" s="445">
        <f t="shared" ref="W25" si="119">W24+V25</f>
        <v>-191551.51</v>
      </c>
      <c r="X25" s="445">
        <f t="shared" ref="X25" si="120">X24+W25</f>
        <v>-204786.95</v>
      </c>
      <c r="Y25" s="445">
        <f t="shared" ref="Y25" si="121">Y24+X25</f>
        <v>-223771.28000000003</v>
      </c>
      <c r="Z25" s="445">
        <f t="shared" ref="Z25" si="122">Z24+Y25</f>
        <v>-227329.76000000004</v>
      </c>
      <c r="AA25" s="446">
        <f t="shared" ref="AA25" si="123">AA24+Z25</f>
        <v>-242893.59000000003</v>
      </c>
      <c r="AB25" s="420">
        <f>SUM(AB22:AB23)</f>
        <v>-242893.59000000003</v>
      </c>
      <c r="AC25" s="447">
        <f>AC24</f>
        <v>-48879.29</v>
      </c>
      <c r="AD25" s="445">
        <f>AD24+AC25</f>
        <v>-78420.799999999988</v>
      </c>
      <c r="AE25" s="445">
        <f t="shared" ref="AE25" si="124">AE24+AD25</f>
        <v>-109730.05999999998</v>
      </c>
      <c r="AF25" s="445">
        <f t="shared" ref="AF25" si="125">AF24+AE25</f>
        <v>-136585.18999999997</v>
      </c>
      <c r="AG25" s="445">
        <f t="shared" ref="AG25" si="126">AG24+AF25</f>
        <v>-156560.17999999996</v>
      </c>
      <c r="AH25" s="445">
        <f t="shared" ref="AH25" si="127">AH24+AG25</f>
        <v>-172496.89999999997</v>
      </c>
      <c r="AI25" s="445">
        <f t="shared" ref="AI25" si="128">AI24+AH25</f>
        <v>-198692.62999999998</v>
      </c>
      <c r="AJ25" s="445">
        <f t="shared" ref="AJ25" si="129">AJ24+AI25</f>
        <v>-207360.25999999998</v>
      </c>
      <c r="AK25" s="414">
        <f t="shared" ref="AK25" si="130">AK24+AJ25</f>
        <v>-237734.77999999997</v>
      </c>
      <c r="AL25" s="414">
        <f t="shared" ref="AL25" si="131">AL24+AK25</f>
        <v>-268905.94999999995</v>
      </c>
      <c r="AM25" s="414">
        <f t="shared" ref="AM25" si="132">AM24+AL25</f>
        <v>-279037.40999999997</v>
      </c>
      <c r="AN25" s="415">
        <f>AN24+AM25</f>
        <v>-291033.99</v>
      </c>
      <c r="AO25" s="420">
        <f>SUM(AO22:AO23)</f>
        <v>-291033.99</v>
      </c>
      <c r="AP25" s="410"/>
      <c r="AQ25" s="410"/>
      <c r="AR25" s="487"/>
      <c r="AS25" s="418">
        <f>AS24</f>
        <v>-48628.770000000004</v>
      </c>
      <c r="AT25" s="414">
        <f>AT24+AS25</f>
        <v>-70948.66</v>
      </c>
      <c r="AU25" s="414">
        <f t="shared" ref="AU25" si="133">AU24+AT25</f>
        <v>-94696.450000000012</v>
      </c>
      <c r="AV25" s="414">
        <f t="shared" ref="AV25" si="134">AV24+AU25</f>
        <v>-127963.92000000001</v>
      </c>
      <c r="AW25" s="414">
        <f t="shared" ref="AW25" si="135">AW24+AV25</f>
        <v>-141768.71000000002</v>
      </c>
      <c r="AX25" s="414">
        <f t="shared" ref="AX25" si="136">AX24+AW25</f>
        <v>-154015.16000000003</v>
      </c>
      <c r="AY25" s="414">
        <f t="shared" ref="AY25" si="137">AY24+AX25</f>
        <v>-167319.00000000003</v>
      </c>
      <c r="AZ25" s="414">
        <f t="shared" ref="AZ25" si="138">AZ24+AY25</f>
        <v>-181030.51000000004</v>
      </c>
      <c r="BA25" s="414">
        <f t="shared" ref="BA25" si="139">BA24+AZ25</f>
        <v>-208100.84000000003</v>
      </c>
      <c r="BB25" s="414">
        <f t="shared" ref="BB25" si="140">BB24+BA25</f>
        <v>-216110.51000000004</v>
      </c>
      <c r="BC25" s="414">
        <f t="shared" ref="BC25" si="141">BC24+BB25</f>
        <v>-247090.02000000005</v>
      </c>
      <c r="BD25" s="415">
        <f t="shared" ref="BD25" si="142">BD24+BC25</f>
        <v>-265853.09000000003</v>
      </c>
      <c r="BE25" s="420">
        <f>SUM(BE22:BE23)</f>
        <v>-265853.09000000003</v>
      </c>
    </row>
    <row r="26" spans="1:57" s="423" customFormat="1">
      <c r="A26" s="421"/>
      <c r="B26" s="417" t="s">
        <v>25</v>
      </c>
      <c r="C26" s="449"/>
      <c r="D26" s="449"/>
      <c r="E26" s="449"/>
      <c r="F26" s="449"/>
      <c r="G26" s="449"/>
      <c r="H26" s="449"/>
      <c r="I26" s="449"/>
      <c r="J26" s="449"/>
      <c r="K26" s="449"/>
      <c r="L26" s="449"/>
      <c r="M26" s="449"/>
      <c r="N26" s="449"/>
      <c r="O26" s="405"/>
      <c r="P26" s="470"/>
      <c r="Q26" s="470"/>
      <c r="R26" s="470"/>
      <c r="S26" s="470"/>
      <c r="T26" s="470"/>
      <c r="U26" s="470"/>
      <c r="V26" s="470"/>
      <c r="W26" s="470"/>
      <c r="X26" s="470"/>
      <c r="Y26" s="470"/>
      <c r="Z26" s="470"/>
      <c r="AA26" s="470"/>
      <c r="AB26" s="405"/>
      <c r="AC26" s="470"/>
      <c r="AD26" s="470"/>
      <c r="AE26" s="470"/>
      <c r="AF26" s="470"/>
      <c r="AG26" s="470"/>
      <c r="AH26" s="470"/>
      <c r="AI26" s="470"/>
      <c r="AJ26" s="470"/>
      <c r="AK26" s="422"/>
      <c r="AL26" s="422"/>
      <c r="AM26" s="422"/>
      <c r="AN26" s="422"/>
      <c r="AO26" s="405"/>
      <c r="AP26" s="421"/>
      <c r="AQ26" s="421"/>
      <c r="AR26" s="488"/>
      <c r="AS26" s="422"/>
      <c r="AT26" s="422"/>
      <c r="AU26" s="422"/>
      <c r="AV26" s="422"/>
      <c r="AW26" s="422"/>
      <c r="AX26" s="422"/>
      <c r="AY26" s="422"/>
      <c r="AZ26" s="422"/>
      <c r="BA26" s="422"/>
      <c r="BB26" s="422"/>
      <c r="BC26" s="422"/>
      <c r="BD26" s="422"/>
      <c r="BE26" s="405"/>
    </row>
    <row r="27" spans="1:57">
      <c r="B27" s="407" t="s">
        <v>23</v>
      </c>
      <c r="C27" s="444">
        <f>-SUM('Ing y gtos'!AE131:AE136)</f>
        <v>0</v>
      </c>
      <c r="D27" s="444">
        <f>-SUM('Ing y gtos'!AF131:AF136)</f>
        <v>0</v>
      </c>
      <c r="E27" s="444">
        <f>-SUM('Ing y gtos'!AG131:AG136)</f>
        <v>0</v>
      </c>
      <c r="F27" s="444">
        <f>-SUM('Ing y gtos'!AH131:AH136)</f>
        <v>0</v>
      </c>
      <c r="G27" s="444">
        <f>-SUM('Ing y gtos'!AI131:AI136)</f>
        <v>-544.5</v>
      </c>
      <c r="H27" s="444">
        <f>-SUM('Ing y gtos'!AJ131:AJ136)</f>
        <v>-10393.93</v>
      </c>
      <c r="I27" s="444">
        <f>-SUM('Ing y gtos'!AK131:AK136)</f>
        <v>0</v>
      </c>
      <c r="J27" s="444">
        <f>-SUM('Ing y gtos'!AL131:AL136)</f>
        <v>-1739.1550000000002</v>
      </c>
      <c r="K27" s="444">
        <f>-SUM('Ing y gtos'!AM131:AM136)</f>
        <v>-4112.8999999999996</v>
      </c>
      <c r="L27" s="444">
        <f>-SUM('Ing y gtos'!AN131:AN136)</f>
        <v>0</v>
      </c>
      <c r="M27" s="444">
        <f>-SUM('Ing y gtos'!AO131:AO136)</f>
        <v>0</v>
      </c>
      <c r="N27" s="444">
        <f>-SUM('Ing y gtos'!AP131:AP136)</f>
        <v>0</v>
      </c>
      <c r="O27" s="405">
        <f t="shared" ref="O27" si="143">SUM(C27:N27)</f>
        <v>-16790.485000000001</v>
      </c>
      <c r="P27" s="444">
        <f>-SUM('Ing y gtos'!AU131:AU136)</f>
        <v>0</v>
      </c>
      <c r="Q27" s="444">
        <f>-SUM('Ing y gtos'!AV131:AV136)</f>
        <v>0</v>
      </c>
      <c r="R27" s="444">
        <f>-SUM('Ing y gtos'!AW131:AW136)</f>
        <v>2750</v>
      </c>
      <c r="S27" s="444">
        <f>-SUM('Ing y gtos'!AX131:AX136)</f>
        <v>0</v>
      </c>
      <c r="T27" s="444">
        <f>-SUM('Ing y gtos'!AY131:AY136)</f>
        <v>375.5</v>
      </c>
      <c r="U27" s="444">
        <f>-SUM('Ing y gtos'!AZ131:AZ136)</f>
        <v>1620</v>
      </c>
      <c r="V27" s="444">
        <f>-SUM('Ing y gtos'!BA131:BA136)</f>
        <v>0</v>
      </c>
      <c r="W27" s="444">
        <f>-SUM('Ing y gtos'!BB131:BB136)</f>
        <v>0</v>
      </c>
      <c r="X27" s="444">
        <f>-SUM('Ing y gtos'!BC131:BC136)</f>
        <v>-3668.48</v>
      </c>
      <c r="Y27" s="444">
        <f>-SUM('Ing y gtos'!BD131:BD136)</f>
        <v>2600</v>
      </c>
      <c r="Z27" s="444">
        <f>-SUM('Ing y gtos'!BE131:BE136)</f>
        <v>0</v>
      </c>
      <c r="AA27" s="444">
        <f>-SUM('Ing y gtos'!BF131:BF136)</f>
        <v>0</v>
      </c>
      <c r="AB27" s="405">
        <f t="shared" ref="AB27" si="144">SUM(P27:AA27)</f>
        <v>3677.02</v>
      </c>
      <c r="AC27" s="444">
        <f>-SUM('Ing y gtos'!BJ131:BJ136)</f>
        <v>0</v>
      </c>
      <c r="AD27" s="444">
        <f>-SUM('Ing y gtos'!BK131:BK136)</f>
        <v>2475</v>
      </c>
      <c r="AE27" s="444">
        <f>-SUM('Ing y gtos'!BL131:BL136)</f>
        <v>0</v>
      </c>
      <c r="AF27" s="444">
        <f>-SUM('Ing y gtos'!BM131:BM136)</f>
        <v>0</v>
      </c>
      <c r="AG27" s="444">
        <f>-SUM('Ing y gtos'!BN131:BN136)</f>
        <v>0</v>
      </c>
      <c r="AH27" s="444">
        <f>-SUM('Ing y gtos'!BO131:BO136)</f>
        <v>0</v>
      </c>
      <c r="AI27" s="444">
        <f>-SUM('Ing y gtos'!BP131:BP136)</f>
        <v>0</v>
      </c>
      <c r="AJ27" s="444">
        <f>-SUM('Ing y gtos'!BQ131:BQ136)</f>
        <v>0</v>
      </c>
      <c r="AK27" s="408">
        <f>-SUM('Ing y gtos'!BR131:BR136)</f>
        <v>0</v>
      </c>
      <c r="AL27" s="408">
        <f>-SUM('Ing y gtos'!BS131:BS136)</f>
        <v>0</v>
      </c>
      <c r="AM27" s="408">
        <f>-SUM('Ing y gtos'!BT131:BT136)</f>
        <v>0</v>
      </c>
      <c r="AN27" s="408">
        <f>-SUM('Ing y gtos'!BU131:BU136)</f>
        <v>0</v>
      </c>
      <c r="AO27" s="405">
        <f t="shared" ref="AO27" si="145">SUM(AC27:AN27)</f>
        <v>2475</v>
      </c>
      <c r="AS27" s="408">
        <f>-SUM('Ing y gtos'!BY131:BY136)</f>
        <v>0</v>
      </c>
      <c r="AT27" s="408">
        <f>-SUM('Ing y gtos'!BZ131:BZ136)</f>
        <v>0</v>
      </c>
      <c r="AU27" s="408">
        <f>-SUM('Ing y gtos'!CA131:CA136)</f>
        <v>0</v>
      </c>
      <c r="AV27" s="408">
        <f>-SUM('Ing y gtos'!CB131:CB136)</f>
        <v>0</v>
      </c>
      <c r="AW27" s="408">
        <f>-SUM('Ing y gtos'!CC131:CC136)</f>
        <v>0</v>
      </c>
      <c r="AX27" s="408">
        <f>-SUM('Ing y gtos'!CD131:CD136)</f>
        <v>0</v>
      </c>
      <c r="AY27" s="408">
        <f>-SUM('Ing y gtos'!CE131:CE136)</f>
        <v>0</v>
      </c>
      <c r="AZ27" s="408">
        <f>-SUM('Ing y gtos'!CF131:CF136)</f>
        <v>0</v>
      </c>
      <c r="BA27" s="408">
        <f>-SUM('Ing y gtos'!CG131:CG136)</f>
        <v>0</v>
      </c>
      <c r="BB27" s="408">
        <f>-SUM('Ing y gtos'!CH131:CH136)</f>
        <v>0</v>
      </c>
      <c r="BC27" s="408">
        <f>-SUM('Ing y gtos'!CI131:CI136)</f>
        <v>0</v>
      </c>
      <c r="BD27" s="408">
        <f>-SUM('Ing y gtos'!CJ131:CJ136)</f>
        <v>0</v>
      </c>
      <c r="BE27" s="405">
        <f t="shared" ref="BE27" si="146">SUM(AS27:BD27)</f>
        <v>0</v>
      </c>
    </row>
    <row r="28" spans="1:57" ht="4.5" customHeight="1">
      <c r="B28" s="400"/>
      <c r="C28" s="444"/>
      <c r="D28" s="444"/>
      <c r="E28" s="444"/>
      <c r="F28" s="444"/>
      <c r="G28" s="444"/>
      <c r="H28" s="444"/>
      <c r="I28" s="444"/>
      <c r="J28" s="444"/>
      <c r="K28" s="444"/>
      <c r="L28" s="444"/>
      <c r="M28" s="444"/>
      <c r="N28" s="444"/>
      <c r="O28" s="405"/>
      <c r="P28" s="447"/>
      <c r="Q28" s="447"/>
      <c r="R28" s="447"/>
      <c r="S28" s="447"/>
      <c r="T28" s="447"/>
      <c r="U28" s="447"/>
      <c r="V28" s="447"/>
      <c r="W28" s="447"/>
      <c r="X28" s="447"/>
      <c r="Y28" s="447"/>
      <c r="Z28" s="447"/>
      <c r="AA28" s="447"/>
      <c r="AB28" s="405"/>
      <c r="AC28" s="447"/>
      <c r="AD28" s="447"/>
      <c r="AE28" s="447"/>
      <c r="AF28" s="447"/>
      <c r="AG28" s="447"/>
      <c r="AH28" s="447"/>
      <c r="AI28" s="447"/>
      <c r="AJ28" s="447"/>
      <c r="AK28" s="418"/>
      <c r="AL28" s="418"/>
      <c r="AM28" s="418"/>
      <c r="AN28" s="418"/>
      <c r="AO28" s="405"/>
      <c r="AS28" s="418"/>
      <c r="AT28" s="418"/>
      <c r="AU28" s="418"/>
      <c r="AV28" s="418"/>
      <c r="AW28" s="418"/>
      <c r="AX28" s="418"/>
      <c r="AY28" s="418"/>
      <c r="AZ28" s="418"/>
      <c r="BA28" s="418"/>
      <c r="BB28" s="418"/>
      <c r="BC28" s="418"/>
      <c r="BD28" s="418"/>
      <c r="BE28" s="405"/>
    </row>
    <row r="29" spans="1:57" s="412" customFormat="1" ht="12.75" customHeight="1">
      <c r="A29" s="410"/>
      <c r="B29" s="411" t="s">
        <v>26</v>
      </c>
      <c r="C29" s="447">
        <f>C27</f>
        <v>0</v>
      </c>
      <c r="D29" s="447">
        <f t="shared" ref="D29:N29" si="147">D27</f>
        <v>0</v>
      </c>
      <c r="E29" s="447">
        <f t="shared" si="147"/>
        <v>0</v>
      </c>
      <c r="F29" s="447">
        <f t="shared" si="147"/>
        <v>0</v>
      </c>
      <c r="G29" s="447">
        <f t="shared" si="147"/>
        <v>-544.5</v>
      </c>
      <c r="H29" s="447">
        <f t="shared" si="147"/>
        <v>-10393.93</v>
      </c>
      <c r="I29" s="447">
        <f t="shared" si="147"/>
        <v>0</v>
      </c>
      <c r="J29" s="447">
        <f t="shared" si="147"/>
        <v>-1739.1550000000002</v>
      </c>
      <c r="K29" s="447">
        <f t="shared" si="147"/>
        <v>-4112.8999999999996</v>
      </c>
      <c r="L29" s="447">
        <f t="shared" si="147"/>
        <v>0</v>
      </c>
      <c r="M29" s="447">
        <f t="shared" si="147"/>
        <v>0</v>
      </c>
      <c r="N29" s="447">
        <f t="shared" si="147"/>
        <v>0</v>
      </c>
      <c r="O29" s="405"/>
      <c r="P29" s="447">
        <f>P27</f>
        <v>0</v>
      </c>
      <c r="Q29" s="444">
        <f>Q27</f>
        <v>0</v>
      </c>
      <c r="R29" s="444">
        <f t="shared" ref="R29:AA29" si="148">R27</f>
        <v>2750</v>
      </c>
      <c r="S29" s="444">
        <f t="shared" si="148"/>
        <v>0</v>
      </c>
      <c r="T29" s="444">
        <f t="shared" si="148"/>
        <v>375.5</v>
      </c>
      <c r="U29" s="444">
        <f t="shared" si="148"/>
        <v>1620</v>
      </c>
      <c r="V29" s="444">
        <f t="shared" si="148"/>
        <v>0</v>
      </c>
      <c r="W29" s="444">
        <f t="shared" si="148"/>
        <v>0</v>
      </c>
      <c r="X29" s="444">
        <f t="shared" si="148"/>
        <v>-3668.48</v>
      </c>
      <c r="Y29" s="444">
        <f t="shared" si="148"/>
        <v>2600</v>
      </c>
      <c r="Z29" s="444">
        <f t="shared" si="148"/>
        <v>0</v>
      </c>
      <c r="AA29" s="444">
        <f t="shared" si="148"/>
        <v>0</v>
      </c>
      <c r="AB29" s="405"/>
      <c r="AC29" s="447">
        <f>AC27</f>
        <v>0</v>
      </c>
      <c r="AD29" s="444">
        <f>AD27</f>
        <v>2475</v>
      </c>
      <c r="AE29" s="444">
        <f t="shared" ref="AE29:AM29" si="149">AE27</f>
        <v>0</v>
      </c>
      <c r="AF29" s="444">
        <f t="shared" si="149"/>
        <v>0</v>
      </c>
      <c r="AG29" s="444">
        <f t="shared" si="149"/>
        <v>0</v>
      </c>
      <c r="AH29" s="444">
        <f t="shared" si="149"/>
        <v>0</v>
      </c>
      <c r="AI29" s="444">
        <f t="shared" si="149"/>
        <v>0</v>
      </c>
      <c r="AJ29" s="444">
        <f t="shared" si="149"/>
        <v>0</v>
      </c>
      <c r="AK29" s="408">
        <f t="shared" si="149"/>
        <v>0</v>
      </c>
      <c r="AL29" s="408">
        <f t="shared" si="149"/>
        <v>0</v>
      </c>
      <c r="AM29" s="408">
        <f t="shared" si="149"/>
        <v>0</v>
      </c>
      <c r="AN29" s="408">
        <f>AN27</f>
        <v>0</v>
      </c>
      <c r="AO29" s="405"/>
      <c r="AP29" s="410"/>
      <c r="AQ29" s="410"/>
      <c r="AR29" s="487"/>
      <c r="AS29" s="418">
        <f>AS27</f>
        <v>0</v>
      </c>
      <c r="AT29" s="408">
        <f>AT27</f>
        <v>0</v>
      </c>
      <c r="AU29" s="408">
        <f t="shared" ref="AU29:BD29" si="150">AU27</f>
        <v>0</v>
      </c>
      <c r="AV29" s="408">
        <f t="shared" si="150"/>
        <v>0</v>
      </c>
      <c r="AW29" s="408">
        <f t="shared" si="150"/>
        <v>0</v>
      </c>
      <c r="AX29" s="408">
        <f t="shared" si="150"/>
        <v>0</v>
      </c>
      <c r="AY29" s="408">
        <f t="shared" si="150"/>
        <v>0</v>
      </c>
      <c r="AZ29" s="408">
        <f t="shared" si="150"/>
        <v>0</v>
      </c>
      <c r="BA29" s="408">
        <f t="shared" si="150"/>
        <v>0</v>
      </c>
      <c r="BB29" s="408">
        <f t="shared" si="150"/>
        <v>0</v>
      </c>
      <c r="BC29" s="408">
        <f t="shared" si="150"/>
        <v>0</v>
      </c>
      <c r="BD29" s="408">
        <f t="shared" si="150"/>
        <v>0</v>
      </c>
      <c r="BE29" s="405"/>
    </row>
    <row r="30" spans="1:57" s="412" customFormat="1">
      <c r="A30" s="410"/>
      <c r="B30" s="413" t="s">
        <v>24</v>
      </c>
      <c r="C30" s="448">
        <f>C29</f>
        <v>0</v>
      </c>
      <c r="D30" s="448">
        <f>D29+C30</f>
        <v>0</v>
      </c>
      <c r="E30" s="448">
        <f t="shared" ref="E30:N30" si="151">E29+D30</f>
        <v>0</v>
      </c>
      <c r="F30" s="448">
        <f t="shared" si="151"/>
        <v>0</v>
      </c>
      <c r="G30" s="448">
        <f t="shared" si="151"/>
        <v>-544.5</v>
      </c>
      <c r="H30" s="448">
        <f t="shared" si="151"/>
        <v>-10938.43</v>
      </c>
      <c r="I30" s="448">
        <f t="shared" si="151"/>
        <v>-10938.43</v>
      </c>
      <c r="J30" s="448">
        <f t="shared" si="151"/>
        <v>-12677.585000000001</v>
      </c>
      <c r="K30" s="448">
        <f t="shared" si="151"/>
        <v>-16790.485000000001</v>
      </c>
      <c r="L30" s="448">
        <f t="shared" si="151"/>
        <v>-16790.485000000001</v>
      </c>
      <c r="M30" s="448">
        <f t="shared" si="151"/>
        <v>-16790.485000000001</v>
      </c>
      <c r="N30" s="448">
        <f t="shared" si="151"/>
        <v>-16790.485000000001</v>
      </c>
      <c r="O30" s="420">
        <f>SUM(O27:O28)</f>
        <v>-16790.485000000001</v>
      </c>
      <c r="P30" s="447">
        <f>N27</f>
        <v>0</v>
      </c>
      <c r="Q30" s="445">
        <f>Q29+P30</f>
        <v>0</v>
      </c>
      <c r="R30" s="445">
        <f t="shared" ref="R30" si="152">R29+Q30</f>
        <v>2750</v>
      </c>
      <c r="S30" s="445">
        <f t="shared" ref="S30" si="153">S29+R30</f>
        <v>2750</v>
      </c>
      <c r="T30" s="445">
        <f t="shared" ref="T30" si="154">T29+S30</f>
        <v>3125.5</v>
      </c>
      <c r="U30" s="445">
        <f t="shared" ref="U30" si="155">U29+T30</f>
        <v>4745.5</v>
      </c>
      <c r="V30" s="445">
        <f t="shared" ref="V30" si="156">V29+U30</f>
        <v>4745.5</v>
      </c>
      <c r="W30" s="445">
        <f t="shared" ref="W30" si="157">W29+V30</f>
        <v>4745.5</v>
      </c>
      <c r="X30" s="445">
        <f t="shared" ref="X30" si="158">X29+W30</f>
        <v>1077.02</v>
      </c>
      <c r="Y30" s="445">
        <f t="shared" ref="Y30" si="159">Y29+X30</f>
        <v>3677.02</v>
      </c>
      <c r="Z30" s="445">
        <f t="shared" ref="Z30" si="160">Z29+Y30</f>
        <v>3677.02</v>
      </c>
      <c r="AA30" s="446">
        <f t="shared" ref="AA30" si="161">AA29+Z30</f>
        <v>3677.02</v>
      </c>
      <c r="AB30" s="420">
        <f>SUM(AB27:AB28)</f>
        <v>3677.02</v>
      </c>
      <c r="AC30" s="447">
        <f>AA27</f>
        <v>0</v>
      </c>
      <c r="AD30" s="445">
        <f>AD29+AC30</f>
        <v>2475</v>
      </c>
      <c r="AE30" s="445">
        <f t="shared" ref="AE30" si="162">AE29+AD30</f>
        <v>2475</v>
      </c>
      <c r="AF30" s="445">
        <f t="shared" ref="AF30" si="163">AF29+AE30</f>
        <v>2475</v>
      </c>
      <c r="AG30" s="445">
        <f t="shared" ref="AG30" si="164">AG29+AF30</f>
        <v>2475</v>
      </c>
      <c r="AH30" s="445">
        <f t="shared" ref="AH30" si="165">AH29+AG30</f>
        <v>2475</v>
      </c>
      <c r="AI30" s="445">
        <f t="shared" ref="AI30" si="166">AI29+AH30</f>
        <v>2475</v>
      </c>
      <c r="AJ30" s="445">
        <f t="shared" ref="AJ30" si="167">AJ29+AI30</f>
        <v>2475</v>
      </c>
      <c r="AK30" s="414">
        <f t="shared" ref="AK30" si="168">AK29+AJ30</f>
        <v>2475</v>
      </c>
      <c r="AL30" s="414">
        <f t="shared" ref="AL30" si="169">AL29+AK30</f>
        <v>2475</v>
      </c>
      <c r="AM30" s="414">
        <f t="shared" ref="AM30" si="170">AM29+AL30</f>
        <v>2475</v>
      </c>
      <c r="AN30" s="415">
        <f t="shared" ref="AN30" si="171">AN29+AM30</f>
        <v>2475</v>
      </c>
      <c r="AO30" s="420">
        <f>SUM(AO27:AO28)</f>
        <v>2475</v>
      </c>
      <c r="AP30" s="410"/>
      <c r="AQ30" s="410"/>
      <c r="AR30" s="487"/>
      <c r="AS30" s="418">
        <f>AQ27</f>
        <v>0</v>
      </c>
      <c r="AT30" s="414">
        <f>AT29+AS30</f>
        <v>0</v>
      </c>
      <c r="AU30" s="414">
        <f t="shared" ref="AU30" si="172">AU29+AT30</f>
        <v>0</v>
      </c>
      <c r="AV30" s="414">
        <f t="shared" ref="AV30" si="173">AV29+AU30</f>
        <v>0</v>
      </c>
      <c r="AW30" s="414">
        <f t="shared" ref="AW30" si="174">AW29+AV30</f>
        <v>0</v>
      </c>
      <c r="AX30" s="414">
        <f t="shared" ref="AX30" si="175">AX29+AW30</f>
        <v>0</v>
      </c>
      <c r="AY30" s="414">
        <f t="shared" ref="AY30" si="176">AY29+AX30</f>
        <v>0</v>
      </c>
      <c r="AZ30" s="414">
        <f t="shared" ref="AZ30" si="177">AZ29+AY30</f>
        <v>0</v>
      </c>
      <c r="BA30" s="414">
        <f t="shared" ref="BA30" si="178">BA29+AZ30</f>
        <v>0</v>
      </c>
      <c r="BB30" s="414">
        <f t="shared" ref="BB30" si="179">BB29+BA30</f>
        <v>0</v>
      </c>
      <c r="BC30" s="414">
        <f t="shared" ref="BC30" si="180">BC29+BB30</f>
        <v>0</v>
      </c>
      <c r="BD30" s="415">
        <f t="shared" ref="BD30" si="181">BD29+BC30</f>
        <v>0</v>
      </c>
      <c r="BE30" s="420">
        <f>SUM(BE27:BE28)</f>
        <v>0</v>
      </c>
    </row>
    <row r="31" spans="1:57">
      <c r="B31" s="404" t="s">
        <v>27</v>
      </c>
      <c r="C31" s="444">
        <f>'Ing y gtos'!AE147+'Ing y gtos'!AE150+'Ing y gtos'!AE153</f>
        <v>5000</v>
      </c>
      <c r="D31" s="444">
        <f>'Ing y gtos'!AF147+'Ing y gtos'!AF150+'Ing y gtos'!AF153</f>
        <v>9000</v>
      </c>
      <c r="E31" s="444">
        <f>'Ing y gtos'!AG147+'Ing y gtos'!AG150+'Ing y gtos'!AG153</f>
        <v>0</v>
      </c>
      <c r="F31" s="444">
        <f>'Ing y gtos'!AH147+'Ing y gtos'!AH150+'Ing y gtos'!AH153</f>
        <v>0</v>
      </c>
      <c r="G31" s="444">
        <f>'Ing y gtos'!AI147+'Ing y gtos'!AI150+'Ing y gtos'!AI153</f>
        <v>0</v>
      </c>
      <c r="H31" s="444">
        <f>'Ing y gtos'!AJ147+'Ing y gtos'!AJ150+'Ing y gtos'!AJ153</f>
        <v>0</v>
      </c>
      <c r="I31" s="444">
        <f>'Ing y gtos'!AK147+'Ing y gtos'!AK150+'Ing y gtos'!AK153</f>
        <v>0</v>
      </c>
      <c r="J31" s="444">
        <f>'Ing y gtos'!AL147+'Ing y gtos'!AL150+'Ing y gtos'!AL153</f>
        <v>0</v>
      </c>
      <c r="K31" s="444">
        <f>'Ing y gtos'!AM147+'Ing y gtos'!AM150+'Ing y gtos'!AM153</f>
        <v>0</v>
      </c>
      <c r="L31" s="444">
        <f>'Ing y gtos'!AN147+'Ing y gtos'!AN150+'Ing y gtos'!AN153</f>
        <v>0</v>
      </c>
      <c r="M31" s="444">
        <f>'Ing y gtos'!AO147+'Ing y gtos'!AO150+'Ing y gtos'!AO153</f>
        <v>0</v>
      </c>
      <c r="N31" s="444">
        <f>'Ing y gtos'!AP147+'Ing y gtos'!AP150+'Ing y gtos'!AP153</f>
        <v>0</v>
      </c>
      <c r="O31" s="405">
        <f t="shared" ref="O31" si="182">SUM(C31:N31)</f>
        <v>14000</v>
      </c>
      <c r="P31" s="470">
        <f>'Ing y gtos'!AU147+'Ing y gtos'!AU150+'Ing y gtos'!AU153</f>
        <v>0</v>
      </c>
      <c r="Q31" s="470">
        <f>'Ing y gtos'!AV147+'Ing y gtos'!AV150+'Ing y gtos'!AV153</f>
        <v>0</v>
      </c>
      <c r="R31" s="470">
        <f>'Ing y gtos'!AW147+'Ing y gtos'!AW150+'Ing y gtos'!AW153</f>
        <v>10000</v>
      </c>
      <c r="S31" s="470">
        <f>'Ing y gtos'!AX147+'Ing y gtos'!AX150+'Ing y gtos'!AX153</f>
        <v>21000</v>
      </c>
      <c r="T31" s="470">
        <f>'Ing y gtos'!AY147+'Ing y gtos'!AY150+'Ing y gtos'!AY153</f>
        <v>15000</v>
      </c>
      <c r="U31" s="470">
        <f>'Ing y gtos'!AZ147+'Ing y gtos'!AZ150+'Ing y gtos'!AZ153</f>
        <v>13500</v>
      </c>
      <c r="V31" s="470">
        <f>'Ing y gtos'!BA147+'Ing y gtos'!BA150+'Ing y gtos'!BA153</f>
        <v>0</v>
      </c>
      <c r="W31" s="470">
        <f>'Ing y gtos'!BB147+'Ing y gtos'!BB150+'Ing y gtos'!BB153</f>
        <v>-10000</v>
      </c>
      <c r="X31" s="470">
        <f>'Ing y gtos'!BC147+'Ing y gtos'!BC150+'Ing y gtos'!BC153</f>
        <v>-15000</v>
      </c>
      <c r="Y31" s="470">
        <f>'Ing y gtos'!BD141+'Ing y gtos'!BD147+'Ing y gtos'!BD150+'Ing y gtos'!BD153</f>
        <v>915</v>
      </c>
      <c r="Z31" s="470">
        <f>'Ing y gtos'!BE141+'Ing y gtos'!BE147+'Ing y gtos'!BE150+'Ing y gtos'!BE153</f>
        <v>0</v>
      </c>
      <c r="AA31" s="470">
        <f>'Ing y gtos'!BF141+'Ing y gtos'!BF147+'Ing y gtos'!BF150+'Ing y gtos'!BF153</f>
        <v>12000</v>
      </c>
      <c r="AB31" s="405">
        <f t="shared" ref="AB31" si="183">SUM(P31:AA31)</f>
        <v>47415</v>
      </c>
      <c r="AC31" s="470">
        <f>'Ing y gtos'!BJ141+'Ing y gtos'!BJ147+'Ing y gtos'!BJ150+'Ing y gtos'!BJ153</f>
        <v>5350</v>
      </c>
      <c r="AD31" s="470">
        <f>'Ing y gtos'!BK141+'Ing y gtos'!BK147+'Ing y gtos'!BK150+'Ing y gtos'!BK153</f>
        <v>33000</v>
      </c>
      <c r="AE31" s="470">
        <f>'Ing y gtos'!BL141+'Ing y gtos'!BL147+'Ing y gtos'!BL150+'Ing y gtos'!BL153</f>
        <v>250</v>
      </c>
      <c r="AF31" s="470">
        <f>'Ing y gtos'!BM141+'Ing y gtos'!BM147+'Ing y gtos'!BM150+'Ing y gtos'!BM153</f>
        <v>595</v>
      </c>
      <c r="AG31" s="470">
        <f>'Ing y gtos'!BN141+'Ing y gtos'!BN147+'Ing y gtos'!BN150+'Ing y gtos'!BN153</f>
        <v>12000</v>
      </c>
      <c r="AH31" s="470">
        <f>'Ing y gtos'!BO141+'Ing y gtos'!BO147+'Ing y gtos'!BO150+'Ing y gtos'!BO153</f>
        <v>5000</v>
      </c>
      <c r="AI31" s="470">
        <f>'Ing y gtos'!BP141+'Ing y gtos'!BP147+'Ing y gtos'!BP150+'Ing y gtos'!BP153</f>
        <v>12150</v>
      </c>
      <c r="AJ31" s="470">
        <f>'Ing y gtos'!BQ141+'Ing y gtos'!BQ147+'Ing y gtos'!BQ150+'Ing y gtos'!BQ153</f>
        <v>-21405</v>
      </c>
      <c r="AK31" s="422">
        <f>'Ing y gtos'!BR141+'Ing y gtos'!BR147+'Ing y gtos'!BR150+'Ing y gtos'!BR153</f>
        <v>2000</v>
      </c>
      <c r="AL31" s="422">
        <f>'Ing y gtos'!BS141+'Ing y gtos'!BS147+'Ing y gtos'!BS150+'Ing y gtos'!BS153</f>
        <v>145</v>
      </c>
      <c r="AM31" s="422">
        <f>'Ing y gtos'!BT141+'Ing y gtos'!BT147+'Ing y gtos'!BT150+'Ing y gtos'!BT153</f>
        <v>0</v>
      </c>
      <c r="AN31" s="422">
        <f>'Ing y gtos'!BU141+'Ing y gtos'!BU147+'Ing y gtos'!BU150+'Ing y gtos'!BU153</f>
        <v>0</v>
      </c>
      <c r="AO31" s="405">
        <f t="shared" ref="AO31" si="184">SUM(AC31:AN31)</f>
        <v>49085</v>
      </c>
      <c r="AS31" s="422">
        <f>'Ing y gtos'!BY147+'Ing y gtos'!BY150+'Ing y gtos'!BY153</f>
        <v>20000</v>
      </c>
      <c r="AT31" s="422">
        <f>'Ing y gtos'!BZ147+'Ing y gtos'!BZ150+'Ing y gtos'!BZ153</f>
        <v>0</v>
      </c>
      <c r="AU31" s="422">
        <f>'Ing y gtos'!CA147+'Ing y gtos'!CA150+'Ing y gtos'!CA153</f>
        <v>0</v>
      </c>
      <c r="AV31" s="422">
        <f>'Ing y gtos'!CB147+'Ing y gtos'!CB150+'Ing y gtos'!CB153</f>
        <v>0</v>
      </c>
      <c r="AW31" s="422">
        <f>'Ing y gtos'!CC147+'Ing y gtos'!CC150+'Ing y gtos'!CC153</f>
        <v>25000</v>
      </c>
      <c r="AX31" s="422">
        <f>'Ing y gtos'!CD147+'Ing y gtos'!CD150+'Ing y gtos'!CD153</f>
        <v>0</v>
      </c>
      <c r="AY31" s="422">
        <f>'Ing y gtos'!CE147+'Ing y gtos'!CE150+'Ing y gtos'!CE153</f>
        <v>-25000</v>
      </c>
      <c r="AZ31" s="422">
        <f>'Ing y gtos'!CF147+'Ing y gtos'!CF150+'Ing y gtos'!CF153</f>
        <v>0</v>
      </c>
      <c r="BA31" s="422">
        <f>'Ing y gtos'!CG147+'Ing y gtos'!CG150+'Ing y gtos'!CG153</f>
        <v>-22000</v>
      </c>
      <c r="BB31" s="422">
        <f>'Ing y gtos'!CH147+'Ing y gtos'!CH150+'Ing y gtos'!CH153</f>
        <v>-32000</v>
      </c>
      <c r="BC31" s="422">
        <f>'Ing y gtos'!CI147+'Ing y gtos'!CI150+'Ing y gtos'!CI153</f>
        <v>-23000</v>
      </c>
      <c r="BD31" s="422">
        <f>'Ing y gtos'!CJ147+'Ing y gtos'!CJ150+'Ing y gtos'!CJ153</f>
        <v>0</v>
      </c>
      <c r="BE31" s="405">
        <f t="shared" ref="BE31" si="185">SUM(AS31:BD31)</f>
        <v>-57000</v>
      </c>
    </row>
    <row r="32" spans="1:57" ht="4.5" customHeight="1">
      <c r="B32" s="400"/>
      <c r="C32" s="444"/>
      <c r="D32" s="444"/>
      <c r="E32" s="444"/>
      <c r="F32" s="444"/>
      <c r="G32" s="444"/>
      <c r="H32" s="444"/>
      <c r="I32" s="444"/>
      <c r="J32" s="444"/>
      <c r="K32" s="444"/>
      <c r="L32" s="444"/>
      <c r="M32" s="444"/>
      <c r="N32" s="444"/>
      <c r="O32" s="405"/>
      <c r="P32" s="444"/>
      <c r="Q32" s="444"/>
      <c r="R32" s="444"/>
      <c r="S32" s="444"/>
      <c r="T32" s="444"/>
      <c r="U32" s="444"/>
      <c r="V32" s="444"/>
      <c r="W32" s="444"/>
      <c r="X32" s="444"/>
      <c r="Y32" s="444"/>
      <c r="Z32" s="444"/>
      <c r="AA32" s="444"/>
      <c r="AB32" s="405"/>
      <c r="AC32" s="444"/>
      <c r="AD32" s="444"/>
      <c r="AE32" s="444"/>
      <c r="AF32" s="444"/>
      <c r="AG32" s="444"/>
      <c r="AH32" s="444"/>
      <c r="AI32" s="444"/>
      <c r="AJ32" s="444"/>
      <c r="AK32" s="408"/>
      <c r="AL32" s="408"/>
      <c r="AM32" s="408"/>
      <c r="AN32" s="408"/>
      <c r="AO32" s="405"/>
      <c r="AS32" s="408"/>
      <c r="AT32" s="408"/>
      <c r="AU32" s="408"/>
      <c r="AV32" s="408"/>
      <c r="AW32" s="408"/>
      <c r="AX32" s="408"/>
      <c r="AY32" s="408"/>
      <c r="AZ32" s="408"/>
      <c r="BA32" s="408"/>
      <c r="BB32" s="408"/>
      <c r="BC32" s="408"/>
      <c r="BD32" s="408"/>
      <c r="BE32" s="405"/>
    </row>
    <row r="33" spans="1:57" s="412" customFormat="1" ht="12.75" customHeight="1">
      <c r="A33" s="410"/>
      <c r="B33" s="411" t="s">
        <v>28</v>
      </c>
      <c r="C33" s="447">
        <f>C31</f>
        <v>5000</v>
      </c>
      <c r="D33" s="447">
        <f t="shared" ref="D33:N33" si="186">D31</f>
        <v>9000</v>
      </c>
      <c r="E33" s="447">
        <f t="shared" si="186"/>
        <v>0</v>
      </c>
      <c r="F33" s="447">
        <f t="shared" si="186"/>
        <v>0</v>
      </c>
      <c r="G33" s="447">
        <f t="shared" si="186"/>
        <v>0</v>
      </c>
      <c r="H33" s="447">
        <f t="shared" si="186"/>
        <v>0</v>
      </c>
      <c r="I33" s="447">
        <f t="shared" si="186"/>
        <v>0</v>
      </c>
      <c r="J33" s="447">
        <f t="shared" si="186"/>
        <v>0</v>
      </c>
      <c r="K33" s="447">
        <f t="shared" si="186"/>
        <v>0</v>
      </c>
      <c r="L33" s="447">
        <f t="shared" si="186"/>
        <v>0</v>
      </c>
      <c r="M33" s="447">
        <f t="shared" si="186"/>
        <v>0</v>
      </c>
      <c r="N33" s="447">
        <f t="shared" si="186"/>
        <v>0</v>
      </c>
      <c r="O33" s="405"/>
      <c r="P33" s="447">
        <f>P31</f>
        <v>0</v>
      </c>
      <c r="Q33" s="447">
        <f t="shared" ref="Q33:AA33" si="187">Q31</f>
        <v>0</v>
      </c>
      <c r="R33" s="447">
        <f t="shared" si="187"/>
        <v>10000</v>
      </c>
      <c r="S33" s="447">
        <f t="shared" si="187"/>
        <v>21000</v>
      </c>
      <c r="T33" s="447">
        <f t="shared" si="187"/>
        <v>15000</v>
      </c>
      <c r="U33" s="447">
        <f t="shared" si="187"/>
        <v>13500</v>
      </c>
      <c r="V33" s="447">
        <f t="shared" si="187"/>
        <v>0</v>
      </c>
      <c r="W33" s="447">
        <f t="shared" si="187"/>
        <v>-10000</v>
      </c>
      <c r="X33" s="447">
        <f t="shared" si="187"/>
        <v>-15000</v>
      </c>
      <c r="Y33" s="447">
        <f t="shared" si="187"/>
        <v>915</v>
      </c>
      <c r="Z33" s="447">
        <f t="shared" si="187"/>
        <v>0</v>
      </c>
      <c r="AA33" s="447">
        <f t="shared" si="187"/>
        <v>12000</v>
      </c>
      <c r="AB33" s="405"/>
      <c r="AC33" s="447">
        <f>AC31</f>
        <v>5350</v>
      </c>
      <c r="AD33" s="447">
        <f t="shared" ref="AD33:AM33" si="188">AD31</f>
        <v>33000</v>
      </c>
      <c r="AE33" s="447">
        <f t="shared" si="188"/>
        <v>250</v>
      </c>
      <c r="AF33" s="447">
        <f t="shared" si="188"/>
        <v>595</v>
      </c>
      <c r="AG33" s="447">
        <f t="shared" si="188"/>
        <v>12000</v>
      </c>
      <c r="AH33" s="447">
        <f t="shared" si="188"/>
        <v>5000</v>
      </c>
      <c r="AI33" s="447">
        <f t="shared" si="188"/>
        <v>12150</v>
      </c>
      <c r="AJ33" s="447">
        <f t="shared" si="188"/>
        <v>-21405</v>
      </c>
      <c r="AK33" s="418">
        <f t="shared" si="188"/>
        <v>2000</v>
      </c>
      <c r="AL33" s="418">
        <f t="shared" si="188"/>
        <v>145</v>
      </c>
      <c r="AM33" s="418">
        <f t="shared" si="188"/>
        <v>0</v>
      </c>
      <c r="AN33" s="418">
        <f>AN31</f>
        <v>0</v>
      </c>
      <c r="AO33" s="405"/>
      <c r="AP33" s="410"/>
      <c r="AQ33" s="410"/>
      <c r="AR33" s="487"/>
      <c r="AS33" s="418">
        <f>AS31</f>
        <v>20000</v>
      </c>
      <c r="AT33" s="418">
        <f t="shared" ref="AT33:BD33" si="189">AT31</f>
        <v>0</v>
      </c>
      <c r="AU33" s="418">
        <f t="shared" si="189"/>
        <v>0</v>
      </c>
      <c r="AV33" s="418">
        <f t="shared" si="189"/>
        <v>0</v>
      </c>
      <c r="AW33" s="418">
        <f t="shared" si="189"/>
        <v>25000</v>
      </c>
      <c r="AX33" s="418">
        <f t="shared" si="189"/>
        <v>0</v>
      </c>
      <c r="AY33" s="418">
        <f t="shared" si="189"/>
        <v>-25000</v>
      </c>
      <c r="AZ33" s="418">
        <f t="shared" si="189"/>
        <v>0</v>
      </c>
      <c r="BA33" s="418">
        <f t="shared" si="189"/>
        <v>-22000</v>
      </c>
      <c r="BB33" s="418">
        <f t="shared" si="189"/>
        <v>-32000</v>
      </c>
      <c r="BC33" s="418">
        <f t="shared" si="189"/>
        <v>-23000</v>
      </c>
      <c r="BD33" s="418">
        <f t="shared" si="189"/>
        <v>0</v>
      </c>
      <c r="BE33" s="405"/>
    </row>
    <row r="34" spans="1:57" s="412" customFormat="1">
      <c r="A34" s="410"/>
      <c r="B34" s="413" t="s">
        <v>29</v>
      </c>
      <c r="C34" s="448">
        <f>C33</f>
        <v>5000</v>
      </c>
      <c r="D34" s="448">
        <f>D33+C34</f>
        <v>14000</v>
      </c>
      <c r="E34" s="448">
        <f t="shared" ref="E34:N34" si="190">E33+D34</f>
        <v>14000</v>
      </c>
      <c r="F34" s="448">
        <f t="shared" si="190"/>
        <v>14000</v>
      </c>
      <c r="G34" s="448">
        <f t="shared" si="190"/>
        <v>14000</v>
      </c>
      <c r="H34" s="448">
        <f t="shared" si="190"/>
        <v>14000</v>
      </c>
      <c r="I34" s="448">
        <f t="shared" si="190"/>
        <v>14000</v>
      </c>
      <c r="J34" s="448">
        <f t="shared" si="190"/>
        <v>14000</v>
      </c>
      <c r="K34" s="448">
        <f t="shared" si="190"/>
        <v>14000</v>
      </c>
      <c r="L34" s="448">
        <f t="shared" si="190"/>
        <v>14000</v>
      </c>
      <c r="M34" s="448">
        <f t="shared" si="190"/>
        <v>14000</v>
      </c>
      <c r="N34" s="448">
        <f t="shared" si="190"/>
        <v>14000</v>
      </c>
      <c r="O34" s="420">
        <f>SUM(O31:O32)</f>
        <v>14000</v>
      </c>
      <c r="P34" s="448">
        <f>P33</f>
        <v>0</v>
      </c>
      <c r="Q34" s="448">
        <f>Q33+P34</f>
        <v>0</v>
      </c>
      <c r="R34" s="448">
        <f t="shared" ref="R34" si="191">R33+Q34</f>
        <v>10000</v>
      </c>
      <c r="S34" s="448">
        <f t="shared" ref="S34" si="192">S33+R34</f>
        <v>31000</v>
      </c>
      <c r="T34" s="448">
        <f t="shared" ref="T34" si="193">T33+S34</f>
        <v>46000</v>
      </c>
      <c r="U34" s="448">
        <f t="shared" ref="U34" si="194">U33+T34</f>
        <v>59500</v>
      </c>
      <c r="V34" s="448">
        <f t="shared" ref="V34" si="195">V33+U34</f>
        <v>59500</v>
      </c>
      <c r="W34" s="448">
        <f t="shared" ref="W34" si="196">W33+V34</f>
        <v>49500</v>
      </c>
      <c r="X34" s="448">
        <f t="shared" ref="X34" si="197">X33+W34</f>
        <v>34500</v>
      </c>
      <c r="Y34" s="448">
        <f t="shared" ref="Y34" si="198">Y33+X34</f>
        <v>35415</v>
      </c>
      <c r="Z34" s="448">
        <f t="shared" ref="Z34" si="199">Z33+Y34</f>
        <v>35415</v>
      </c>
      <c r="AA34" s="448">
        <f t="shared" ref="AA34" si="200">AA33+Z34</f>
        <v>47415</v>
      </c>
      <c r="AB34" s="420">
        <f>SUM(AB31:AB32)</f>
        <v>47415</v>
      </c>
      <c r="AC34" s="448">
        <f>AC33</f>
        <v>5350</v>
      </c>
      <c r="AD34" s="448">
        <f>AD33+AC34</f>
        <v>38350</v>
      </c>
      <c r="AE34" s="448">
        <f t="shared" ref="AE34" si="201">AE33+AD34</f>
        <v>38600</v>
      </c>
      <c r="AF34" s="448">
        <f t="shared" ref="AF34" si="202">AF33+AE34</f>
        <v>39195</v>
      </c>
      <c r="AG34" s="448">
        <f t="shared" ref="AG34" si="203">AG33+AF34</f>
        <v>51195</v>
      </c>
      <c r="AH34" s="448">
        <f t="shared" ref="AH34" si="204">AH33+AG34</f>
        <v>56195</v>
      </c>
      <c r="AI34" s="448">
        <f t="shared" ref="AI34" si="205">AI33+AH34</f>
        <v>68345</v>
      </c>
      <c r="AJ34" s="448">
        <f t="shared" ref="AJ34" si="206">AJ33+AI34</f>
        <v>46940</v>
      </c>
      <c r="AK34" s="419">
        <f t="shared" ref="AK34" si="207">AK33+AJ34</f>
        <v>48940</v>
      </c>
      <c r="AL34" s="419">
        <f t="shared" ref="AL34" si="208">AL33+AK34</f>
        <v>49085</v>
      </c>
      <c r="AM34" s="419">
        <f t="shared" ref="AM34" si="209">AM33+AL34</f>
        <v>49085</v>
      </c>
      <c r="AN34" s="419">
        <f t="shared" ref="AN34" si="210">AN33+AM34</f>
        <v>49085</v>
      </c>
      <c r="AO34" s="420">
        <f>SUM(AO31:AO32)</f>
        <v>49085</v>
      </c>
      <c r="AP34" s="410"/>
      <c r="AQ34" s="410"/>
      <c r="AR34" s="487"/>
      <c r="AS34" s="419">
        <f>AS33</f>
        <v>20000</v>
      </c>
      <c r="AT34" s="419">
        <f>AT33+AS34</f>
        <v>20000</v>
      </c>
      <c r="AU34" s="419">
        <f t="shared" ref="AU34" si="211">AU33+AT34</f>
        <v>20000</v>
      </c>
      <c r="AV34" s="419">
        <f t="shared" ref="AV34" si="212">AV33+AU34</f>
        <v>20000</v>
      </c>
      <c r="AW34" s="419">
        <f t="shared" ref="AW34" si="213">AW33+AV34</f>
        <v>45000</v>
      </c>
      <c r="AX34" s="419">
        <f t="shared" ref="AX34" si="214">AX33+AW34</f>
        <v>45000</v>
      </c>
      <c r="AY34" s="419">
        <f t="shared" ref="AY34" si="215">AY33+AX34</f>
        <v>20000</v>
      </c>
      <c r="AZ34" s="419">
        <f t="shared" ref="AZ34" si="216">AZ33+AY34</f>
        <v>20000</v>
      </c>
      <c r="BA34" s="419">
        <f t="shared" ref="BA34" si="217">BA33+AZ34</f>
        <v>-2000</v>
      </c>
      <c r="BB34" s="419">
        <f t="shared" ref="BB34" si="218">BB33+BA34</f>
        <v>-34000</v>
      </c>
      <c r="BC34" s="419">
        <f t="shared" ref="BC34" si="219">BC33+BB34</f>
        <v>-57000</v>
      </c>
      <c r="BD34" s="419">
        <f t="shared" ref="BD34" si="220">BD33+BC34</f>
        <v>-57000</v>
      </c>
      <c r="BE34" s="420">
        <f>SUM(BE31:BE32)</f>
        <v>-57000</v>
      </c>
    </row>
    <row r="35" spans="1:57" ht="4.5" customHeight="1">
      <c r="B35" s="400"/>
      <c r="C35" s="436"/>
      <c r="D35" s="436"/>
      <c r="E35" s="436"/>
      <c r="F35" s="436"/>
      <c r="G35" s="436"/>
      <c r="H35" s="436"/>
      <c r="I35" s="436"/>
      <c r="J35" s="436"/>
      <c r="K35" s="436"/>
      <c r="L35" s="436"/>
      <c r="M35" s="436"/>
      <c r="N35" s="436"/>
      <c r="O35" s="405"/>
      <c r="P35" s="444"/>
      <c r="Q35" s="444"/>
      <c r="R35" s="444"/>
      <c r="S35" s="444"/>
      <c r="T35" s="444"/>
      <c r="U35" s="444"/>
      <c r="V35" s="444"/>
      <c r="W35" s="444"/>
      <c r="X35" s="444"/>
      <c r="Y35" s="444"/>
      <c r="Z35" s="444"/>
      <c r="AA35" s="444"/>
      <c r="AB35" s="405"/>
      <c r="AC35" s="444"/>
      <c r="AD35" s="444"/>
      <c r="AE35" s="444"/>
      <c r="AF35" s="444"/>
      <c r="AG35" s="444"/>
      <c r="AH35" s="444"/>
      <c r="AI35" s="444"/>
      <c r="AJ35" s="444"/>
      <c r="AK35" s="408"/>
      <c r="AL35" s="408"/>
      <c r="AM35" s="408"/>
      <c r="AN35" s="408"/>
      <c r="AO35" s="405"/>
      <c r="AS35" s="408"/>
      <c r="AT35" s="408"/>
      <c r="AU35" s="408"/>
      <c r="AV35" s="408"/>
      <c r="AW35" s="408"/>
      <c r="AX35" s="408"/>
      <c r="AY35" s="408"/>
      <c r="AZ35" s="408"/>
      <c r="BA35" s="408"/>
      <c r="BB35" s="408"/>
      <c r="BC35" s="408"/>
      <c r="BD35" s="408"/>
      <c r="BE35" s="405"/>
    </row>
    <row r="36" spans="1:57" ht="12" customHeight="1">
      <c r="B36" s="404" t="s">
        <v>30</v>
      </c>
      <c r="C36" s="450">
        <f t="shared" ref="C36:M36" si="221">C7+C13+C19+C24+C29+C33</f>
        <v>260.89000000000033</v>
      </c>
      <c r="D36" s="450">
        <f t="shared" si="221"/>
        <v>27680.86</v>
      </c>
      <c r="E36" s="450">
        <f t="shared" si="221"/>
        <v>53816.9</v>
      </c>
      <c r="F36" s="450">
        <f t="shared" si="221"/>
        <v>-48641.77</v>
      </c>
      <c r="G36" s="450">
        <f t="shared" si="221"/>
        <v>4706.6782000000021</v>
      </c>
      <c r="H36" s="450">
        <f t="shared" si="221"/>
        <v>-20153.349999999999</v>
      </c>
      <c r="I36" s="450">
        <f t="shared" si="221"/>
        <v>-8615.5878999999986</v>
      </c>
      <c r="J36" s="450">
        <f t="shared" si="221"/>
        <v>38110.455000000002</v>
      </c>
      <c r="K36" s="450">
        <f t="shared" si="221"/>
        <v>55137.310000000005</v>
      </c>
      <c r="L36" s="450">
        <f t="shared" si="221"/>
        <v>17893.770000000011</v>
      </c>
      <c r="M36" s="450">
        <f t="shared" si="221"/>
        <v>-32693.790000000005</v>
      </c>
      <c r="N36" s="450">
        <f>N7+N13+N19+N24+N29+N33</f>
        <v>-69953.200000000012</v>
      </c>
      <c r="O36" s="425">
        <f>SUM(O8,O14,O20,O25,O30,O34)</f>
        <v>17549.165299999979</v>
      </c>
      <c r="P36" s="450">
        <f t="shared" ref="P36:AA36" si="222">P7+P13+P19+P24+P29+P33</f>
        <v>12687.519999999997</v>
      </c>
      <c r="Q36" s="450">
        <f t="shared" si="222"/>
        <v>7311.8499999999985</v>
      </c>
      <c r="R36" s="450">
        <f t="shared" si="222"/>
        <v>-29513.33</v>
      </c>
      <c r="S36" s="450">
        <f t="shared" si="222"/>
        <v>6259.84</v>
      </c>
      <c r="T36" s="450">
        <f t="shared" si="222"/>
        <v>-6502.4399999999987</v>
      </c>
      <c r="U36" s="450">
        <f t="shared" si="222"/>
        <v>18087.010000000002</v>
      </c>
      <c r="V36" s="450">
        <f t="shared" si="222"/>
        <v>8306.7800000000025</v>
      </c>
      <c r="W36" s="450">
        <f t="shared" si="222"/>
        <v>7121.8899999999958</v>
      </c>
      <c r="X36" s="450">
        <f t="shared" si="222"/>
        <v>-14154.889999999992</v>
      </c>
      <c r="Y36" s="450">
        <f t="shared" si="222"/>
        <v>-13792.600000000002</v>
      </c>
      <c r="Z36" s="450">
        <f t="shared" si="222"/>
        <v>-1801.3900000000008</v>
      </c>
      <c r="AA36" s="450">
        <f t="shared" si="222"/>
        <v>22068.580000000005</v>
      </c>
      <c r="AB36" s="425">
        <f>SUM(AB8,AB14,AB20,AB25,AB30,AB34)</f>
        <v>16078.819999999989</v>
      </c>
      <c r="AC36" s="450">
        <f>AC7+AC13+AC19+AC24+AC29+AC33</f>
        <v>-31889.870000000003</v>
      </c>
      <c r="AD36" s="450">
        <f t="shared" ref="AD36:AM36" si="223">AD7+AD13+AD19+AD24+AD29+AD33</f>
        <v>28634.120000000003</v>
      </c>
      <c r="AE36" s="450">
        <f t="shared" si="223"/>
        <v>-2648.5199999999895</v>
      </c>
      <c r="AF36" s="450">
        <f t="shared" si="223"/>
        <v>-25532.65</v>
      </c>
      <c r="AG36" s="450">
        <f t="shared" si="223"/>
        <v>-806.39000000000306</v>
      </c>
      <c r="AH36" s="450">
        <f>AH7+AH13+AH19+AH24+AH29+AH33</f>
        <v>14893.91</v>
      </c>
      <c r="AI36" s="450">
        <f t="shared" si="223"/>
        <v>-10395.910000000003</v>
      </c>
      <c r="AJ36" s="450">
        <f t="shared" si="223"/>
        <v>22131.800000000003</v>
      </c>
      <c r="AK36" s="424">
        <f t="shared" si="223"/>
        <v>-27552.29</v>
      </c>
      <c r="AL36" s="424">
        <f t="shared" si="223"/>
        <v>-14722.04</v>
      </c>
      <c r="AM36" s="424">
        <f t="shared" si="223"/>
        <v>21286.439999999995</v>
      </c>
      <c r="AN36" s="424">
        <f>AN7+AN13+AN19+AN24+AN29+AN33</f>
        <v>19155.159999999996</v>
      </c>
      <c r="AO36" s="425">
        <f>SUM(AO8,AO14,AO20,AO25,AO30,AO34)</f>
        <v>-7446.2400000000489</v>
      </c>
      <c r="AS36" s="424">
        <f>AS7+AS13+AS19+AS24+AS29+AS33</f>
        <v>-24051.270000000004</v>
      </c>
      <c r="AT36" s="424">
        <f t="shared" ref="AT36:BD36" si="224">AT7+AT13+AT19+AT24+AT29+AT33</f>
        <v>10751.199999999997</v>
      </c>
      <c r="AU36" s="424">
        <f t="shared" si="224"/>
        <v>-5000.7900000000045</v>
      </c>
      <c r="AV36" s="424">
        <f t="shared" si="224"/>
        <v>-3505.9700000000012</v>
      </c>
      <c r="AW36" s="424">
        <f t="shared" si="224"/>
        <v>7493.119999999999</v>
      </c>
      <c r="AX36" s="424">
        <f t="shared" si="224"/>
        <v>24655.05</v>
      </c>
      <c r="AY36" s="424">
        <f t="shared" si="224"/>
        <v>28536.160000000003</v>
      </c>
      <c r="AZ36" s="424">
        <f t="shared" si="224"/>
        <v>16358.929999999998</v>
      </c>
      <c r="BA36" s="424">
        <f t="shared" si="224"/>
        <v>-22952.33</v>
      </c>
      <c r="BB36" s="424">
        <f t="shared" si="224"/>
        <v>-18633.669999999998</v>
      </c>
      <c r="BC36" s="424">
        <f t="shared" si="224"/>
        <v>-27516.320000000007</v>
      </c>
      <c r="BD36" s="424">
        <f t="shared" si="224"/>
        <v>14744.510000000002</v>
      </c>
      <c r="BE36" s="425">
        <f>SUM(BE8,BE14,BE20,BE25,BE30,BE34)</f>
        <v>878.61999999993714</v>
      </c>
    </row>
    <row r="37" spans="1:57" ht="12" customHeight="1">
      <c r="B37" s="426" t="s">
        <v>31</v>
      </c>
      <c r="C37" s="451"/>
      <c r="D37" s="451"/>
      <c r="E37" s="451"/>
      <c r="F37" s="451"/>
      <c r="G37" s="451"/>
      <c r="H37" s="451"/>
      <c r="I37" s="451"/>
      <c r="J37" s="451"/>
      <c r="K37" s="451"/>
      <c r="L37" s="451"/>
      <c r="M37" s="451"/>
      <c r="N37" s="451"/>
      <c r="O37" s="427">
        <f>SUM(C36:N36)-O36</f>
        <v>0</v>
      </c>
      <c r="P37" s="471"/>
      <c r="Q37" s="471"/>
      <c r="R37" s="471"/>
      <c r="S37" s="471"/>
      <c r="T37" s="471"/>
      <c r="U37" s="471"/>
      <c r="V37" s="471"/>
      <c r="W37" s="471"/>
      <c r="X37" s="471"/>
      <c r="Y37" s="471"/>
      <c r="Z37" s="471"/>
      <c r="AA37" s="471"/>
      <c r="AB37" s="427">
        <f>SUM(P36:AA36)-AB36</f>
        <v>1.6370904631912708E-11</v>
      </c>
      <c r="AC37" s="471"/>
      <c r="AD37" s="471"/>
      <c r="AE37" s="471"/>
      <c r="AF37" s="471"/>
      <c r="AG37" s="471"/>
      <c r="AH37" s="471"/>
      <c r="AI37" s="471"/>
      <c r="AJ37" s="471"/>
      <c r="AK37" s="428"/>
      <c r="AL37" s="428"/>
      <c r="AM37" s="428"/>
      <c r="AN37" s="428"/>
      <c r="AO37" s="427">
        <f>SUM(AC36:AN36)-AO36</f>
        <v>4.3655745685100555E-11</v>
      </c>
      <c r="AS37" s="428"/>
      <c r="AT37" s="428"/>
      <c r="AU37" s="428"/>
      <c r="AV37" s="428"/>
      <c r="AW37" s="428"/>
      <c r="AX37" s="428"/>
      <c r="AY37" s="428"/>
      <c r="AZ37" s="428"/>
      <c r="BA37" s="428"/>
      <c r="BB37" s="428"/>
      <c r="BC37" s="428"/>
      <c r="BD37" s="428"/>
      <c r="BE37" s="427">
        <f>SUM(AS36:BD36)-BE36</f>
        <v>4.3655745685100555E-11</v>
      </c>
    </row>
    <row r="38" spans="1:57" ht="12.75" customHeight="1">
      <c r="B38" s="429" t="s">
        <v>32</v>
      </c>
      <c r="C38" s="452"/>
      <c r="D38" s="452"/>
      <c r="E38" s="452"/>
      <c r="F38" s="452"/>
      <c r="G38" s="452"/>
      <c r="H38" s="452"/>
      <c r="I38" s="452"/>
      <c r="J38" s="452"/>
      <c r="K38" s="452"/>
      <c r="L38" s="452"/>
      <c r="M38" s="452"/>
      <c r="N38" s="452"/>
      <c r="O38" s="440"/>
      <c r="P38" s="453"/>
      <c r="Q38" s="453"/>
      <c r="R38" s="453"/>
      <c r="S38" s="453"/>
      <c r="T38" s="453"/>
      <c r="U38" s="453"/>
      <c r="V38" s="453"/>
      <c r="W38" s="453"/>
      <c r="X38" s="453"/>
      <c r="Y38" s="453"/>
      <c r="Z38" s="453"/>
      <c r="AA38" s="453"/>
      <c r="AB38" s="440"/>
      <c r="AC38" s="453"/>
      <c r="AD38" s="453"/>
      <c r="AE38" s="453"/>
      <c r="AF38" s="453"/>
      <c r="AG38" s="453"/>
      <c r="AH38" s="453"/>
      <c r="AI38" s="453"/>
      <c r="AJ38" s="453"/>
      <c r="AK38" s="431"/>
      <c r="AL38" s="431"/>
      <c r="AM38" s="431"/>
      <c r="AN38" s="431"/>
      <c r="AO38" s="440"/>
      <c r="AS38" s="431"/>
      <c r="AT38" s="431"/>
      <c r="AU38" s="431"/>
      <c r="AV38" s="431"/>
      <c r="AW38" s="431"/>
      <c r="AX38" s="431"/>
      <c r="AY38" s="431"/>
      <c r="AZ38" s="431"/>
      <c r="BA38" s="431"/>
      <c r="BB38" s="431"/>
      <c r="BC38" s="431"/>
      <c r="BD38" s="431"/>
      <c r="BE38" s="440"/>
    </row>
    <row r="39" spans="1:57" ht="6" hidden="1" customHeight="1">
      <c r="B39" s="400"/>
      <c r="C39" s="436"/>
      <c r="D39" s="436"/>
      <c r="E39" s="436"/>
      <c r="F39" s="436"/>
      <c r="G39" s="436"/>
      <c r="H39" s="436"/>
      <c r="I39" s="436"/>
      <c r="J39" s="436"/>
      <c r="K39" s="436"/>
      <c r="L39" s="436"/>
      <c r="M39" s="436"/>
      <c r="N39" s="436"/>
      <c r="O39" s="440"/>
      <c r="P39" s="444"/>
      <c r="Q39" s="444"/>
      <c r="R39" s="444"/>
      <c r="S39" s="444"/>
      <c r="T39" s="444"/>
      <c r="U39" s="444"/>
      <c r="V39" s="444"/>
      <c r="W39" s="444"/>
      <c r="X39" s="444"/>
      <c r="Y39" s="444"/>
      <c r="Z39" s="444"/>
      <c r="AA39" s="444"/>
      <c r="AB39" s="440"/>
      <c r="AC39" s="444"/>
      <c r="AD39" s="444"/>
      <c r="AE39" s="444"/>
      <c r="AF39" s="444"/>
      <c r="AG39" s="444"/>
      <c r="AH39" s="444"/>
      <c r="AI39" s="444"/>
      <c r="AJ39" s="444"/>
      <c r="AK39" s="408"/>
      <c r="AL39" s="408"/>
      <c r="AM39" s="408"/>
      <c r="AN39" s="408"/>
      <c r="AO39" s="440"/>
      <c r="AS39" s="408"/>
      <c r="AT39" s="408"/>
      <c r="AU39" s="408"/>
      <c r="AV39" s="408"/>
      <c r="AW39" s="408"/>
      <c r="AX39" s="408"/>
      <c r="AY39" s="408"/>
      <c r="AZ39" s="408"/>
      <c r="BA39" s="408"/>
      <c r="BB39" s="408"/>
      <c r="BC39" s="408"/>
      <c r="BD39" s="408"/>
      <c r="BE39" s="440"/>
    </row>
    <row r="40" spans="1:57">
      <c r="B40" s="404" t="s">
        <v>33</v>
      </c>
      <c r="C40" s="450">
        <f t="shared" ref="C40:N40" si="225">C7+C13+C19+C24+C29+C33</f>
        <v>260.89000000000033</v>
      </c>
      <c r="D40" s="450">
        <f t="shared" si="225"/>
        <v>27680.86</v>
      </c>
      <c r="E40" s="450">
        <f t="shared" si="225"/>
        <v>53816.9</v>
      </c>
      <c r="F40" s="450">
        <f t="shared" si="225"/>
        <v>-48641.77</v>
      </c>
      <c r="G40" s="450">
        <f t="shared" si="225"/>
        <v>4706.6782000000021</v>
      </c>
      <c r="H40" s="450">
        <f t="shared" si="225"/>
        <v>-20153.349999999999</v>
      </c>
      <c r="I40" s="450">
        <f t="shared" si="225"/>
        <v>-8615.5878999999986</v>
      </c>
      <c r="J40" s="450">
        <f t="shared" si="225"/>
        <v>38110.455000000002</v>
      </c>
      <c r="K40" s="450">
        <f t="shared" si="225"/>
        <v>55137.310000000005</v>
      </c>
      <c r="L40" s="450">
        <f t="shared" si="225"/>
        <v>17893.770000000011</v>
      </c>
      <c r="M40" s="450">
        <f t="shared" si="225"/>
        <v>-32693.790000000005</v>
      </c>
      <c r="N40" s="450">
        <f t="shared" si="225"/>
        <v>-69953.200000000012</v>
      </c>
      <c r="O40" s="442"/>
      <c r="P40" s="450">
        <f t="shared" ref="P40:AA40" si="226">P7+P13+P19+P24+P29+P33</f>
        <v>12687.519999999997</v>
      </c>
      <c r="Q40" s="450">
        <f t="shared" si="226"/>
        <v>7311.8499999999985</v>
      </c>
      <c r="R40" s="450">
        <f t="shared" si="226"/>
        <v>-29513.33</v>
      </c>
      <c r="S40" s="450">
        <f t="shared" si="226"/>
        <v>6259.84</v>
      </c>
      <c r="T40" s="450">
        <f t="shared" si="226"/>
        <v>-6502.4399999999987</v>
      </c>
      <c r="U40" s="450">
        <f t="shared" si="226"/>
        <v>18087.010000000002</v>
      </c>
      <c r="V40" s="450">
        <f t="shared" si="226"/>
        <v>8306.7800000000025</v>
      </c>
      <c r="W40" s="450">
        <f t="shared" si="226"/>
        <v>7121.8899999999958</v>
      </c>
      <c r="X40" s="450">
        <f t="shared" si="226"/>
        <v>-14154.889999999992</v>
      </c>
      <c r="Y40" s="450">
        <f t="shared" si="226"/>
        <v>-13792.600000000002</v>
      </c>
      <c r="Z40" s="450">
        <f t="shared" si="226"/>
        <v>-1801.3900000000008</v>
      </c>
      <c r="AA40" s="450">
        <f t="shared" si="226"/>
        <v>22068.580000000005</v>
      </c>
      <c r="AB40" s="440"/>
      <c r="AC40" s="450">
        <f t="shared" ref="AC40:AN40" si="227">AC7+AC13+AC19+AC24+AC29+AC33</f>
        <v>-31889.870000000003</v>
      </c>
      <c r="AD40" s="450">
        <f t="shared" si="227"/>
        <v>28634.120000000003</v>
      </c>
      <c r="AE40" s="450">
        <f t="shared" si="227"/>
        <v>-2648.5199999999895</v>
      </c>
      <c r="AF40" s="450">
        <f t="shared" si="227"/>
        <v>-25532.65</v>
      </c>
      <c r="AG40" s="450">
        <f t="shared" si="227"/>
        <v>-806.39000000000306</v>
      </c>
      <c r="AH40" s="450">
        <f t="shared" si="227"/>
        <v>14893.91</v>
      </c>
      <c r="AI40" s="450">
        <f t="shared" si="227"/>
        <v>-10395.910000000003</v>
      </c>
      <c r="AJ40" s="450">
        <f t="shared" si="227"/>
        <v>22131.800000000003</v>
      </c>
      <c r="AK40" s="424">
        <f t="shared" si="227"/>
        <v>-27552.29</v>
      </c>
      <c r="AL40" s="424">
        <f t="shared" si="227"/>
        <v>-14722.04</v>
      </c>
      <c r="AM40" s="424">
        <f t="shared" si="227"/>
        <v>21286.439999999995</v>
      </c>
      <c r="AN40" s="424">
        <f t="shared" si="227"/>
        <v>19155.159999999996</v>
      </c>
      <c r="AO40" s="440"/>
      <c r="AS40" s="424">
        <f t="shared" ref="AS40:BD40" si="228">AS7+AS13+AS19+AS24+AS29+AS33</f>
        <v>-24051.270000000004</v>
      </c>
      <c r="AT40" s="424">
        <f t="shared" si="228"/>
        <v>10751.199999999997</v>
      </c>
      <c r="AU40" s="424">
        <f t="shared" si="228"/>
        <v>-5000.7900000000045</v>
      </c>
      <c r="AV40" s="424">
        <f t="shared" si="228"/>
        <v>-3505.9700000000012</v>
      </c>
      <c r="AW40" s="424">
        <f t="shared" si="228"/>
        <v>7493.119999999999</v>
      </c>
      <c r="AX40" s="424">
        <f t="shared" si="228"/>
        <v>24655.05</v>
      </c>
      <c r="AY40" s="424">
        <f t="shared" si="228"/>
        <v>28536.160000000003</v>
      </c>
      <c r="AZ40" s="424">
        <f t="shared" si="228"/>
        <v>16358.929999999998</v>
      </c>
      <c r="BA40" s="424">
        <f t="shared" si="228"/>
        <v>-22952.33</v>
      </c>
      <c r="BB40" s="424">
        <f t="shared" si="228"/>
        <v>-18633.669999999998</v>
      </c>
      <c r="BC40" s="424">
        <f t="shared" si="228"/>
        <v>-27516.320000000007</v>
      </c>
      <c r="BD40" s="424">
        <f t="shared" si="228"/>
        <v>14744.510000000002</v>
      </c>
      <c r="BE40" s="440"/>
    </row>
    <row r="41" spans="1:57">
      <c r="B41" s="429" t="s">
        <v>34</v>
      </c>
      <c r="C41" s="453">
        <f>C40</f>
        <v>260.89000000000033</v>
      </c>
      <c r="D41" s="453">
        <f>D40+C41</f>
        <v>27941.75</v>
      </c>
      <c r="E41" s="453">
        <f t="shared" ref="E41:N41" si="229">E40+D41</f>
        <v>81758.649999999994</v>
      </c>
      <c r="F41" s="453">
        <f t="shared" si="229"/>
        <v>33116.879999999997</v>
      </c>
      <c r="G41" s="453">
        <f t="shared" si="229"/>
        <v>37823.558199999999</v>
      </c>
      <c r="H41" s="453">
        <f t="shared" si="229"/>
        <v>17670.208200000001</v>
      </c>
      <c r="I41" s="453">
        <f t="shared" si="229"/>
        <v>9054.6203000000023</v>
      </c>
      <c r="J41" s="453">
        <f t="shared" si="229"/>
        <v>47165.075300000004</v>
      </c>
      <c r="K41" s="453">
        <f t="shared" si="229"/>
        <v>102302.38530000001</v>
      </c>
      <c r="L41" s="453">
        <f t="shared" si="229"/>
        <v>120196.15530000001</v>
      </c>
      <c r="M41" s="453">
        <f t="shared" si="229"/>
        <v>87502.365300000005</v>
      </c>
      <c r="N41" s="453">
        <f t="shared" si="229"/>
        <v>17549.165299999993</v>
      </c>
      <c r="O41" s="441"/>
      <c r="P41" s="453">
        <f>P40</f>
        <v>12687.519999999997</v>
      </c>
      <c r="Q41" s="453">
        <f>Q40+P41</f>
        <v>19999.369999999995</v>
      </c>
      <c r="R41" s="453">
        <f t="shared" ref="R41" si="230">R40+Q41</f>
        <v>-9513.9600000000064</v>
      </c>
      <c r="S41" s="453">
        <f t="shared" ref="S41" si="231">S40+R41</f>
        <v>-3254.1200000000063</v>
      </c>
      <c r="T41" s="453">
        <f t="shared" ref="T41" si="232">T40+S41</f>
        <v>-9756.5600000000049</v>
      </c>
      <c r="U41" s="453">
        <f t="shared" ref="U41" si="233">U40+T41</f>
        <v>8330.4499999999971</v>
      </c>
      <c r="V41" s="453">
        <f t="shared" ref="V41" si="234">V40+U41</f>
        <v>16637.23</v>
      </c>
      <c r="W41" s="453">
        <f t="shared" ref="W41" si="235">W40+V41</f>
        <v>23759.119999999995</v>
      </c>
      <c r="X41" s="453">
        <f t="shared" ref="X41" si="236">X40+W41</f>
        <v>9604.2300000000032</v>
      </c>
      <c r="Y41" s="453">
        <f t="shared" ref="Y41" si="237">Y40+X41</f>
        <v>-4188.369999999999</v>
      </c>
      <c r="Z41" s="453">
        <f t="shared" ref="Z41" si="238">Z40+Y41</f>
        <v>-5989.76</v>
      </c>
      <c r="AA41" s="453">
        <f t="shared" ref="AA41" si="239">AA40+Z41</f>
        <v>16078.820000000005</v>
      </c>
      <c r="AB41" s="441"/>
      <c r="AC41" s="453">
        <f>AC40</f>
        <v>-31889.870000000003</v>
      </c>
      <c r="AD41" s="453">
        <f>AD40+AC41</f>
        <v>-3255.75</v>
      </c>
      <c r="AE41" s="453">
        <f t="shared" ref="AE41" si="240">AE40+AD41</f>
        <v>-5904.2699999999895</v>
      </c>
      <c r="AF41" s="453">
        <f t="shared" ref="AF41" si="241">AF40+AE41</f>
        <v>-31436.919999999991</v>
      </c>
      <c r="AG41" s="453">
        <f t="shared" ref="AG41" si="242">AG40+AF41</f>
        <v>-32243.309999999994</v>
      </c>
      <c r="AH41" s="453">
        <f t="shared" ref="AH41" si="243">AH40+AG41</f>
        <v>-17349.399999999994</v>
      </c>
      <c r="AI41" s="453">
        <f t="shared" ref="AI41" si="244">AI40+AH41</f>
        <v>-27745.309999999998</v>
      </c>
      <c r="AJ41" s="453">
        <f t="shared" ref="AJ41" si="245">AJ40+AI41</f>
        <v>-5613.5099999999948</v>
      </c>
      <c r="AK41" s="431">
        <f t="shared" ref="AK41" si="246">AK40+AJ41</f>
        <v>-33165.799999999996</v>
      </c>
      <c r="AL41" s="431">
        <f t="shared" ref="AL41" si="247">AL40+AK41</f>
        <v>-47887.839999999997</v>
      </c>
      <c r="AM41" s="431">
        <f t="shared" ref="AM41" si="248">AM40+AL41</f>
        <v>-26601.4</v>
      </c>
      <c r="AN41" s="431">
        <f t="shared" ref="AN41" si="249">AN40+AM41</f>
        <v>-7446.2400000000052</v>
      </c>
      <c r="AO41" s="441"/>
      <c r="AS41" s="431">
        <f>AS40</f>
        <v>-24051.270000000004</v>
      </c>
      <c r="AT41" s="431">
        <f>AT40+AS41</f>
        <v>-13300.070000000007</v>
      </c>
      <c r="AU41" s="431">
        <f t="shared" ref="AU41" si="250">AU40+AT41</f>
        <v>-18300.860000000011</v>
      </c>
      <c r="AV41" s="431">
        <f t="shared" ref="AV41" si="251">AV40+AU41</f>
        <v>-21806.830000000013</v>
      </c>
      <c r="AW41" s="431">
        <f t="shared" ref="AW41" si="252">AW40+AV41</f>
        <v>-14313.710000000014</v>
      </c>
      <c r="AX41" s="431">
        <f t="shared" ref="AX41" si="253">AX40+AW41</f>
        <v>10341.339999999986</v>
      </c>
      <c r="AY41" s="431">
        <f t="shared" ref="AY41" si="254">AY40+AX41</f>
        <v>38877.499999999985</v>
      </c>
      <c r="AZ41" s="431">
        <f t="shared" ref="AZ41" si="255">AZ40+AY41</f>
        <v>55236.429999999986</v>
      </c>
      <c r="BA41" s="431">
        <f t="shared" ref="BA41" si="256">BA40+AZ41</f>
        <v>32284.099999999984</v>
      </c>
      <c r="BB41" s="431">
        <f t="shared" ref="BB41" si="257">BB40+BA41</f>
        <v>13650.429999999986</v>
      </c>
      <c r="BC41" s="431">
        <f t="shared" ref="BC41" si="258">BC40+BB41</f>
        <v>-13865.890000000021</v>
      </c>
      <c r="BD41" s="431">
        <f t="shared" ref="BD41" si="259">BD40+BC41</f>
        <v>878.61999999998079</v>
      </c>
      <c r="BE41" s="441"/>
    </row>
    <row r="42" spans="1:57" ht="8.25" hidden="1" customHeight="1">
      <c r="B42" s="400"/>
      <c r="C42" s="436"/>
      <c r="D42" s="436"/>
      <c r="E42" s="436"/>
      <c r="F42" s="436"/>
      <c r="G42" s="436"/>
      <c r="H42" s="436"/>
      <c r="I42" s="436"/>
      <c r="J42" s="436"/>
      <c r="K42" s="436"/>
      <c r="L42" s="436"/>
      <c r="M42" s="436"/>
      <c r="N42" s="436"/>
      <c r="O42" s="440"/>
      <c r="P42" s="444"/>
      <c r="Q42" s="444"/>
      <c r="R42" s="444"/>
      <c r="S42" s="444"/>
      <c r="T42" s="444"/>
      <c r="U42" s="444"/>
      <c r="V42" s="444"/>
      <c r="W42" s="444"/>
      <c r="X42" s="444"/>
      <c r="Y42" s="444"/>
      <c r="Z42" s="444"/>
      <c r="AA42" s="444"/>
      <c r="AB42" s="440"/>
      <c r="AC42" s="444"/>
      <c r="AD42" s="444"/>
      <c r="AE42" s="444"/>
      <c r="AF42" s="444"/>
      <c r="AG42" s="444"/>
      <c r="AH42" s="444"/>
      <c r="AI42" s="444"/>
      <c r="AJ42" s="444"/>
      <c r="AK42" s="408"/>
      <c r="AL42" s="408"/>
      <c r="AM42" s="408"/>
      <c r="AN42" s="408"/>
      <c r="AO42" s="440"/>
      <c r="AS42" s="408"/>
      <c r="AT42" s="408"/>
      <c r="AU42" s="408"/>
      <c r="AV42" s="408"/>
      <c r="AW42" s="408"/>
      <c r="AX42" s="408"/>
      <c r="AY42" s="408"/>
      <c r="AZ42" s="408"/>
      <c r="BA42" s="408"/>
      <c r="BB42" s="408"/>
      <c r="BC42" s="408"/>
      <c r="BD42" s="408"/>
      <c r="BE42" s="440"/>
    </row>
    <row r="43" spans="1:57">
      <c r="B43" s="407" t="s">
        <v>35</v>
      </c>
      <c r="C43" s="444">
        <f>'Ing y gtos'!$AA$157</f>
        <v>1178.5999999999995</v>
      </c>
      <c r="D43" s="444">
        <f>C45</f>
        <v>1439.4899999999998</v>
      </c>
      <c r="E43" s="444">
        <f t="shared" ref="E43:N43" si="260">D45</f>
        <v>29120.35</v>
      </c>
      <c r="F43" s="444">
        <f t="shared" si="260"/>
        <v>82937.25</v>
      </c>
      <c r="G43" s="444">
        <f t="shared" si="260"/>
        <v>34295.480000000003</v>
      </c>
      <c r="H43" s="444">
        <f t="shared" si="260"/>
        <v>39002.158200000005</v>
      </c>
      <c r="I43" s="444">
        <f t="shared" si="260"/>
        <v>18848.808200000007</v>
      </c>
      <c r="J43" s="444">
        <f t="shared" si="260"/>
        <v>10233.220300000008</v>
      </c>
      <c r="K43" s="444">
        <f t="shared" si="260"/>
        <v>48343.67530000001</v>
      </c>
      <c r="L43" s="444">
        <f t="shared" si="260"/>
        <v>103480.98530000001</v>
      </c>
      <c r="M43" s="444">
        <f t="shared" si="260"/>
        <v>121374.75530000002</v>
      </c>
      <c r="N43" s="444">
        <f t="shared" si="260"/>
        <v>88680.965300000011</v>
      </c>
      <c r="O43" s="440"/>
      <c r="P43" s="444">
        <f>N45</f>
        <v>18727.765299999999</v>
      </c>
      <c r="Q43" s="444">
        <f>P45</f>
        <v>31415.285299999996</v>
      </c>
      <c r="R43" s="444">
        <f t="shared" ref="R43:AA43" si="261">Q45</f>
        <v>38727.135299999994</v>
      </c>
      <c r="S43" s="444">
        <f t="shared" si="261"/>
        <v>9213.8052999999927</v>
      </c>
      <c r="T43" s="444">
        <f t="shared" si="261"/>
        <v>15473.645299999993</v>
      </c>
      <c r="U43" s="444">
        <f t="shared" si="261"/>
        <v>8971.2052999999942</v>
      </c>
      <c r="V43" s="444">
        <f t="shared" si="261"/>
        <v>27058.215299999996</v>
      </c>
      <c r="W43" s="444">
        <f t="shared" si="261"/>
        <v>35364.995299999995</v>
      </c>
      <c r="X43" s="444">
        <f t="shared" si="261"/>
        <v>42486.885299999994</v>
      </c>
      <c r="Y43" s="444">
        <f t="shared" si="261"/>
        <v>28331.995300000002</v>
      </c>
      <c r="Z43" s="444">
        <f t="shared" si="261"/>
        <v>14539.3953</v>
      </c>
      <c r="AA43" s="444">
        <f t="shared" si="261"/>
        <v>12738.005299999999</v>
      </c>
      <c r="AB43" s="440"/>
      <c r="AC43" s="444">
        <f>AA45</f>
        <v>34806.585300000006</v>
      </c>
      <c r="AD43" s="444">
        <f>AC45</f>
        <v>2916.7153000000035</v>
      </c>
      <c r="AE43" s="444">
        <f t="shared" ref="AE43" si="262">AD45</f>
        <v>31550.835300000006</v>
      </c>
      <c r="AF43" s="444">
        <f t="shared" ref="AF43" si="263">AE45</f>
        <v>28902.315300000017</v>
      </c>
      <c r="AG43" s="444">
        <f t="shared" ref="AG43" si="264">AF45</f>
        <v>3369.6653000000151</v>
      </c>
      <c r="AH43" s="444">
        <f t="shared" ref="AH43" si="265">AG45</f>
        <v>2563.2753000000121</v>
      </c>
      <c r="AI43" s="444">
        <f t="shared" ref="AI43" si="266">AH45</f>
        <v>17457.185300000012</v>
      </c>
      <c r="AJ43" s="444">
        <f t="shared" ref="AJ43" si="267">AI45</f>
        <v>7061.2753000000084</v>
      </c>
      <c r="AK43" s="408">
        <f t="shared" ref="AK43" si="268">AJ45</f>
        <v>29193.075300000011</v>
      </c>
      <c r="AL43" s="408">
        <f t="shared" ref="AL43" si="269">AK45</f>
        <v>1640.7853000000105</v>
      </c>
      <c r="AM43" s="408">
        <f t="shared" ref="AM43" si="270">AL45</f>
        <v>-13081.25469999999</v>
      </c>
      <c r="AN43" s="408">
        <f t="shared" ref="AN43" si="271">AM45</f>
        <v>8205.1853000000046</v>
      </c>
      <c r="AO43" s="440"/>
      <c r="AS43" s="408">
        <f>AN45</f>
        <v>27360.345300000001</v>
      </c>
      <c r="AT43" s="408">
        <f>AS45</f>
        <v>3309.0752999999968</v>
      </c>
      <c r="AU43" s="408">
        <f t="shared" ref="AU43" si="272">AT45</f>
        <v>14060.275299999994</v>
      </c>
      <c r="AV43" s="408">
        <f t="shared" ref="AV43" si="273">AU45</f>
        <v>9059.4852999999894</v>
      </c>
      <c r="AW43" s="408">
        <f t="shared" ref="AW43" si="274">AV45</f>
        <v>5553.5152999999882</v>
      </c>
      <c r="AX43" s="408">
        <f t="shared" ref="AX43" si="275">AW45</f>
        <v>13046.635299999987</v>
      </c>
      <c r="AY43" s="408">
        <f t="shared" ref="AY43" si="276">AX45</f>
        <v>37701.685299999983</v>
      </c>
      <c r="AZ43" s="408">
        <f t="shared" ref="AZ43" si="277">AY45</f>
        <v>66237.845299999986</v>
      </c>
      <c r="BA43" s="408">
        <f t="shared" ref="BA43" si="278">AZ45</f>
        <v>82596.775299999979</v>
      </c>
      <c r="BB43" s="408">
        <f t="shared" ref="BB43" si="279">BA45</f>
        <v>59644.445299999978</v>
      </c>
      <c r="BC43" s="408">
        <f t="shared" ref="BC43" si="280">BB45</f>
        <v>41010.775299999979</v>
      </c>
      <c r="BD43" s="408">
        <f t="shared" ref="BD43" si="281">BC45</f>
        <v>13494.455299999972</v>
      </c>
      <c r="BE43" s="440"/>
    </row>
    <row r="44" spans="1:57">
      <c r="B44" s="407" t="s">
        <v>36</v>
      </c>
      <c r="C44" s="444">
        <f>C40</f>
        <v>260.89000000000033</v>
      </c>
      <c r="D44" s="444">
        <f>D40</f>
        <v>27680.86</v>
      </c>
      <c r="E44" s="444">
        <f t="shared" ref="E44:N44" si="282">E40</f>
        <v>53816.9</v>
      </c>
      <c r="F44" s="444">
        <f t="shared" si="282"/>
        <v>-48641.77</v>
      </c>
      <c r="G44" s="444">
        <f t="shared" si="282"/>
        <v>4706.6782000000021</v>
      </c>
      <c r="H44" s="444">
        <f t="shared" si="282"/>
        <v>-20153.349999999999</v>
      </c>
      <c r="I44" s="444">
        <f t="shared" si="282"/>
        <v>-8615.5878999999986</v>
      </c>
      <c r="J44" s="444">
        <f t="shared" si="282"/>
        <v>38110.455000000002</v>
      </c>
      <c r="K44" s="444">
        <f t="shared" si="282"/>
        <v>55137.310000000005</v>
      </c>
      <c r="L44" s="444">
        <f t="shared" si="282"/>
        <v>17893.770000000011</v>
      </c>
      <c r="M44" s="444">
        <f t="shared" si="282"/>
        <v>-32693.790000000005</v>
      </c>
      <c r="N44" s="444">
        <f t="shared" si="282"/>
        <v>-69953.200000000012</v>
      </c>
      <c r="O44" s="440"/>
      <c r="P44" s="444">
        <f>P40</f>
        <v>12687.519999999997</v>
      </c>
      <c r="Q44" s="444">
        <f>Q40</f>
        <v>7311.8499999999985</v>
      </c>
      <c r="R44" s="444">
        <f t="shared" ref="R44:AA44" si="283">R40</f>
        <v>-29513.33</v>
      </c>
      <c r="S44" s="444">
        <f t="shared" si="283"/>
        <v>6259.84</v>
      </c>
      <c r="T44" s="444">
        <f t="shared" si="283"/>
        <v>-6502.4399999999987</v>
      </c>
      <c r="U44" s="444">
        <f t="shared" si="283"/>
        <v>18087.010000000002</v>
      </c>
      <c r="V44" s="444">
        <f t="shared" si="283"/>
        <v>8306.7800000000025</v>
      </c>
      <c r="W44" s="444">
        <f t="shared" si="283"/>
        <v>7121.8899999999958</v>
      </c>
      <c r="X44" s="444">
        <f t="shared" si="283"/>
        <v>-14154.889999999992</v>
      </c>
      <c r="Y44" s="444">
        <f t="shared" si="283"/>
        <v>-13792.600000000002</v>
      </c>
      <c r="Z44" s="444">
        <f t="shared" si="283"/>
        <v>-1801.3900000000008</v>
      </c>
      <c r="AA44" s="444">
        <f t="shared" si="283"/>
        <v>22068.580000000005</v>
      </c>
      <c r="AB44" s="440"/>
      <c r="AC44" s="444">
        <f>AC40</f>
        <v>-31889.870000000003</v>
      </c>
      <c r="AD44" s="444">
        <f>AD40</f>
        <v>28634.120000000003</v>
      </c>
      <c r="AE44" s="444">
        <f t="shared" ref="AE44:AN44" si="284">AE40</f>
        <v>-2648.5199999999895</v>
      </c>
      <c r="AF44" s="444">
        <f t="shared" si="284"/>
        <v>-25532.65</v>
      </c>
      <c r="AG44" s="444">
        <f t="shared" si="284"/>
        <v>-806.39000000000306</v>
      </c>
      <c r="AH44" s="444">
        <f t="shared" si="284"/>
        <v>14893.91</v>
      </c>
      <c r="AI44" s="444">
        <f t="shared" si="284"/>
        <v>-10395.910000000003</v>
      </c>
      <c r="AJ44" s="444">
        <f t="shared" si="284"/>
        <v>22131.800000000003</v>
      </c>
      <c r="AK44" s="408">
        <f t="shared" si="284"/>
        <v>-27552.29</v>
      </c>
      <c r="AL44" s="408">
        <f t="shared" si="284"/>
        <v>-14722.04</v>
      </c>
      <c r="AM44" s="408">
        <f t="shared" si="284"/>
        <v>21286.439999999995</v>
      </c>
      <c r="AN44" s="408">
        <f t="shared" si="284"/>
        <v>19155.159999999996</v>
      </c>
      <c r="AO44" s="440"/>
      <c r="AS44" s="408">
        <f>AS40</f>
        <v>-24051.270000000004</v>
      </c>
      <c r="AT44" s="408">
        <f>AT40</f>
        <v>10751.199999999997</v>
      </c>
      <c r="AU44" s="408">
        <f t="shared" ref="AU44:BD44" si="285">AU40</f>
        <v>-5000.7900000000045</v>
      </c>
      <c r="AV44" s="408">
        <f t="shared" si="285"/>
        <v>-3505.9700000000012</v>
      </c>
      <c r="AW44" s="408">
        <f t="shared" si="285"/>
        <v>7493.119999999999</v>
      </c>
      <c r="AX44" s="408">
        <f t="shared" si="285"/>
        <v>24655.05</v>
      </c>
      <c r="AY44" s="408">
        <f t="shared" si="285"/>
        <v>28536.160000000003</v>
      </c>
      <c r="AZ44" s="408">
        <f t="shared" si="285"/>
        <v>16358.929999999998</v>
      </c>
      <c r="BA44" s="408">
        <f t="shared" si="285"/>
        <v>-22952.33</v>
      </c>
      <c r="BB44" s="408">
        <f t="shared" si="285"/>
        <v>-18633.669999999998</v>
      </c>
      <c r="BC44" s="408">
        <f t="shared" si="285"/>
        <v>-27516.320000000007</v>
      </c>
      <c r="BD44" s="408">
        <f t="shared" si="285"/>
        <v>14744.510000000002</v>
      </c>
      <c r="BE44" s="440"/>
    </row>
    <row r="45" spans="1:57">
      <c r="B45" s="429" t="s">
        <v>37</v>
      </c>
      <c r="C45" s="453">
        <f>SUM(C43:C44)</f>
        <v>1439.4899999999998</v>
      </c>
      <c r="D45" s="453">
        <f t="shared" ref="D45:N45" si="286">SUM(D43:D44)</f>
        <v>29120.35</v>
      </c>
      <c r="E45" s="453">
        <f t="shared" si="286"/>
        <v>82937.25</v>
      </c>
      <c r="F45" s="453">
        <f t="shared" si="286"/>
        <v>34295.480000000003</v>
      </c>
      <c r="G45" s="453">
        <f t="shared" si="286"/>
        <v>39002.158200000005</v>
      </c>
      <c r="H45" s="453">
        <f t="shared" si="286"/>
        <v>18848.808200000007</v>
      </c>
      <c r="I45" s="453">
        <f t="shared" si="286"/>
        <v>10233.220300000008</v>
      </c>
      <c r="J45" s="453">
        <f t="shared" si="286"/>
        <v>48343.67530000001</v>
      </c>
      <c r="K45" s="453">
        <f t="shared" si="286"/>
        <v>103480.98530000001</v>
      </c>
      <c r="L45" s="453">
        <f t="shared" si="286"/>
        <v>121374.75530000002</v>
      </c>
      <c r="M45" s="453">
        <f t="shared" si="286"/>
        <v>88680.965300000011</v>
      </c>
      <c r="N45" s="453">
        <f t="shared" si="286"/>
        <v>18727.765299999999</v>
      </c>
      <c r="O45" s="441"/>
      <c r="P45" s="453">
        <f>SUM(P43:P44)</f>
        <v>31415.285299999996</v>
      </c>
      <c r="Q45" s="453">
        <f t="shared" ref="Q45" si="287">SUM(Q43:Q44)</f>
        <v>38727.135299999994</v>
      </c>
      <c r="R45" s="453">
        <f t="shared" ref="R45" si="288">SUM(R43:R44)</f>
        <v>9213.8052999999927</v>
      </c>
      <c r="S45" s="453">
        <f t="shared" ref="S45" si="289">SUM(S43:S44)</f>
        <v>15473.645299999993</v>
      </c>
      <c r="T45" s="453">
        <f t="shared" ref="T45" si="290">SUM(T43:T44)</f>
        <v>8971.2052999999942</v>
      </c>
      <c r="U45" s="453">
        <f t="shared" ref="U45" si="291">SUM(U43:U44)</f>
        <v>27058.215299999996</v>
      </c>
      <c r="V45" s="453">
        <f t="shared" ref="V45" si="292">SUM(V43:V44)</f>
        <v>35364.995299999995</v>
      </c>
      <c r="W45" s="453">
        <f t="shared" ref="W45" si="293">SUM(W43:W44)</f>
        <v>42486.885299999994</v>
      </c>
      <c r="X45" s="453">
        <f t="shared" ref="X45" si="294">SUM(X43:X44)</f>
        <v>28331.995300000002</v>
      </c>
      <c r="Y45" s="453">
        <f>SUM(Y43:Y44)</f>
        <v>14539.3953</v>
      </c>
      <c r="Z45" s="453">
        <f t="shared" ref="Z45" si="295">SUM(Z43:Z44)</f>
        <v>12738.005299999999</v>
      </c>
      <c r="AA45" s="453">
        <f t="shared" ref="AA45" si="296">SUM(AA43:AA44)</f>
        <v>34806.585300000006</v>
      </c>
      <c r="AB45" s="441"/>
      <c r="AC45" s="453">
        <f>SUM(AC43:AC44)</f>
        <v>2916.7153000000035</v>
      </c>
      <c r="AD45" s="453">
        <f t="shared" ref="AD45:AN45" si="297">SUM(AD43:AD44)</f>
        <v>31550.835300000006</v>
      </c>
      <c r="AE45" s="453">
        <f t="shared" si="297"/>
        <v>28902.315300000017</v>
      </c>
      <c r="AF45" s="453">
        <f t="shared" si="297"/>
        <v>3369.6653000000151</v>
      </c>
      <c r="AG45" s="453">
        <f t="shared" si="297"/>
        <v>2563.2753000000121</v>
      </c>
      <c r="AH45" s="453">
        <f t="shared" si="297"/>
        <v>17457.185300000012</v>
      </c>
      <c r="AI45" s="453">
        <f t="shared" si="297"/>
        <v>7061.2753000000084</v>
      </c>
      <c r="AJ45" s="453">
        <f t="shared" si="297"/>
        <v>29193.075300000011</v>
      </c>
      <c r="AK45" s="431">
        <f t="shared" si="297"/>
        <v>1640.7853000000105</v>
      </c>
      <c r="AL45" s="431">
        <f t="shared" si="297"/>
        <v>-13081.25469999999</v>
      </c>
      <c r="AM45" s="431">
        <f t="shared" si="297"/>
        <v>8205.1853000000046</v>
      </c>
      <c r="AN45" s="431">
        <f t="shared" si="297"/>
        <v>27360.345300000001</v>
      </c>
      <c r="AO45" s="441"/>
      <c r="AS45" s="431">
        <f>SUM(AS43:AS44)</f>
        <v>3309.0752999999968</v>
      </c>
      <c r="AT45" s="431">
        <f t="shared" ref="AT45:BD45" si="298">SUM(AT43:AT44)</f>
        <v>14060.275299999994</v>
      </c>
      <c r="AU45" s="431">
        <f t="shared" si="298"/>
        <v>9059.4852999999894</v>
      </c>
      <c r="AV45" s="431">
        <f t="shared" si="298"/>
        <v>5553.5152999999882</v>
      </c>
      <c r="AW45" s="431">
        <f t="shared" si="298"/>
        <v>13046.635299999987</v>
      </c>
      <c r="AX45" s="431">
        <f t="shared" si="298"/>
        <v>37701.685299999983</v>
      </c>
      <c r="AY45" s="431">
        <f t="shared" si="298"/>
        <v>66237.845299999986</v>
      </c>
      <c r="AZ45" s="431">
        <f t="shared" si="298"/>
        <v>82596.775299999979</v>
      </c>
      <c r="BA45" s="431">
        <f t="shared" si="298"/>
        <v>59644.445299999978</v>
      </c>
      <c r="BB45" s="431">
        <f t="shared" si="298"/>
        <v>41010.775299999979</v>
      </c>
      <c r="BC45" s="431">
        <f t="shared" si="298"/>
        <v>13494.455299999972</v>
      </c>
      <c r="BD45" s="431">
        <f t="shared" si="298"/>
        <v>28238.965299999974</v>
      </c>
      <c r="BE45" s="441"/>
    </row>
    <row r="46" spans="1:57">
      <c r="B46" s="404" t="s">
        <v>38</v>
      </c>
      <c r="C46" s="436"/>
      <c r="D46" s="436"/>
      <c r="E46" s="436"/>
      <c r="F46" s="436"/>
      <c r="G46" s="436"/>
      <c r="H46" s="436"/>
      <c r="I46" s="436"/>
      <c r="J46" s="436"/>
      <c r="K46" s="436"/>
      <c r="L46" s="436"/>
      <c r="M46" s="436"/>
      <c r="N46" s="436"/>
      <c r="O46" s="440"/>
      <c r="P46" s="444"/>
      <c r="Q46" s="444"/>
      <c r="R46" s="444"/>
      <c r="S46" s="444"/>
      <c r="T46" s="444"/>
      <c r="U46" s="444"/>
      <c r="V46" s="444"/>
      <c r="W46" s="444"/>
      <c r="X46" s="444"/>
      <c r="Y46" s="444"/>
      <c r="Z46" s="444"/>
      <c r="AA46" s="444"/>
      <c r="AB46" s="440"/>
      <c r="AC46" s="444"/>
      <c r="AD46" s="444"/>
      <c r="AE46" s="444"/>
      <c r="AF46" s="444"/>
      <c r="AG46" s="444"/>
      <c r="AH46" s="444"/>
      <c r="AI46" s="444"/>
      <c r="AJ46" s="444"/>
      <c r="AK46" s="408"/>
      <c r="AL46" s="408"/>
      <c r="AM46" s="408"/>
      <c r="AN46" s="523"/>
      <c r="AO46" s="522"/>
      <c r="AS46" s="408"/>
      <c r="AT46" s="408"/>
      <c r="AU46" s="408"/>
      <c r="AV46" s="408"/>
      <c r="AW46" s="408"/>
      <c r="AX46" s="408"/>
      <c r="AY46" s="408"/>
      <c r="AZ46" s="408"/>
      <c r="BA46" s="408"/>
      <c r="BB46" s="408"/>
      <c r="BC46" s="408"/>
      <c r="BD46" s="408"/>
      <c r="BE46" s="440"/>
    </row>
    <row r="47" spans="1:57">
      <c r="B47" s="407" t="s">
        <v>39</v>
      </c>
      <c r="C47" s="444">
        <f>'Ing y gtos'!AE159</f>
        <v>1449.16</v>
      </c>
      <c r="D47" s="444">
        <f>'Ing y gtos'!AF159</f>
        <v>29148.21</v>
      </c>
      <c r="E47" s="444">
        <f>'Ing y gtos'!AG159</f>
        <v>82883.58</v>
      </c>
      <c r="F47" s="444">
        <f>'Ing y gtos'!AH159</f>
        <v>34241.81</v>
      </c>
      <c r="G47" s="444">
        <f>'Ing y gtos'!AI159</f>
        <v>36138.49</v>
      </c>
      <c r="H47" s="444">
        <f>'Ing y gtos'!AJ159</f>
        <v>16786.84</v>
      </c>
      <c r="I47" s="444">
        <f>'Ing y gtos'!AK159</f>
        <v>8792.5499999999993</v>
      </c>
      <c r="J47" s="444">
        <f>'Ing y gtos'!AL159</f>
        <v>47903.01</v>
      </c>
      <c r="K47" s="444">
        <f>'Ing y gtos'!AM159</f>
        <v>74324.320000000007</v>
      </c>
      <c r="L47" s="444">
        <f>'Ing y gtos'!AN159</f>
        <v>90946.35</v>
      </c>
      <c r="M47" s="444">
        <f>'Ing y gtos'!AO159</f>
        <v>56483.26</v>
      </c>
      <c r="N47" s="444">
        <f>'Ing y gtos'!AP159</f>
        <v>18021.45</v>
      </c>
      <c r="O47" s="440"/>
      <c r="P47" s="444">
        <f>'Ing y gtos'!AU158</f>
        <v>921</v>
      </c>
      <c r="Q47" s="444">
        <f>'Ing y gtos'!AV158</f>
        <v>14978.31</v>
      </c>
      <c r="R47" s="444">
        <f>'Ing y gtos'!AW158</f>
        <v>957.31</v>
      </c>
      <c r="S47" s="444">
        <f>'Ing y gtos'!AX158</f>
        <v>2913.34</v>
      </c>
      <c r="T47" s="444">
        <f>'Ing y gtos'!AY158</f>
        <v>199.29</v>
      </c>
      <c r="U47" s="444">
        <f>'Ing y gtos'!AZ158</f>
        <v>79.290000000000006</v>
      </c>
      <c r="V47" s="444">
        <f>'Ing y gtos'!BA158</f>
        <v>39.29</v>
      </c>
      <c r="W47" s="444">
        <f>'Ing y gtos'!BB158</f>
        <v>1347.93</v>
      </c>
      <c r="X47" s="444">
        <f>'Ing y gtos'!BC158</f>
        <v>1347.93</v>
      </c>
      <c r="Y47" s="444">
        <f>'Ing y gtos'!BD158</f>
        <v>5885.51</v>
      </c>
      <c r="Z47" s="444">
        <f>'Ing y gtos'!BE158</f>
        <v>5875.51</v>
      </c>
      <c r="AA47" s="444">
        <f>'Ing y gtos'!BF158</f>
        <v>166.96</v>
      </c>
      <c r="AB47" s="440"/>
      <c r="AC47" s="444">
        <f>'Ing y gtos'!BJ158</f>
        <v>126.96</v>
      </c>
      <c r="AD47" s="444">
        <f>'Ing y gtos'!BK158</f>
        <v>18595.53</v>
      </c>
      <c r="AE47" s="444">
        <f>'Ing y gtos'!BL158</f>
        <v>17889.95</v>
      </c>
      <c r="AF47" s="444">
        <f>'Ing y gtos'!BM158</f>
        <v>215.55</v>
      </c>
      <c r="AG47" s="444">
        <f>'Ing y gtos'!BN158</f>
        <v>205.55</v>
      </c>
      <c r="AH47" s="444">
        <f>'Ing y gtos'!BO158</f>
        <v>205.55</v>
      </c>
      <c r="AI47" s="444">
        <f>'Ing y gtos'!BP158</f>
        <v>40.56</v>
      </c>
      <c r="AJ47" s="444">
        <f>'Ing y gtos'!BQ158</f>
        <v>40.56</v>
      </c>
      <c r="AK47" s="408">
        <f>'Ing y gtos'!BR158</f>
        <v>40.56</v>
      </c>
      <c r="AL47" s="408">
        <f>'Ing y gtos'!BS158</f>
        <v>0</v>
      </c>
      <c r="AM47" s="408">
        <f>'Ing y gtos'!BT158</f>
        <v>0</v>
      </c>
      <c r="AN47" s="524">
        <f>'Ing y gtos'!BU158</f>
        <v>0</v>
      </c>
      <c r="AO47" s="522"/>
      <c r="AS47" s="408">
        <f>'Ing y gtos'!BW158</f>
        <v>0</v>
      </c>
      <c r="AT47" s="408" t="e">
        <f>'Ing y gtos'!#REF!</f>
        <v>#REF!</v>
      </c>
      <c r="AU47" s="408">
        <f>'Ing y gtos'!BX158</f>
        <v>0</v>
      </c>
      <c r="AV47" s="408">
        <f>'Ing y gtos'!BY158</f>
        <v>0</v>
      </c>
      <c r="AW47" s="408">
        <f>'Ing y gtos'!BZ158</f>
        <v>0</v>
      </c>
      <c r="AX47" s="408">
        <f>'Ing y gtos'!CA158</f>
        <v>0</v>
      </c>
      <c r="AY47" s="408">
        <f>'Ing y gtos'!CB158</f>
        <v>0</v>
      </c>
      <c r="AZ47" s="408">
        <f>'Ing y gtos'!CC158</f>
        <v>0</v>
      </c>
      <c r="BA47" s="408">
        <f>'Ing y gtos'!CD158</f>
        <v>0</v>
      </c>
      <c r="BB47" s="408">
        <f>'Ing y gtos'!CE158</f>
        <v>0</v>
      </c>
      <c r="BC47" s="408">
        <f>'Ing y gtos'!CF158</f>
        <v>0</v>
      </c>
      <c r="BD47" s="408">
        <f>'Ing y gtos'!CG158</f>
        <v>0</v>
      </c>
      <c r="BE47" s="440"/>
    </row>
    <row r="48" spans="1:57">
      <c r="B48" s="407" t="s">
        <v>40</v>
      </c>
      <c r="C48" s="444">
        <f>'Ing y gtos'!AE158</f>
        <v>-9.67</v>
      </c>
      <c r="D48" s="444">
        <f>'Ing y gtos'!AF158</f>
        <v>-27.86</v>
      </c>
      <c r="E48" s="444">
        <f>'Ing y gtos'!AG158</f>
        <v>53.67</v>
      </c>
      <c r="F48" s="444">
        <f>'Ing y gtos'!AH158</f>
        <v>53.67</v>
      </c>
      <c r="G48" s="444">
        <f>'Ing y gtos'!AI158</f>
        <v>53.67</v>
      </c>
      <c r="H48" s="444">
        <f>'Ing y gtos'!AJ158</f>
        <v>51.97</v>
      </c>
      <c r="I48" s="444">
        <f>'Ing y gtos'!AK158</f>
        <v>105.67</v>
      </c>
      <c r="J48" s="444">
        <f>'Ing y gtos'!AL158</f>
        <v>105.67</v>
      </c>
      <c r="K48" s="444">
        <f>'Ing y gtos'!AM158</f>
        <v>28726.67</v>
      </c>
      <c r="L48" s="444">
        <f>'Ing y gtos'!AN158</f>
        <v>30003.41</v>
      </c>
      <c r="M48" s="444">
        <f>'Ing y gtos'!AO158</f>
        <v>31892.71</v>
      </c>
      <c r="N48" s="444">
        <f>'Ing y gtos'!AP158</f>
        <v>401.32</v>
      </c>
      <c r="O48" s="440"/>
      <c r="P48" s="444">
        <f>'Ing y gtos'!AU159</f>
        <v>29979.29</v>
      </c>
      <c r="Q48" s="444">
        <f>'Ing y gtos'!AV159</f>
        <v>23100.83</v>
      </c>
      <c r="R48" s="444">
        <f>'Ing y gtos'!AW159</f>
        <v>8218.5</v>
      </c>
      <c r="S48" s="444">
        <f>'Ing y gtos'!AX159</f>
        <v>12522.31</v>
      </c>
      <c r="T48" s="444">
        <f>'Ing y gtos'!AY159</f>
        <v>6795.92</v>
      </c>
      <c r="U48" s="444">
        <f>'Ing y gtos'!AZ159</f>
        <v>23832.93</v>
      </c>
      <c r="V48" s="444">
        <f>'Ing y gtos'!BA159</f>
        <v>32169.71</v>
      </c>
      <c r="W48" s="444">
        <f>'Ing y gtos'!BB159</f>
        <v>37982.959999999999</v>
      </c>
      <c r="X48" s="444">
        <f>'Ing y gtos'!BC159</f>
        <v>24988.07</v>
      </c>
      <c r="Y48" s="444">
        <f>'Ing y gtos'!BD159</f>
        <v>8013.89</v>
      </c>
      <c r="Z48" s="444">
        <f>'Ing y gtos'!BE159</f>
        <v>6222.5</v>
      </c>
      <c r="AA48" s="444">
        <f>'Ing y gtos'!BF159</f>
        <v>34559.629999999997</v>
      </c>
      <c r="AB48" s="440"/>
      <c r="AC48" s="444">
        <f>'Ing y gtos'!BJ159</f>
        <v>2789.76</v>
      </c>
      <c r="AD48" s="444">
        <f>'Ing y gtos'!BK159</f>
        <v>12955.31</v>
      </c>
      <c r="AE48" s="444">
        <f>'Ing y gtos'!BL159</f>
        <v>11012.37</v>
      </c>
      <c r="AF48" s="444">
        <f>'Ing y gtos'!BM159</f>
        <v>3154.12</v>
      </c>
      <c r="AG48" s="444">
        <f>'Ing y gtos'!BN159</f>
        <v>2357.73</v>
      </c>
      <c r="AH48" s="444">
        <f>'Ing y gtos'!BO159</f>
        <v>16681.64</v>
      </c>
      <c r="AI48" s="444">
        <f>'Ing y gtos'!BP159</f>
        <v>7020.72</v>
      </c>
      <c r="AJ48" s="444">
        <f>'Ing y gtos'!BQ159</f>
        <v>29152.51</v>
      </c>
      <c r="AK48" s="408">
        <f>'Ing y gtos'!BR159</f>
        <v>1600.22</v>
      </c>
      <c r="AL48" s="408">
        <f>'Ing y gtos'!BS159</f>
        <v>0</v>
      </c>
      <c r="AM48" s="408">
        <f>'Ing y gtos'!BT159</f>
        <v>0</v>
      </c>
      <c r="AN48" s="524">
        <f>'Ing y gtos'!BU159</f>
        <v>0</v>
      </c>
      <c r="AO48" s="522"/>
      <c r="AS48" s="408">
        <f>'Ing y gtos'!BW159</f>
        <v>0</v>
      </c>
      <c r="AT48" s="408" t="e">
        <f>'Ing y gtos'!#REF!</f>
        <v>#REF!</v>
      </c>
      <c r="AU48" s="408">
        <f>'Ing y gtos'!BX159</f>
        <v>0</v>
      </c>
      <c r="AV48" s="408">
        <f>'Ing y gtos'!BY159</f>
        <v>0</v>
      </c>
      <c r="AW48" s="408">
        <f>'Ing y gtos'!BZ159</f>
        <v>0</v>
      </c>
      <c r="AX48" s="408">
        <f>'Ing y gtos'!CA159</f>
        <v>0</v>
      </c>
      <c r="AY48" s="408">
        <f>'Ing y gtos'!CB159</f>
        <v>0</v>
      </c>
      <c r="AZ48" s="408">
        <f>'Ing y gtos'!CC159</f>
        <v>0</v>
      </c>
      <c r="BA48" s="408">
        <f>'Ing y gtos'!CD159</f>
        <v>0</v>
      </c>
      <c r="BB48" s="408">
        <f>'Ing y gtos'!CE159</f>
        <v>0</v>
      </c>
      <c r="BC48" s="408">
        <f>'Ing y gtos'!CF159</f>
        <v>0</v>
      </c>
      <c r="BD48" s="408">
        <f>'Ing y gtos'!CG159</f>
        <v>0</v>
      </c>
      <c r="BE48" s="440"/>
    </row>
    <row r="49" spans="1:57" s="377" customFormat="1">
      <c r="A49" s="433"/>
      <c r="B49" s="434" t="s">
        <v>41</v>
      </c>
      <c r="C49" s="445">
        <f>'Ing y gtos'!AE160</f>
        <v>0</v>
      </c>
      <c r="D49" s="445">
        <f>'Ing y gtos'!AF160</f>
        <v>0</v>
      </c>
      <c r="E49" s="445">
        <f>'Ing y gtos'!AG160</f>
        <v>0</v>
      </c>
      <c r="F49" s="445">
        <f>'Ing y gtos'!AH160</f>
        <v>0</v>
      </c>
      <c r="G49" s="445">
        <f>'Ing y gtos'!AI160</f>
        <v>2810</v>
      </c>
      <c r="H49" s="445">
        <f>'Ing y gtos'!AJ160</f>
        <v>2010</v>
      </c>
      <c r="I49" s="445">
        <f>'Ing y gtos'!AK160</f>
        <v>1335</v>
      </c>
      <c r="J49" s="445">
        <f>'Ing y gtos'!AL160</f>
        <v>335</v>
      </c>
      <c r="K49" s="445">
        <f>'Ing y gtos'!AM160</f>
        <v>430</v>
      </c>
      <c r="L49" s="445">
        <f>'Ing y gtos'!AN160</f>
        <v>425</v>
      </c>
      <c r="M49" s="445">
        <f>'Ing y gtos'!AO160</f>
        <v>305</v>
      </c>
      <c r="N49" s="445">
        <f>'Ing y gtos'!AP160</f>
        <v>305</v>
      </c>
      <c r="O49" s="441"/>
      <c r="P49" s="472">
        <f>'Ing y gtos'!AU160</f>
        <v>515</v>
      </c>
      <c r="Q49" s="445">
        <f>'Ing y gtos'!AV160</f>
        <v>648</v>
      </c>
      <c r="R49" s="445">
        <f>'Ing y gtos'!AW160</f>
        <v>38</v>
      </c>
      <c r="S49" s="445">
        <f>'Ing y gtos'!AX160</f>
        <v>38</v>
      </c>
      <c r="T49" s="445">
        <f>'Ing y gtos'!AY160</f>
        <v>1976</v>
      </c>
      <c r="U49" s="445">
        <f>'Ing y gtos'!AZ160</f>
        <v>3146</v>
      </c>
      <c r="V49" s="445">
        <f>'Ing y gtos'!BA160</f>
        <v>3156</v>
      </c>
      <c r="W49" s="445">
        <f>'Ing y gtos'!BB160</f>
        <v>3156</v>
      </c>
      <c r="X49" s="445">
        <f>'Ing y gtos'!BC160</f>
        <v>1996</v>
      </c>
      <c r="Y49" s="445">
        <f>'Ing y gtos'!BD160</f>
        <v>640</v>
      </c>
      <c r="Z49" s="445">
        <f>'Ing y gtos'!BE160</f>
        <v>640</v>
      </c>
      <c r="AA49" s="445">
        <f>'Ing y gtos'!BF160</f>
        <v>80</v>
      </c>
      <c r="AB49" s="481"/>
      <c r="AC49" s="472">
        <f>'Ing y gtos'!BJ160</f>
        <v>0</v>
      </c>
      <c r="AD49" s="445">
        <f>'Ing y gtos'!BK160</f>
        <v>0</v>
      </c>
      <c r="AE49" s="445">
        <f>'Ing y gtos'!BL160</f>
        <v>0</v>
      </c>
      <c r="AF49" s="445">
        <f>'Ing y gtos'!BM160</f>
        <v>0</v>
      </c>
      <c r="AG49" s="445">
        <f>'Ing y gtos'!BN160</f>
        <v>0</v>
      </c>
      <c r="AH49" s="445">
        <f>'Ing y gtos'!BO160</f>
        <v>570</v>
      </c>
      <c r="AI49" s="445">
        <f>'Ing y gtos'!BP160</f>
        <v>0</v>
      </c>
      <c r="AJ49" s="445">
        <f>'Ing y gtos'!BQ160</f>
        <v>0</v>
      </c>
      <c r="AK49" s="414">
        <f>'Ing y gtos'!BR160</f>
        <v>0</v>
      </c>
      <c r="AL49" s="414">
        <f>'Ing y gtos'!BS160</f>
        <v>0</v>
      </c>
      <c r="AM49" s="414">
        <f>'Ing y gtos'!BT160</f>
        <v>0</v>
      </c>
      <c r="AN49" s="415">
        <f>'Ing y gtos'!BU160</f>
        <v>0</v>
      </c>
      <c r="AO49" s="481"/>
      <c r="AP49" s="433"/>
      <c r="AQ49" s="433"/>
      <c r="AR49" s="489"/>
      <c r="AS49" s="414">
        <f>'Ing y gtos'!BW160</f>
        <v>0</v>
      </c>
      <c r="AT49" s="414" t="e">
        <f>'Ing y gtos'!#REF!</f>
        <v>#REF!</v>
      </c>
      <c r="AU49" s="414">
        <f>'Ing y gtos'!BX160</f>
        <v>0</v>
      </c>
      <c r="AV49" s="414">
        <f>'Ing y gtos'!BY160</f>
        <v>0</v>
      </c>
      <c r="AW49" s="414">
        <f>'Ing y gtos'!BZ160</f>
        <v>0</v>
      </c>
      <c r="AX49" s="414">
        <f>'Ing y gtos'!CA160</f>
        <v>0</v>
      </c>
      <c r="AY49" s="414">
        <f>'Ing y gtos'!CB160</f>
        <v>0</v>
      </c>
      <c r="AZ49" s="414">
        <f>'Ing y gtos'!CC160</f>
        <v>0</v>
      </c>
      <c r="BA49" s="414">
        <f>'Ing y gtos'!CD160</f>
        <v>0</v>
      </c>
      <c r="BB49" s="414">
        <f>'Ing y gtos'!CE160</f>
        <v>0</v>
      </c>
      <c r="BC49" s="414">
        <f>'Ing y gtos'!CF160</f>
        <v>0</v>
      </c>
      <c r="BD49" s="414">
        <f>'Ing y gtos'!CG160</f>
        <v>0</v>
      </c>
      <c r="BE49" s="481"/>
    </row>
    <row r="50" spans="1:57">
      <c r="B50" s="407" t="s">
        <v>31</v>
      </c>
      <c r="C50" s="436">
        <f>SUM(C47:C49)</f>
        <v>1439.49</v>
      </c>
      <c r="D50" s="436">
        <f t="shared" ref="D50:N50" si="299">SUM(D47:D49)</f>
        <v>29120.35</v>
      </c>
      <c r="E50" s="436">
        <f t="shared" si="299"/>
        <v>82937.25</v>
      </c>
      <c r="F50" s="436">
        <f t="shared" si="299"/>
        <v>34295.479999999996</v>
      </c>
      <c r="G50" s="436">
        <f t="shared" si="299"/>
        <v>39002.159999999996</v>
      </c>
      <c r="H50" s="436">
        <f t="shared" si="299"/>
        <v>18848.810000000001</v>
      </c>
      <c r="I50" s="436">
        <f t="shared" si="299"/>
        <v>10233.219999999999</v>
      </c>
      <c r="J50" s="436">
        <f t="shared" si="299"/>
        <v>48343.68</v>
      </c>
      <c r="K50" s="436">
        <f t="shared" si="299"/>
        <v>103480.99</v>
      </c>
      <c r="L50" s="436">
        <f t="shared" si="299"/>
        <v>121374.76000000001</v>
      </c>
      <c r="M50" s="436">
        <f t="shared" si="299"/>
        <v>88680.97</v>
      </c>
      <c r="N50" s="436">
        <f t="shared" si="299"/>
        <v>18727.77</v>
      </c>
      <c r="O50" s="409"/>
      <c r="P50" s="444">
        <f>SUM(P47:P49)</f>
        <v>31415.29</v>
      </c>
      <c r="Q50" s="444">
        <f t="shared" ref="Q50" si="300">SUM(Q47:Q49)</f>
        <v>38727.14</v>
      </c>
      <c r="R50" s="444">
        <f t="shared" ref="R50" si="301">SUM(R47:R49)</f>
        <v>9213.81</v>
      </c>
      <c r="S50" s="444">
        <f t="shared" ref="S50" si="302">SUM(S47:S49)</f>
        <v>15473.65</v>
      </c>
      <c r="T50" s="444">
        <f t="shared" ref="T50" si="303">SUM(T47:T49)</f>
        <v>8971.2099999999991</v>
      </c>
      <c r="U50" s="444">
        <f t="shared" ref="U50" si="304">SUM(U47:U49)</f>
        <v>27058.22</v>
      </c>
      <c r="V50" s="444">
        <f t="shared" ref="V50" si="305">SUM(V47:V49)</f>
        <v>35365</v>
      </c>
      <c r="W50" s="444">
        <f t="shared" ref="W50" si="306">SUM(W47:W49)</f>
        <v>42486.89</v>
      </c>
      <c r="X50" s="444">
        <f t="shared" ref="X50" si="307">SUM(X47:X49)</f>
        <v>28332</v>
      </c>
      <c r="Y50" s="444">
        <f t="shared" ref="Y50" si="308">SUM(Y47:Y49)</f>
        <v>14539.400000000001</v>
      </c>
      <c r="Z50" s="444">
        <f t="shared" ref="Z50" si="309">SUM(Z47:Z49)</f>
        <v>12738.01</v>
      </c>
      <c r="AA50" s="444">
        <f t="shared" ref="AA50" si="310">SUM(AA47:AA49)</f>
        <v>34806.589999999997</v>
      </c>
      <c r="AB50" s="409"/>
      <c r="AC50" s="444">
        <f>SUM(AC47:AC49)</f>
        <v>2916.7200000000003</v>
      </c>
      <c r="AD50" s="444">
        <f t="shared" ref="AD50:AN50" si="311">SUM(AD47:AD49)</f>
        <v>31550.839999999997</v>
      </c>
      <c r="AE50" s="444">
        <f t="shared" si="311"/>
        <v>28902.32</v>
      </c>
      <c r="AF50" s="444">
        <f t="shared" si="311"/>
        <v>3369.67</v>
      </c>
      <c r="AG50" s="444">
        <f t="shared" si="311"/>
        <v>2563.2800000000002</v>
      </c>
      <c r="AH50" s="444">
        <f t="shared" si="311"/>
        <v>17457.189999999999</v>
      </c>
      <c r="AI50" s="444">
        <f t="shared" si="311"/>
        <v>7061.2800000000007</v>
      </c>
      <c r="AJ50" s="444">
        <f t="shared" si="311"/>
        <v>29193.07</v>
      </c>
      <c r="AK50" s="408">
        <f t="shared" si="311"/>
        <v>1640.78</v>
      </c>
      <c r="AL50" s="408">
        <f t="shared" si="311"/>
        <v>0</v>
      </c>
      <c r="AM50" s="408">
        <f t="shared" si="311"/>
        <v>0</v>
      </c>
      <c r="AN50" s="408">
        <f t="shared" si="311"/>
        <v>0</v>
      </c>
      <c r="AO50" s="409"/>
      <c r="AS50" s="408">
        <f>SUM(AS47:AS49)</f>
        <v>0</v>
      </c>
      <c r="AT50" s="408" t="e">
        <f t="shared" ref="AT50:BD50" si="312">SUM(AT47:AT49)</f>
        <v>#REF!</v>
      </c>
      <c r="AU50" s="408">
        <f t="shared" si="312"/>
        <v>0</v>
      </c>
      <c r="AV50" s="408">
        <f t="shared" si="312"/>
        <v>0</v>
      </c>
      <c r="AW50" s="408">
        <f t="shared" si="312"/>
        <v>0</v>
      </c>
      <c r="AX50" s="408">
        <f t="shared" si="312"/>
        <v>0</v>
      </c>
      <c r="AY50" s="408">
        <f t="shared" si="312"/>
        <v>0</v>
      </c>
      <c r="AZ50" s="408">
        <f t="shared" si="312"/>
        <v>0</v>
      </c>
      <c r="BA50" s="408">
        <f t="shared" si="312"/>
        <v>0</v>
      </c>
      <c r="BB50" s="408">
        <f t="shared" si="312"/>
        <v>0</v>
      </c>
      <c r="BC50" s="408">
        <f t="shared" si="312"/>
        <v>0</v>
      </c>
      <c r="BD50" s="408">
        <f t="shared" si="312"/>
        <v>0</v>
      </c>
      <c r="BE50" s="409"/>
    </row>
    <row r="51" spans="1:57" s="400" customFormat="1">
      <c r="B51" s="407" t="s">
        <v>42</v>
      </c>
      <c r="C51" s="437">
        <f>C45-C50</f>
        <v>0</v>
      </c>
      <c r="D51" s="437">
        <f t="shared" ref="D51:J51" si="313">D45-D50</f>
        <v>0</v>
      </c>
      <c r="E51" s="437">
        <f t="shared" si="313"/>
        <v>0</v>
      </c>
      <c r="F51" s="437">
        <f t="shared" si="313"/>
        <v>0</v>
      </c>
      <c r="G51" s="437">
        <f t="shared" si="313"/>
        <v>-1.7999999909079634E-3</v>
      </c>
      <c r="H51" s="437">
        <f t="shared" si="313"/>
        <v>-1.7999999945459422E-3</v>
      </c>
      <c r="I51" s="437">
        <f t="shared" si="313"/>
        <v>3.0000000879226718E-4</v>
      </c>
      <c r="J51" s="437">
        <f t="shared" si="313"/>
        <v>-4.6999999904073775E-3</v>
      </c>
      <c r="K51" s="437">
        <f>K45-K50</f>
        <v>-4.6999999904073775E-3</v>
      </c>
      <c r="L51" s="437">
        <f>L45-L50</f>
        <v>-4.6999999904073775E-3</v>
      </c>
      <c r="M51" s="437">
        <f>M45-M50</f>
        <v>-4.6999999904073775E-3</v>
      </c>
      <c r="N51" s="437">
        <f>N45-N50</f>
        <v>-4.7000000013213139E-3</v>
      </c>
      <c r="O51" s="437"/>
      <c r="P51" s="437">
        <f t="shared" ref="P51:Q51" si="314">P45-P50</f>
        <v>-4.7000000049592927E-3</v>
      </c>
      <c r="Q51" s="437">
        <f t="shared" si="314"/>
        <v>-4.7000000049592927E-3</v>
      </c>
      <c r="R51" s="437">
        <f>R45-R50</f>
        <v>-4.7000000067782821E-3</v>
      </c>
      <c r="S51" s="437">
        <f>S45-S50</f>
        <v>-4.7000000067782821E-3</v>
      </c>
      <c r="T51" s="437">
        <f>T45-T50</f>
        <v>-4.7000000049592927E-3</v>
      </c>
      <c r="U51" s="437">
        <f>U45-U50</f>
        <v>-4.7000000049592927E-3</v>
      </c>
      <c r="V51" s="437">
        <f>V45-V50</f>
        <v>-4.7000000049592927E-3</v>
      </c>
      <c r="W51" s="437">
        <f t="shared" ref="W51:AA51" si="315">W45-W50</f>
        <v>-4.7000000049592927E-3</v>
      </c>
      <c r="X51" s="437">
        <f t="shared" si="315"/>
        <v>-4.6999999976833351E-3</v>
      </c>
      <c r="Y51" s="437">
        <f t="shared" si="315"/>
        <v>-4.7000000013213139E-3</v>
      </c>
      <c r="Z51" s="437">
        <f t="shared" si="315"/>
        <v>-4.7000000013213139E-3</v>
      </c>
      <c r="AA51" s="437">
        <f t="shared" si="315"/>
        <v>-4.6999999904073775E-3</v>
      </c>
      <c r="AB51" s="409"/>
      <c r="AC51" s="437">
        <f t="shared" ref="AC51:AD51" si="316">AC45-AC50</f>
        <v>-4.6999999967738404E-3</v>
      </c>
      <c r="AD51" s="437">
        <f t="shared" si="316"/>
        <v>-4.6999999904073775E-3</v>
      </c>
      <c r="AE51" s="437">
        <f t="shared" ref="AE51:AJ51" si="317">AE45-AE50</f>
        <v>-4.6999999831314199E-3</v>
      </c>
      <c r="AF51" s="437">
        <f t="shared" si="317"/>
        <v>-4.6999999849504093E-3</v>
      </c>
      <c r="AG51" s="437">
        <f t="shared" si="317"/>
        <v>-4.6999999881336407E-3</v>
      </c>
      <c r="AH51" s="437">
        <f t="shared" si="317"/>
        <v>-4.6999999867693987E-3</v>
      </c>
      <c r="AI51" s="437">
        <f t="shared" si="317"/>
        <v>-4.6999999922263669E-3</v>
      </c>
      <c r="AJ51" s="437">
        <f t="shared" si="317"/>
        <v>5.3000000116298907E-3</v>
      </c>
      <c r="AK51" s="408"/>
      <c r="AL51" s="408"/>
      <c r="AM51" s="408"/>
      <c r="AN51" s="408"/>
      <c r="AO51" s="409"/>
      <c r="AR51" s="486"/>
      <c r="AS51" s="437">
        <f t="shared" ref="AS51:AT51" si="318">AS45-AS50</f>
        <v>3309.0752999999968</v>
      </c>
      <c r="AT51" s="437" t="e">
        <f t="shared" si="318"/>
        <v>#REF!</v>
      </c>
      <c r="AU51" s="437">
        <f>AU45-AU50</f>
        <v>9059.4852999999894</v>
      </c>
      <c r="AV51" s="437">
        <f>AV45-AV50</f>
        <v>5553.5152999999882</v>
      </c>
      <c r="AW51" s="437"/>
      <c r="AX51" s="408"/>
      <c r="AY51" s="408"/>
      <c r="AZ51" s="408"/>
      <c r="BA51" s="408"/>
      <c r="BB51" s="408"/>
      <c r="BC51" s="408"/>
      <c r="BD51" s="408"/>
      <c r="BE51" s="409"/>
    </row>
    <row r="52" spans="1:57" s="400" customFormat="1">
      <c r="P52" s="438"/>
      <c r="Q52" s="438"/>
      <c r="R52" s="438"/>
      <c r="S52" s="438"/>
      <c r="T52" s="438"/>
      <c r="U52" s="438"/>
      <c r="V52" s="438"/>
      <c r="W52" s="438"/>
      <c r="X52" s="438"/>
      <c r="Y52" s="438"/>
      <c r="Z52" s="438"/>
      <c r="AA52" s="438"/>
      <c r="AC52" s="438"/>
      <c r="AD52" s="438"/>
      <c r="AE52" s="438"/>
      <c r="AF52" s="438"/>
      <c r="AG52" s="438"/>
      <c r="AH52" s="438"/>
      <c r="AI52" s="438"/>
      <c r="AJ52" s="438"/>
      <c r="AK52" s="438"/>
      <c r="AL52" s="438"/>
      <c r="AM52" s="438"/>
      <c r="AN52" s="438"/>
      <c r="AR52" s="486"/>
    </row>
    <row r="53" spans="1:57" s="400" customFormat="1">
      <c r="P53" s="438"/>
      <c r="Q53" s="438"/>
      <c r="R53" s="438"/>
      <c r="S53" s="438"/>
      <c r="T53" s="438"/>
      <c r="U53" s="438"/>
      <c r="V53" s="438"/>
      <c r="W53" s="438"/>
      <c r="X53" s="438"/>
      <c r="Y53" s="438"/>
      <c r="Z53" s="438"/>
      <c r="AA53" s="438"/>
      <c r="AC53" s="438"/>
      <c r="AD53" s="438"/>
      <c r="AE53" s="438"/>
      <c r="AF53" s="438"/>
      <c r="AG53" s="438"/>
      <c r="AH53" s="438"/>
      <c r="AI53" s="438"/>
      <c r="AJ53" s="438"/>
      <c r="AK53" s="438"/>
      <c r="AL53" s="438"/>
      <c r="AM53" s="438"/>
      <c r="AN53" s="438"/>
      <c r="AR53" s="486"/>
    </row>
    <row r="54" spans="1:57" s="400" customFormat="1">
      <c r="P54" s="438"/>
      <c r="Q54" s="438"/>
      <c r="R54" s="438"/>
      <c r="S54" s="438"/>
      <c r="T54" s="438"/>
      <c r="U54" s="438"/>
      <c r="V54" s="438"/>
      <c r="W54" s="438"/>
      <c r="X54" s="438"/>
      <c r="Y54" s="438"/>
      <c r="Z54" s="438"/>
      <c r="AA54" s="438"/>
      <c r="AC54" s="438"/>
      <c r="AD54" s="438"/>
      <c r="AE54" s="438"/>
      <c r="AF54" s="438"/>
      <c r="AG54" s="438"/>
      <c r="AH54" s="438"/>
      <c r="AI54" s="438"/>
      <c r="AJ54" s="438"/>
      <c r="AK54" s="438"/>
      <c r="AL54" s="438"/>
      <c r="AM54" s="438"/>
      <c r="AN54" s="438"/>
      <c r="AR54" s="486"/>
    </row>
    <row r="55" spans="1:57" s="400" customFormat="1">
      <c r="P55" s="438"/>
      <c r="Q55" s="438"/>
      <c r="R55" s="438"/>
      <c r="S55" s="438"/>
      <c r="T55" s="438"/>
      <c r="U55" s="438"/>
      <c r="V55" s="438"/>
      <c r="W55" s="438"/>
      <c r="X55" s="438"/>
      <c r="Y55" s="438"/>
      <c r="Z55" s="438"/>
      <c r="AA55" s="438"/>
      <c r="AC55" s="438"/>
      <c r="AD55" s="438"/>
      <c r="AE55" s="438"/>
      <c r="AF55" s="438"/>
      <c r="AG55" s="438"/>
      <c r="AH55" s="438"/>
      <c r="AI55" s="438"/>
      <c r="AJ55" s="438"/>
      <c r="AK55" s="438"/>
      <c r="AL55" s="438"/>
      <c r="AM55" s="438"/>
      <c r="AN55" s="438"/>
      <c r="AR55" s="486"/>
    </row>
    <row r="56" spans="1:57" s="400" customFormat="1">
      <c r="P56" s="438"/>
      <c r="Q56" s="438"/>
      <c r="R56" s="438"/>
      <c r="S56" s="438"/>
      <c r="T56" s="438"/>
      <c r="U56" s="438"/>
      <c r="V56" s="438"/>
      <c r="W56" s="438"/>
      <c r="X56" s="438"/>
      <c r="Y56" s="438"/>
      <c r="Z56" s="438"/>
      <c r="AA56" s="438"/>
      <c r="AC56" s="438"/>
      <c r="AD56" s="438"/>
      <c r="AE56" s="438"/>
      <c r="AF56" s="438"/>
      <c r="AG56" s="438"/>
      <c r="AH56" s="438"/>
      <c r="AI56" s="438"/>
      <c r="AJ56" s="438"/>
      <c r="AK56" s="438"/>
      <c r="AL56" s="438"/>
      <c r="AM56" s="438"/>
      <c r="AN56" s="438"/>
      <c r="AR56" s="486"/>
    </row>
    <row r="57" spans="1:57" s="400" customFormat="1">
      <c r="P57" s="438"/>
      <c r="Q57" s="438"/>
      <c r="R57" s="438"/>
      <c r="S57" s="438"/>
      <c r="T57" s="438"/>
      <c r="U57" s="438"/>
      <c r="V57" s="438"/>
      <c r="W57" s="438"/>
      <c r="X57" s="438"/>
      <c r="Y57" s="438"/>
      <c r="Z57" s="438"/>
      <c r="AA57" s="438"/>
      <c r="AC57" s="438"/>
      <c r="AD57" s="438"/>
      <c r="AE57" s="438"/>
      <c r="AF57" s="438"/>
      <c r="AG57" s="438"/>
      <c r="AH57" s="438"/>
      <c r="AI57" s="438"/>
      <c r="AJ57" s="438"/>
      <c r="AK57" s="438"/>
      <c r="AL57" s="438"/>
      <c r="AM57" s="438"/>
      <c r="AN57" s="438"/>
      <c r="AR57" s="486"/>
    </row>
    <row r="58" spans="1:57" s="400" customFormat="1">
      <c r="P58" s="438"/>
      <c r="Q58" s="438"/>
      <c r="R58" s="438"/>
      <c r="S58" s="438"/>
      <c r="T58" s="438"/>
      <c r="U58" s="438"/>
      <c r="V58" s="438"/>
      <c r="W58" s="438"/>
      <c r="X58" s="438"/>
      <c r="Y58" s="438"/>
      <c r="Z58" s="438"/>
      <c r="AA58" s="438"/>
      <c r="AC58" s="438"/>
      <c r="AD58" s="438"/>
      <c r="AE58" s="438"/>
      <c r="AF58" s="438"/>
      <c r="AG58" s="438"/>
      <c r="AH58" s="438"/>
      <c r="AI58" s="438"/>
      <c r="AJ58" s="438"/>
      <c r="AK58" s="438"/>
      <c r="AL58" s="438"/>
      <c r="AM58" s="438"/>
      <c r="AN58" s="438"/>
      <c r="AR58" s="486"/>
    </row>
    <row r="59" spans="1:57" s="400" customFormat="1">
      <c r="P59" s="438"/>
      <c r="Q59" s="438"/>
      <c r="R59" s="438"/>
      <c r="S59" s="438"/>
      <c r="T59" s="438"/>
      <c r="U59" s="438"/>
      <c r="V59" s="438"/>
      <c r="W59" s="438"/>
      <c r="X59" s="438"/>
      <c r="Y59" s="438"/>
      <c r="Z59" s="438"/>
      <c r="AA59" s="438"/>
      <c r="AC59" s="438"/>
      <c r="AD59" s="438"/>
      <c r="AE59" s="438"/>
      <c r="AF59" s="438"/>
      <c r="AG59" s="438"/>
      <c r="AH59" s="438"/>
      <c r="AI59" s="438"/>
      <c r="AJ59" s="438"/>
      <c r="AK59" s="438"/>
      <c r="AL59" s="438"/>
      <c r="AM59" s="438"/>
      <c r="AN59" s="438"/>
      <c r="AR59" s="486"/>
    </row>
    <row r="60" spans="1:57" s="400" customFormat="1">
      <c r="P60" s="438"/>
      <c r="Q60" s="438"/>
      <c r="R60" s="438"/>
      <c r="S60" s="438"/>
      <c r="T60" s="438"/>
      <c r="U60" s="438"/>
      <c r="V60" s="438"/>
      <c r="W60" s="438"/>
      <c r="X60" s="438"/>
      <c r="Y60" s="438"/>
      <c r="Z60" s="438"/>
      <c r="AA60" s="438"/>
      <c r="AC60" s="438"/>
      <c r="AD60" s="438"/>
      <c r="AE60" s="438"/>
      <c r="AF60" s="438"/>
      <c r="AG60" s="438"/>
      <c r="AH60" s="438"/>
      <c r="AI60" s="438"/>
      <c r="AJ60" s="438"/>
      <c r="AK60" s="438"/>
      <c r="AL60" s="438"/>
      <c r="AM60" s="438"/>
      <c r="AN60" s="438"/>
      <c r="AR60" s="486"/>
    </row>
    <row r="61" spans="1:57" s="400" customFormat="1">
      <c r="P61" s="438"/>
      <c r="Q61" s="438"/>
      <c r="R61" s="438"/>
      <c r="S61" s="438"/>
      <c r="T61" s="438"/>
      <c r="U61" s="438"/>
      <c r="V61" s="438"/>
      <c r="W61" s="438"/>
      <c r="X61" s="438"/>
      <c r="Y61" s="438"/>
      <c r="Z61" s="438"/>
      <c r="AA61" s="438"/>
      <c r="AC61" s="438"/>
      <c r="AD61" s="438"/>
      <c r="AE61" s="438"/>
      <c r="AF61" s="438"/>
      <c r="AG61" s="438"/>
      <c r="AH61" s="438"/>
      <c r="AI61" s="438"/>
      <c r="AJ61" s="438"/>
      <c r="AK61" s="438"/>
      <c r="AL61" s="438"/>
      <c r="AM61" s="438"/>
      <c r="AN61" s="438"/>
      <c r="AR61" s="486"/>
    </row>
    <row r="62" spans="1:57" s="400" customFormat="1">
      <c r="P62" s="438"/>
      <c r="Q62" s="438"/>
      <c r="R62" s="438"/>
      <c r="S62" s="438"/>
      <c r="T62" s="438"/>
      <c r="U62" s="438"/>
      <c r="V62" s="438"/>
      <c r="W62" s="438"/>
      <c r="X62" s="438"/>
      <c r="Y62" s="438"/>
      <c r="Z62" s="438"/>
      <c r="AA62" s="438"/>
      <c r="AC62" s="438"/>
      <c r="AD62" s="438"/>
      <c r="AE62" s="438"/>
      <c r="AF62" s="438"/>
      <c r="AG62" s="438"/>
      <c r="AH62" s="438"/>
      <c r="AI62" s="438"/>
      <c r="AJ62" s="438"/>
      <c r="AK62" s="438"/>
      <c r="AL62" s="438"/>
      <c r="AM62" s="438"/>
      <c r="AN62" s="438"/>
      <c r="AR62" s="486"/>
    </row>
    <row r="63" spans="1:57" s="400" customFormat="1">
      <c r="P63" s="438"/>
      <c r="Q63" s="438"/>
      <c r="R63" s="438"/>
      <c r="S63" s="438"/>
      <c r="T63" s="438"/>
      <c r="U63" s="438"/>
      <c r="V63" s="438"/>
      <c r="W63" s="438"/>
      <c r="X63" s="438"/>
      <c r="Y63" s="438"/>
      <c r="Z63" s="438"/>
      <c r="AA63" s="438"/>
      <c r="AC63" s="438"/>
      <c r="AD63" s="438"/>
      <c r="AE63" s="438"/>
      <c r="AF63" s="438"/>
      <c r="AG63" s="438"/>
      <c r="AH63" s="438"/>
      <c r="AI63" s="438"/>
      <c r="AJ63" s="438"/>
      <c r="AK63" s="438"/>
      <c r="AL63" s="438"/>
      <c r="AM63" s="438"/>
      <c r="AN63" s="438"/>
      <c r="AR63" s="486"/>
    </row>
    <row r="64" spans="1:57" s="400" customFormat="1">
      <c r="P64" s="438"/>
      <c r="Q64" s="438"/>
      <c r="R64" s="438"/>
      <c r="S64" s="438"/>
      <c r="T64" s="438"/>
      <c r="U64" s="438"/>
      <c r="V64" s="438"/>
      <c r="W64" s="438"/>
      <c r="X64" s="438"/>
      <c r="Y64" s="438"/>
      <c r="Z64" s="438"/>
      <c r="AA64" s="438"/>
      <c r="AC64" s="438"/>
      <c r="AD64" s="438"/>
      <c r="AE64" s="438"/>
      <c r="AF64" s="438"/>
      <c r="AG64" s="438"/>
      <c r="AH64" s="438"/>
      <c r="AI64" s="438"/>
      <c r="AJ64" s="438"/>
      <c r="AK64" s="438"/>
      <c r="AL64" s="438"/>
      <c r="AM64" s="438"/>
      <c r="AN64" s="438"/>
      <c r="AR64" s="486"/>
    </row>
    <row r="65" spans="16:44" s="400" customFormat="1">
      <c r="P65" s="438"/>
      <c r="Q65" s="438"/>
      <c r="R65" s="438"/>
      <c r="S65" s="438"/>
      <c r="T65" s="438"/>
      <c r="U65" s="438"/>
      <c r="V65" s="438"/>
      <c r="W65" s="438"/>
      <c r="X65" s="438"/>
      <c r="Y65" s="438"/>
      <c r="Z65" s="438"/>
      <c r="AA65" s="438"/>
      <c r="AC65" s="438"/>
      <c r="AD65" s="438"/>
      <c r="AE65" s="438"/>
      <c r="AF65" s="438"/>
      <c r="AG65" s="438"/>
      <c r="AH65" s="438"/>
      <c r="AI65" s="438"/>
      <c r="AJ65" s="438"/>
      <c r="AK65" s="438"/>
      <c r="AL65" s="438"/>
      <c r="AM65" s="438"/>
      <c r="AN65" s="438"/>
      <c r="AR65" s="486"/>
    </row>
    <row r="66" spans="16:44" s="400" customFormat="1">
      <c r="P66" s="438"/>
      <c r="Q66" s="438"/>
      <c r="R66" s="438"/>
      <c r="S66" s="438"/>
      <c r="T66" s="438"/>
      <c r="U66" s="438"/>
      <c r="V66" s="438"/>
      <c r="W66" s="438"/>
      <c r="X66" s="438"/>
      <c r="Y66" s="438"/>
      <c r="Z66" s="438"/>
      <c r="AA66" s="438"/>
      <c r="AC66" s="438"/>
      <c r="AD66" s="438"/>
      <c r="AE66" s="438"/>
      <c r="AF66" s="438"/>
      <c r="AG66" s="438"/>
      <c r="AH66" s="438"/>
      <c r="AI66" s="438"/>
      <c r="AJ66" s="438"/>
      <c r="AK66" s="438"/>
      <c r="AL66" s="438"/>
      <c r="AM66" s="438"/>
      <c r="AN66" s="438"/>
      <c r="AR66" s="486"/>
    </row>
    <row r="67" spans="16:44" s="400" customFormat="1">
      <c r="P67" s="438"/>
      <c r="Q67" s="438"/>
      <c r="R67" s="438"/>
      <c r="S67" s="438"/>
      <c r="T67" s="438"/>
      <c r="U67" s="438"/>
      <c r="V67" s="438"/>
      <c r="W67" s="438"/>
      <c r="X67" s="438"/>
      <c r="Y67" s="438"/>
      <c r="Z67" s="438"/>
      <c r="AA67" s="438"/>
      <c r="AC67" s="438"/>
      <c r="AD67" s="438"/>
      <c r="AE67" s="438"/>
      <c r="AF67" s="438"/>
      <c r="AG67" s="438"/>
      <c r="AH67" s="438"/>
      <c r="AI67" s="438"/>
      <c r="AJ67" s="438"/>
      <c r="AK67" s="438"/>
      <c r="AL67" s="438"/>
      <c r="AM67" s="438"/>
      <c r="AN67" s="438"/>
      <c r="AR67" s="486"/>
    </row>
    <row r="68" spans="16:44" s="400" customFormat="1">
      <c r="P68" s="438"/>
      <c r="Q68" s="438"/>
      <c r="R68" s="438"/>
      <c r="S68" s="438"/>
      <c r="T68" s="438"/>
      <c r="U68" s="438"/>
      <c r="V68" s="438"/>
      <c r="W68" s="438"/>
      <c r="X68" s="438"/>
      <c r="Y68" s="438"/>
      <c r="Z68" s="438"/>
      <c r="AA68" s="438"/>
      <c r="AC68" s="438"/>
      <c r="AD68" s="438"/>
      <c r="AE68" s="438"/>
      <c r="AF68" s="438"/>
      <c r="AG68" s="438"/>
      <c r="AH68" s="438"/>
      <c r="AI68" s="438"/>
      <c r="AJ68" s="438"/>
      <c r="AK68" s="438"/>
      <c r="AL68" s="438"/>
      <c r="AM68" s="438"/>
      <c r="AN68" s="438"/>
      <c r="AR68" s="486"/>
    </row>
    <row r="69" spans="16:44" s="400" customFormat="1">
      <c r="P69" s="438"/>
      <c r="Q69" s="438"/>
      <c r="R69" s="438"/>
      <c r="S69" s="438"/>
      <c r="T69" s="438"/>
      <c r="U69" s="438"/>
      <c r="V69" s="438"/>
      <c r="W69" s="438"/>
      <c r="X69" s="438"/>
      <c r="Y69" s="438"/>
      <c r="Z69" s="438"/>
      <c r="AA69" s="438"/>
      <c r="AC69" s="438"/>
      <c r="AD69" s="438"/>
      <c r="AE69" s="438"/>
      <c r="AF69" s="438"/>
      <c r="AG69" s="438"/>
      <c r="AH69" s="438"/>
      <c r="AI69" s="438"/>
      <c r="AJ69" s="438"/>
      <c r="AK69" s="438"/>
      <c r="AL69" s="438"/>
      <c r="AM69" s="438"/>
      <c r="AN69" s="438"/>
      <c r="AR69" s="486"/>
    </row>
    <row r="70" spans="16:44" s="400" customFormat="1">
      <c r="P70" s="438"/>
      <c r="Q70" s="438"/>
      <c r="R70" s="438"/>
      <c r="S70" s="438"/>
      <c r="T70" s="438"/>
      <c r="U70" s="438"/>
      <c r="V70" s="438"/>
      <c r="W70" s="438"/>
      <c r="X70" s="438"/>
      <c r="Y70" s="438"/>
      <c r="Z70" s="438"/>
      <c r="AA70" s="438"/>
      <c r="AC70" s="438"/>
      <c r="AD70" s="438"/>
      <c r="AE70" s="438"/>
      <c r="AF70" s="438"/>
      <c r="AG70" s="438"/>
      <c r="AH70" s="438"/>
      <c r="AI70" s="438"/>
      <c r="AJ70" s="438"/>
      <c r="AK70" s="438"/>
      <c r="AL70" s="438"/>
      <c r="AM70" s="438"/>
      <c r="AN70" s="438"/>
      <c r="AR70" s="486"/>
    </row>
    <row r="71" spans="16:44" s="400" customFormat="1">
      <c r="P71" s="438"/>
      <c r="Q71" s="438"/>
      <c r="R71" s="438"/>
      <c r="S71" s="438"/>
      <c r="T71" s="438"/>
      <c r="U71" s="438"/>
      <c r="V71" s="438"/>
      <c r="W71" s="438"/>
      <c r="X71" s="438"/>
      <c r="Y71" s="438"/>
      <c r="Z71" s="438"/>
      <c r="AA71" s="438"/>
      <c r="AC71" s="438"/>
      <c r="AD71" s="438"/>
      <c r="AE71" s="438"/>
      <c r="AF71" s="438"/>
      <c r="AG71" s="438"/>
      <c r="AH71" s="438"/>
      <c r="AI71" s="438"/>
      <c r="AJ71" s="438"/>
      <c r="AK71" s="438"/>
      <c r="AL71" s="438"/>
      <c r="AM71" s="438"/>
      <c r="AN71" s="438"/>
      <c r="AR71" s="486"/>
    </row>
    <row r="72" spans="16:44" s="400" customFormat="1">
      <c r="P72" s="438"/>
      <c r="Q72" s="438"/>
      <c r="R72" s="438"/>
      <c r="S72" s="438"/>
      <c r="T72" s="438"/>
      <c r="U72" s="438"/>
      <c r="V72" s="438"/>
      <c r="W72" s="438"/>
      <c r="X72" s="438"/>
      <c r="Y72" s="438"/>
      <c r="Z72" s="438"/>
      <c r="AA72" s="438"/>
      <c r="AC72" s="438"/>
      <c r="AD72" s="438"/>
      <c r="AE72" s="438"/>
      <c r="AF72" s="438"/>
      <c r="AG72" s="438"/>
      <c r="AH72" s="438"/>
      <c r="AI72" s="438"/>
      <c r="AJ72" s="438"/>
      <c r="AK72" s="438"/>
      <c r="AL72" s="438"/>
      <c r="AM72" s="438"/>
      <c r="AN72" s="438"/>
      <c r="AR72" s="486"/>
    </row>
    <row r="73" spans="16:44" s="400" customFormat="1">
      <c r="P73" s="438"/>
      <c r="Q73" s="438"/>
      <c r="R73" s="438"/>
      <c r="S73" s="438"/>
      <c r="T73" s="438"/>
      <c r="U73" s="438"/>
      <c r="V73" s="438"/>
      <c r="W73" s="438"/>
      <c r="X73" s="438"/>
      <c r="Y73" s="438"/>
      <c r="Z73" s="438"/>
      <c r="AA73" s="438"/>
      <c r="AC73" s="438"/>
      <c r="AD73" s="438"/>
      <c r="AE73" s="438"/>
      <c r="AF73" s="438"/>
      <c r="AG73" s="438"/>
      <c r="AH73" s="438"/>
      <c r="AI73" s="438"/>
      <c r="AJ73" s="438"/>
      <c r="AK73" s="438"/>
      <c r="AL73" s="438"/>
      <c r="AM73" s="438"/>
      <c r="AN73" s="438"/>
      <c r="AR73" s="486"/>
    </row>
    <row r="74" spans="16:44" s="400" customFormat="1">
      <c r="P74" s="438"/>
      <c r="Q74" s="438"/>
      <c r="R74" s="438"/>
      <c r="S74" s="438"/>
      <c r="T74" s="438"/>
      <c r="U74" s="438"/>
      <c r="V74" s="438"/>
      <c r="W74" s="438"/>
      <c r="X74" s="438"/>
      <c r="Y74" s="438"/>
      <c r="Z74" s="438"/>
      <c r="AA74" s="438"/>
      <c r="AC74" s="438"/>
      <c r="AD74" s="438"/>
      <c r="AE74" s="438"/>
      <c r="AF74" s="438"/>
      <c r="AG74" s="438"/>
      <c r="AH74" s="438"/>
      <c r="AI74" s="438"/>
      <c r="AJ74" s="438"/>
      <c r="AK74" s="438"/>
      <c r="AL74" s="438"/>
      <c r="AM74" s="438"/>
      <c r="AN74" s="438"/>
      <c r="AR74" s="486"/>
    </row>
    <row r="75" spans="16:44" s="400" customFormat="1">
      <c r="P75" s="438"/>
      <c r="Q75" s="438"/>
      <c r="R75" s="438"/>
      <c r="S75" s="438"/>
      <c r="T75" s="438"/>
      <c r="U75" s="438"/>
      <c r="V75" s="438"/>
      <c r="W75" s="438"/>
      <c r="X75" s="438"/>
      <c r="Y75" s="438"/>
      <c r="Z75" s="438"/>
      <c r="AA75" s="438"/>
      <c r="AC75" s="438"/>
      <c r="AD75" s="438"/>
      <c r="AE75" s="438"/>
      <c r="AF75" s="438"/>
      <c r="AG75" s="438"/>
      <c r="AH75" s="438"/>
      <c r="AI75" s="438"/>
      <c r="AJ75" s="438"/>
      <c r="AK75" s="438"/>
      <c r="AL75" s="438"/>
      <c r="AM75" s="438"/>
      <c r="AN75" s="438"/>
      <c r="AR75" s="486"/>
    </row>
    <row r="76" spans="16:44" s="400" customFormat="1">
      <c r="P76" s="438"/>
      <c r="Q76" s="438"/>
      <c r="R76" s="438"/>
      <c r="S76" s="438"/>
      <c r="T76" s="438"/>
      <c r="U76" s="438"/>
      <c r="V76" s="438"/>
      <c r="W76" s="438"/>
      <c r="X76" s="438"/>
      <c r="Y76" s="438"/>
      <c r="Z76" s="438"/>
      <c r="AA76" s="438"/>
      <c r="AC76" s="438"/>
      <c r="AD76" s="438"/>
      <c r="AE76" s="438"/>
      <c r="AF76" s="438"/>
      <c r="AG76" s="438"/>
      <c r="AH76" s="438"/>
      <c r="AI76" s="438"/>
      <c r="AJ76" s="438"/>
      <c r="AK76" s="438"/>
      <c r="AL76" s="438"/>
      <c r="AM76" s="438"/>
      <c r="AN76" s="438"/>
      <c r="AR76" s="486"/>
    </row>
    <row r="77" spans="16:44" s="400" customFormat="1">
      <c r="P77" s="438"/>
      <c r="Q77" s="438"/>
      <c r="R77" s="438"/>
      <c r="S77" s="438"/>
      <c r="T77" s="438"/>
      <c r="U77" s="438"/>
      <c r="V77" s="438"/>
      <c r="W77" s="438"/>
      <c r="X77" s="438"/>
      <c r="Y77" s="438"/>
      <c r="Z77" s="438"/>
      <c r="AA77" s="438"/>
      <c r="AC77" s="438"/>
      <c r="AD77" s="438"/>
      <c r="AE77" s="438"/>
      <c r="AF77" s="438"/>
      <c r="AG77" s="438"/>
      <c r="AH77" s="438"/>
      <c r="AI77" s="438"/>
      <c r="AJ77" s="438"/>
      <c r="AK77" s="438"/>
      <c r="AL77" s="438"/>
      <c r="AM77" s="438"/>
      <c r="AN77" s="438"/>
      <c r="AR77" s="486"/>
    </row>
    <row r="78" spans="16:44" s="400" customFormat="1">
      <c r="P78" s="438"/>
      <c r="Q78" s="438"/>
      <c r="R78" s="438"/>
      <c r="S78" s="438"/>
      <c r="T78" s="438"/>
      <c r="U78" s="438"/>
      <c r="V78" s="438"/>
      <c r="W78" s="438"/>
      <c r="X78" s="438"/>
      <c r="Y78" s="438"/>
      <c r="Z78" s="438"/>
      <c r="AA78" s="438"/>
      <c r="AC78" s="438"/>
      <c r="AD78" s="438"/>
      <c r="AE78" s="438"/>
      <c r="AF78" s="438"/>
      <c r="AG78" s="438"/>
      <c r="AH78" s="438"/>
      <c r="AI78" s="438"/>
      <c r="AJ78" s="438"/>
      <c r="AK78" s="438"/>
      <c r="AL78" s="438"/>
      <c r="AM78" s="438"/>
      <c r="AN78" s="438"/>
      <c r="AR78" s="486"/>
    </row>
    <row r="79" spans="16:44" s="400" customFormat="1">
      <c r="P79" s="438"/>
      <c r="Q79" s="438"/>
      <c r="R79" s="438"/>
      <c r="S79" s="438"/>
      <c r="T79" s="438"/>
      <c r="U79" s="438"/>
      <c r="V79" s="438"/>
      <c r="W79" s="438"/>
      <c r="X79" s="438"/>
      <c r="Y79" s="438"/>
      <c r="Z79" s="438"/>
      <c r="AA79" s="438"/>
      <c r="AC79" s="438"/>
      <c r="AD79" s="438"/>
      <c r="AE79" s="438"/>
      <c r="AF79" s="438"/>
      <c r="AG79" s="438"/>
      <c r="AH79" s="438"/>
      <c r="AI79" s="438"/>
      <c r="AJ79" s="438"/>
      <c r="AK79" s="438"/>
      <c r="AL79" s="438"/>
      <c r="AM79" s="438"/>
      <c r="AN79" s="438"/>
      <c r="AR79" s="486"/>
    </row>
    <row r="80" spans="16:44" s="400" customFormat="1">
      <c r="P80" s="438"/>
      <c r="Q80" s="438"/>
      <c r="R80" s="438"/>
      <c r="S80" s="438"/>
      <c r="T80" s="438"/>
      <c r="U80" s="438"/>
      <c r="V80" s="438"/>
      <c r="W80" s="438"/>
      <c r="X80" s="438"/>
      <c r="Y80" s="438"/>
      <c r="Z80" s="438"/>
      <c r="AA80" s="438"/>
      <c r="AC80" s="438"/>
      <c r="AD80" s="438"/>
      <c r="AE80" s="438"/>
      <c r="AF80" s="438"/>
      <c r="AG80" s="438"/>
      <c r="AH80" s="438"/>
      <c r="AI80" s="438"/>
      <c r="AJ80" s="438"/>
      <c r="AK80" s="438"/>
      <c r="AL80" s="438"/>
      <c r="AM80" s="438"/>
      <c r="AN80" s="438"/>
      <c r="AR80" s="486"/>
    </row>
    <row r="81" spans="16:44" s="400" customFormat="1">
      <c r="P81" s="438"/>
      <c r="Q81" s="438"/>
      <c r="R81" s="438"/>
      <c r="S81" s="438"/>
      <c r="T81" s="438"/>
      <c r="U81" s="438"/>
      <c r="V81" s="438"/>
      <c r="W81" s="438"/>
      <c r="X81" s="438"/>
      <c r="Y81" s="438"/>
      <c r="Z81" s="438"/>
      <c r="AA81" s="438"/>
      <c r="AC81" s="438"/>
      <c r="AD81" s="438"/>
      <c r="AE81" s="438"/>
      <c r="AF81" s="438"/>
      <c r="AG81" s="438"/>
      <c r="AH81" s="438"/>
      <c r="AI81" s="438"/>
      <c r="AJ81" s="438"/>
      <c r="AK81" s="438"/>
      <c r="AL81" s="438"/>
      <c r="AM81" s="438"/>
      <c r="AN81" s="438"/>
      <c r="AR81" s="486"/>
    </row>
    <row r="82" spans="16:44" s="400" customFormat="1">
      <c r="P82" s="438"/>
      <c r="Q82" s="438"/>
      <c r="R82" s="438"/>
      <c r="S82" s="438"/>
      <c r="T82" s="438"/>
      <c r="U82" s="438"/>
      <c r="V82" s="438"/>
      <c r="W82" s="438"/>
      <c r="X82" s="438"/>
      <c r="Y82" s="438"/>
      <c r="Z82" s="438"/>
      <c r="AA82" s="438"/>
      <c r="AC82" s="438"/>
      <c r="AD82" s="438"/>
      <c r="AE82" s="438"/>
      <c r="AF82" s="438"/>
      <c r="AG82" s="438"/>
      <c r="AH82" s="438"/>
      <c r="AI82" s="438"/>
      <c r="AJ82" s="438"/>
      <c r="AK82" s="438"/>
      <c r="AL82" s="438"/>
      <c r="AM82" s="438"/>
      <c r="AN82" s="438"/>
      <c r="AR82" s="486"/>
    </row>
    <row r="83" spans="16:44" s="400" customFormat="1">
      <c r="P83" s="438"/>
      <c r="Q83" s="438"/>
      <c r="R83" s="438"/>
      <c r="S83" s="438"/>
      <c r="T83" s="438"/>
      <c r="U83" s="438"/>
      <c r="V83" s="438"/>
      <c r="W83" s="438"/>
      <c r="X83" s="438"/>
      <c r="Y83" s="438"/>
      <c r="Z83" s="438"/>
      <c r="AA83" s="438"/>
      <c r="AC83" s="438"/>
      <c r="AD83" s="438"/>
      <c r="AE83" s="438"/>
      <c r="AF83" s="438"/>
      <c r="AG83" s="438"/>
      <c r="AH83" s="438"/>
      <c r="AI83" s="438"/>
      <c r="AJ83" s="438"/>
      <c r="AK83" s="438"/>
      <c r="AL83" s="438"/>
      <c r="AM83" s="438"/>
      <c r="AN83" s="438"/>
      <c r="AR83" s="486"/>
    </row>
    <row r="84" spans="16:44" s="400" customFormat="1">
      <c r="P84" s="438"/>
      <c r="Q84" s="438"/>
      <c r="R84" s="438"/>
      <c r="S84" s="438"/>
      <c r="T84" s="438"/>
      <c r="U84" s="438"/>
      <c r="V84" s="438"/>
      <c r="W84" s="438"/>
      <c r="X84" s="438"/>
      <c r="Y84" s="438"/>
      <c r="Z84" s="438"/>
      <c r="AA84" s="438"/>
      <c r="AC84" s="438"/>
      <c r="AD84" s="438"/>
      <c r="AE84" s="438"/>
      <c r="AF84" s="438"/>
      <c r="AG84" s="438"/>
      <c r="AH84" s="438"/>
      <c r="AI84" s="438"/>
      <c r="AJ84" s="438"/>
      <c r="AK84" s="438"/>
      <c r="AL84" s="438"/>
      <c r="AM84" s="438"/>
      <c r="AN84" s="438"/>
      <c r="AR84" s="486"/>
    </row>
    <row r="85" spans="16:44" s="400" customFormat="1">
      <c r="P85" s="438"/>
      <c r="Q85" s="438"/>
      <c r="R85" s="438"/>
      <c r="S85" s="438"/>
      <c r="T85" s="438"/>
      <c r="U85" s="438"/>
      <c r="V85" s="438"/>
      <c r="W85" s="438"/>
      <c r="X85" s="438"/>
      <c r="Y85" s="438"/>
      <c r="Z85" s="438"/>
      <c r="AA85" s="438"/>
      <c r="AC85" s="438"/>
      <c r="AD85" s="438"/>
      <c r="AE85" s="438"/>
      <c r="AF85" s="438"/>
      <c r="AG85" s="438"/>
      <c r="AH85" s="438"/>
      <c r="AI85" s="438"/>
      <c r="AJ85" s="438"/>
      <c r="AK85" s="438"/>
      <c r="AL85" s="438"/>
      <c r="AM85" s="438"/>
      <c r="AN85" s="438"/>
      <c r="AR85" s="486"/>
    </row>
    <row r="86" spans="16:44" s="400" customFormat="1">
      <c r="P86" s="438"/>
      <c r="Q86" s="438"/>
      <c r="R86" s="438"/>
      <c r="S86" s="438"/>
      <c r="T86" s="438"/>
      <c r="U86" s="438"/>
      <c r="V86" s="438"/>
      <c r="W86" s="438"/>
      <c r="X86" s="438"/>
      <c r="Y86" s="438"/>
      <c r="Z86" s="438"/>
      <c r="AA86" s="438"/>
      <c r="AC86" s="438"/>
      <c r="AD86" s="438"/>
      <c r="AE86" s="438"/>
      <c r="AF86" s="438"/>
      <c r="AG86" s="438"/>
      <c r="AH86" s="438"/>
      <c r="AI86" s="438"/>
      <c r="AJ86" s="438"/>
      <c r="AK86" s="438"/>
      <c r="AL86" s="438"/>
      <c r="AM86" s="438"/>
      <c r="AN86" s="438"/>
      <c r="AR86" s="486"/>
    </row>
    <row r="87" spans="16:44" s="400" customFormat="1">
      <c r="P87" s="438"/>
      <c r="Q87" s="438"/>
      <c r="R87" s="438"/>
      <c r="S87" s="438"/>
      <c r="T87" s="438"/>
      <c r="U87" s="438"/>
      <c r="V87" s="438"/>
      <c r="W87" s="438"/>
      <c r="X87" s="438"/>
      <c r="Y87" s="438"/>
      <c r="Z87" s="438"/>
      <c r="AA87" s="438"/>
      <c r="AC87" s="438"/>
      <c r="AD87" s="438"/>
      <c r="AE87" s="438"/>
      <c r="AF87" s="438"/>
      <c r="AG87" s="438"/>
      <c r="AH87" s="438"/>
      <c r="AI87" s="438"/>
      <c r="AJ87" s="438"/>
      <c r="AK87" s="438"/>
      <c r="AL87" s="438"/>
      <c r="AM87" s="438"/>
      <c r="AN87" s="438"/>
      <c r="AR87" s="486"/>
    </row>
    <row r="88" spans="16:44" s="400" customFormat="1">
      <c r="P88" s="438"/>
      <c r="Q88" s="438"/>
      <c r="R88" s="438"/>
      <c r="S88" s="438"/>
      <c r="T88" s="438"/>
      <c r="U88" s="438"/>
      <c r="V88" s="438"/>
      <c r="W88" s="438"/>
      <c r="X88" s="438"/>
      <c r="Y88" s="438"/>
      <c r="Z88" s="438"/>
      <c r="AA88" s="438"/>
      <c r="AC88" s="438"/>
      <c r="AD88" s="438"/>
      <c r="AE88" s="438"/>
      <c r="AF88" s="438"/>
      <c r="AG88" s="438"/>
      <c r="AH88" s="438"/>
      <c r="AI88" s="438"/>
      <c r="AJ88" s="438"/>
      <c r="AK88" s="438"/>
      <c r="AL88" s="438"/>
      <c r="AM88" s="438"/>
      <c r="AN88" s="438"/>
      <c r="AR88" s="486"/>
    </row>
    <row r="89" spans="16:44" s="400" customFormat="1">
      <c r="P89" s="438"/>
      <c r="Q89" s="438"/>
      <c r="R89" s="438"/>
      <c r="S89" s="438"/>
      <c r="T89" s="438"/>
      <c r="U89" s="438"/>
      <c r="V89" s="438"/>
      <c r="W89" s="438"/>
      <c r="X89" s="438"/>
      <c r="Y89" s="438"/>
      <c r="Z89" s="438"/>
      <c r="AA89" s="438"/>
      <c r="AC89" s="438"/>
      <c r="AD89" s="438"/>
      <c r="AE89" s="438"/>
      <c r="AF89" s="438"/>
      <c r="AG89" s="438"/>
      <c r="AH89" s="438"/>
      <c r="AI89" s="438"/>
      <c r="AJ89" s="438"/>
      <c r="AK89" s="438"/>
      <c r="AL89" s="438"/>
      <c r="AM89" s="438"/>
      <c r="AN89" s="438"/>
      <c r="AR89" s="486"/>
    </row>
    <row r="90" spans="16:44" s="400" customFormat="1">
      <c r="P90" s="438"/>
      <c r="Q90" s="438"/>
      <c r="R90" s="438"/>
      <c r="S90" s="438"/>
      <c r="T90" s="438"/>
      <c r="U90" s="438"/>
      <c r="V90" s="438"/>
      <c r="W90" s="438"/>
      <c r="X90" s="438"/>
      <c r="Y90" s="438"/>
      <c r="Z90" s="438"/>
      <c r="AA90" s="438"/>
      <c r="AC90" s="438"/>
      <c r="AD90" s="438"/>
      <c r="AE90" s="438"/>
      <c r="AF90" s="438"/>
      <c r="AG90" s="438"/>
      <c r="AH90" s="438"/>
      <c r="AI90" s="438"/>
      <c r="AJ90" s="438"/>
      <c r="AK90" s="438"/>
      <c r="AL90" s="438"/>
      <c r="AM90" s="438"/>
      <c r="AN90" s="438"/>
      <c r="AR90" s="486"/>
    </row>
    <row r="91" spans="16:44" s="400" customFormat="1">
      <c r="P91" s="438"/>
      <c r="Q91" s="438"/>
      <c r="R91" s="438"/>
      <c r="S91" s="438"/>
      <c r="T91" s="438"/>
      <c r="U91" s="438"/>
      <c r="V91" s="438"/>
      <c r="W91" s="438"/>
      <c r="X91" s="438"/>
      <c r="Y91" s="438"/>
      <c r="Z91" s="438"/>
      <c r="AA91" s="438"/>
      <c r="AC91" s="438"/>
      <c r="AD91" s="438"/>
      <c r="AE91" s="438"/>
      <c r="AF91" s="438"/>
      <c r="AG91" s="438"/>
      <c r="AH91" s="438"/>
      <c r="AI91" s="438"/>
      <c r="AJ91" s="438"/>
      <c r="AK91" s="438"/>
      <c r="AL91" s="438"/>
      <c r="AM91" s="438"/>
      <c r="AN91" s="438"/>
      <c r="AR91" s="486"/>
    </row>
    <row r="92" spans="16:44" s="400" customFormat="1">
      <c r="P92" s="438"/>
      <c r="Q92" s="438"/>
      <c r="R92" s="438"/>
      <c r="S92" s="438"/>
      <c r="T92" s="438"/>
      <c r="U92" s="438"/>
      <c r="V92" s="438"/>
      <c r="W92" s="438"/>
      <c r="X92" s="438"/>
      <c r="Y92" s="438"/>
      <c r="Z92" s="438"/>
      <c r="AA92" s="438"/>
      <c r="AC92" s="438"/>
      <c r="AD92" s="438"/>
      <c r="AE92" s="438"/>
      <c r="AF92" s="438"/>
      <c r="AG92" s="438"/>
      <c r="AH92" s="438"/>
      <c r="AI92" s="438"/>
      <c r="AJ92" s="438"/>
      <c r="AK92" s="438"/>
      <c r="AL92" s="438"/>
      <c r="AM92" s="438"/>
      <c r="AN92" s="438"/>
      <c r="AR92" s="486"/>
    </row>
    <row r="93" spans="16:44" s="400" customFormat="1">
      <c r="P93" s="438"/>
      <c r="Q93" s="438"/>
      <c r="R93" s="438"/>
      <c r="S93" s="438"/>
      <c r="T93" s="438"/>
      <c r="U93" s="438"/>
      <c r="V93" s="438"/>
      <c r="W93" s="438"/>
      <c r="X93" s="438"/>
      <c r="Y93" s="438"/>
      <c r="Z93" s="438"/>
      <c r="AA93" s="438"/>
      <c r="AC93" s="438"/>
      <c r="AD93" s="438"/>
      <c r="AE93" s="438"/>
      <c r="AF93" s="438"/>
      <c r="AG93" s="438"/>
      <c r="AH93" s="438"/>
      <c r="AI93" s="438"/>
      <c r="AJ93" s="438"/>
      <c r="AK93" s="438"/>
      <c r="AL93" s="438"/>
      <c r="AM93" s="438"/>
      <c r="AN93" s="438"/>
      <c r="AR93" s="486"/>
    </row>
    <row r="94" spans="16:44" s="400" customFormat="1">
      <c r="P94" s="438"/>
      <c r="Q94" s="438"/>
      <c r="R94" s="438"/>
      <c r="S94" s="438"/>
      <c r="T94" s="438"/>
      <c r="U94" s="438"/>
      <c r="V94" s="438"/>
      <c r="W94" s="438"/>
      <c r="X94" s="438"/>
      <c r="Y94" s="438"/>
      <c r="Z94" s="438"/>
      <c r="AA94" s="438"/>
      <c r="AC94" s="438"/>
      <c r="AD94" s="438"/>
      <c r="AE94" s="438"/>
      <c r="AF94" s="438"/>
      <c r="AG94" s="438"/>
      <c r="AH94" s="438"/>
      <c r="AI94" s="438"/>
      <c r="AJ94" s="438"/>
      <c r="AK94" s="438"/>
      <c r="AL94" s="438"/>
      <c r="AM94" s="438"/>
      <c r="AN94" s="438"/>
      <c r="AR94" s="486"/>
    </row>
    <row r="95" spans="16:44" s="400" customFormat="1">
      <c r="P95" s="438"/>
      <c r="Q95" s="438"/>
      <c r="R95" s="438"/>
      <c r="S95" s="438"/>
      <c r="T95" s="438"/>
      <c r="U95" s="438"/>
      <c r="V95" s="438"/>
      <c r="W95" s="438"/>
      <c r="X95" s="438"/>
      <c r="Y95" s="438"/>
      <c r="Z95" s="438"/>
      <c r="AA95" s="438"/>
      <c r="AC95" s="438"/>
      <c r="AD95" s="438"/>
      <c r="AE95" s="438"/>
      <c r="AF95" s="438"/>
      <c r="AG95" s="438"/>
      <c r="AH95" s="438"/>
      <c r="AI95" s="438"/>
      <c r="AJ95" s="438"/>
      <c r="AK95" s="438"/>
      <c r="AL95" s="438"/>
      <c r="AM95" s="438"/>
      <c r="AN95" s="438"/>
      <c r="AR95" s="486"/>
    </row>
    <row r="96" spans="16:44" s="400" customFormat="1">
      <c r="P96" s="438"/>
      <c r="Q96" s="438"/>
      <c r="R96" s="438"/>
      <c r="S96" s="438"/>
      <c r="T96" s="438"/>
      <c r="U96" s="438"/>
      <c r="V96" s="438"/>
      <c r="W96" s="438"/>
      <c r="X96" s="438"/>
      <c r="Y96" s="438"/>
      <c r="Z96" s="438"/>
      <c r="AA96" s="438"/>
      <c r="AC96" s="438"/>
      <c r="AD96" s="438"/>
      <c r="AE96" s="438"/>
      <c r="AF96" s="438"/>
      <c r="AG96" s="438"/>
      <c r="AH96" s="438"/>
      <c r="AI96" s="438"/>
      <c r="AJ96" s="438"/>
      <c r="AK96" s="438"/>
      <c r="AL96" s="438"/>
      <c r="AM96" s="438"/>
      <c r="AN96" s="438"/>
      <c r="AR96" s="486"/>
    </row>
    <row r="97" spans="16:44" s="400" customFormat="1">
      <c r="P97" s="438"/>
      <c r="Q97" s="438"/>
      <c r="R97" s="438"/>
      <c r="S97" s="438"/>
      <c r="T97" s="438"/>
      <c r="U97" s="438"/>
      <c r="V97" s="438"/>
      <c r="W97" s="438"/>
      <c r="X97" s="438"/>
      <c r="Y97" s="438"/>
      <c r="Z97" s="438"/>
      <c r="AA97" s="438"/>
      <c r="AC97" s="438"/>
      <c r="AD97" s="438"/>
      <c r="AE97" s="438"/>
      <c r="AF97" s="438"/>
      <c r="AG97" s="438"/>
      <c r="AH97" s="438"/>
      <c r="AI97" s="438"/>
      <c r="AJ97" s="438"/>
      <c r="AK97" s="438"/>
      <c r="AL97" s="438"/>
      <c r="AM97" s="438"/>
      <c r="AN97" s="438"/>
      <c r="AR97" s="486"/>
    </row>
    <row r="98" spans="16:44" s="400" customFormat="1">
      <c r="P98" s="438"/>
      <c r="Q98" s="438"/>
      <c r="R98" s="438"/>
      <c r="S98" s="438"/>
      <c r="T98" s="438"/>
      <c r="U98" s="438"/>
      <c r="V98" s="438"/>
      <c r="W98" s="438"/>
      <c r="X98" s="438"/>
      <c r="Y98" s="438"/>
      <c r="Z98" s="438"/>
      <c r="AA98" s="438"/>
      <c r="AC98" s="438"/>
      <c r="AD98" s="438"/>
      <c r="AE98" s="438"/>
      <c r="AF98" s="438"/>
      <c r="AG98" s="438"/>
      <c r="AH98" s="438"/>
      <c r="AI98" s="438"/>
      <c r="AJ98" s="438"/>
      <c r="AK98" s="438"/>
      <c r="AL98" s="438"/>
      <c r="AM98" s="438"/>
      <c r="AN98" s="438"/>
      <c r="AR98" s="486"/>
    </row>
    <row r="99" spans="16:44" s="400" customFormat="1">
      <c r="P99" s="438"/>
      <c r="Q99" s="438"/>
      <c r="R99" s="438"/>
      <c r="S99" s="438"/>
      <c r="T99" s="438"/>
      <c r="U99" s="438"/>
      <c r="V99" s="438"/>
      <c r="W99" s="438"/>
      <c r="X99" s="438"/>
      <c r="Y99" s="438"/>
      <c r="Z99" s="438"/>
      <c r="AA99" s="438"/>
      <c r="AC99" s="438"/>
      <c r="AD99" s="438"/>
      <c r="AE99" s="438"/>
      <c r="AF99" s="438"/>
      <c r="AG99" s="438"/>
      <c r="AH99" s="438"/>
      <c r="AI99" s="438"/>
      <c r="AJ99" s="438"/>
      <c r="AK99" s="438"/>
      <c r="AL99" s="438"/>
      <c r="AM99" s="438"/>
      <c r="AN99" s="438"/>
      <c r="AR99" s="486"/>
    </row>
    <row r="100" spans="16:44" s="400" customFormat="1">
      <c r="P100" s="438"/>
      <c r="Q100" s="438"/>
      <c r="R100" s="438"/>
      <c r="S100" s="438"/>
      <c r="T100" s="438"/>
      <c r="U100" s="438"/>
      <c r="V100" s="438"/>
      <c r="W100" s="438"/>
      <c r="X100" s="438"/>
      <c r="Y100" s="438"/>
      <c r="Z100" s="438"/>
      <c r="AA100" s="438"/>
      <c r="AC100" s="438"/>
      <c r="AD100" s="438"/>
      <c r="AE100" s="438"/>
      <c r="AF100" s="438"/>
      <c r="AG100" s="438"/>
      <c r="AH100" s="438"/>
      <c r="AI100" s="438"/>
      <c r="AJ100" s="438"/>
      <c r="AK100" s="438"/>
      <c r="AL100" s="438"/>
      <c r="AM100" s="438"/>
      <c r="AN100" s="438"/>
      <c r="AR100" s="486"/>
    </row>
    <row r="101" spans="16:44" s="400" customFormat="1">
      <c r="P101" s="438"/>
      <c r="Q101" s="438"/>
      <c r="R101" s="438"/>
      <c r="S101" s="438"/>
      <c r="T101" s="438"/>
      <c r="U101" s="438"/>
      <c r="V101" s="438"/>
      <c r="W101" s="438"/>
      <c r="X101" s="438"/>
      <c r="Y101" s="438"/>
      <c r="Z101" s="438"/>
      <c r="AA101" s="438"/>
      <c r="AC101" s="438"/>
      <c r="AD101" s="438"/>
      <c r="AE101" s="438"/>
      <c r="AF101" s="438"/>
      <c r="AG101" s="438"/>
      <c r="AH101" s="438"/>
      <c r="AI101" s="438"/>
      <c r="AJ101" s="438"/>
      <c r="AK101" s="438"/>
      <c r="AL101" s="438"/>
      <c r="AM101" s="438"/>
      <c r="AN101" s="438"/>
      <c r="AR101" s="486"/>
    </row>
    <row r="102" spans="16:44" s="400" customFormat="1">
      <c r="P102" s="438"/>
      <c r="Q102" s="438"/>
      <c r="R102" s="438"/>
      <c r="S102" s="438"/>
      <c r="T102" s="438"/>
      <c r="U102" s="438"/>
      <c r="V102" s="438"/>
      <c r="W102" s="438"/>
      <c r="X102" s="438"/>
      <c r="Y102" s="438"/>
      <c r="Z102" s="438"/>
      <c r="AA102" s="438"/>
      <c r="AC102" s="438"/>
      <c r="AD102" s="438"/>
      <c r="AE102" s="438"/>
      <c r="AF102" s="438"/>
      <c r="AG102" s="438"/>
      <c r="AH102" s="438"/>
      <c r="AI102" s="438"/>
      <c r="AJ102" s="438"/>
      <c r="AK102" s="438"/>
      <c r="AL102" s="438"/>
      <c r="AM102" s="438"/>
      <c r="AN102" s="438"/>
      <c r="AR102" s="486"/>
    </row>
    <row r="103" spans="16:44" s="400" customFormat="1">
      <c r="P103" s="438"/>
      <c r="Q103" s="438"/>
      <c r="R103" s="438"/>
      <c r="S103" s="438"/>
      <c r="T103" s="438"/>
      <c r="U103" s="438"/>
      <c r="V103" s="438"/>
      <c r="W103" s="438"/>
      <c r="X103" s="438"/>
      <c r="Y103" s="438"/>
      <c r="Z103" s="438"/>
      <c r="AA103" s="438"/>
      <c r="AC103" s="438"/>
      <c r="AD103" s="438"/>
      <c r="AE103" s="438"/>
      <c r="AF103" s="438"/>
      <c r="AG103" s="438"/>
      <c r="AH103" s="438"/>
      <c r="AI103" s="438"/>
      <c r="AJ103" s="438"/>
      <c r="AK103" s="438"/>
      <c r="AL103" s="438"/>
      <c r="AM103" s="438"/>
      <c r="AN103" s="438"/>
      <c r="AR103" s="486"/>
    </row>
    <row r="104" spans="16:44" s="400" customFormat="1">
      <c r="P104" s="438"/>
      <c r="Q104" s="438"/>
      <c r="R104" s="438"/>
      <c r="S104" s="438"/>
      <c r="T104" s="438"/>
      <c r="U104" s="438"/>
      <c r="V104" s="438"/>
      <c r="W104" s="438"/>
      <c r="X104" s="438"/>
      <c r="Y104" s="438"/>
      <c r="Z104" s="438"/>
      <c r="AA104" s="438"/>
      <c r="AC104" s="438"/>
      <c r="AD104" s="438"/>
      <c r="AE104" s="438"/>
      <c r="AF104" s="438"/>
      <c r="AG104" s="438"/>
      <c r="AH104" s="438"/>
      <c r="AI104" s="438"/>
      <c r="AJ104" s="438"/>
      <c r="AK104" s="438"/>
      <c r="AL104" s="438"/>
      <c r="AM104" s="438"/>
      <c r="AN104" s="438"/>
      <c r="AR104" s="486"/>
    </row>
    <row r="105" spans="16:44" s="400" customFormat="1">
      <c r="P105" s="438"/>
      <c r="Q105" s="438"/>
      <c r="R105" s="438"/>
      <c r="S105" s="438"/>
      <c r="T105" s="438"/>
      <c r="U105" s="438"/>
      <c r="V105" s="438"/>
      <c r="W105" s="438"/>
      <c r="X105" s="438"/>
      <c r="Y105" s="438"/>
      <c r="Z105" s="438"/>
      <c r="AA105" s="438"/>
      <c r="AC105" s="438"/>
      <c r="AD105" s="438"/>
      <c r="AE105" s="438"/>
      <c r="AF105" s="438"/>
      <c r="AG105" s="438"/>
      <c r="AH105" s="438"/>
      <c r="AI105" s="438"/>
      <c r="AJ105" s="438"/>
      <c r="AK105" s="438"/>
      <c r="AL105" s="438"/>
      <c r="AM105" s="438"/>
      <c r="AN105" s="438"/>
      <c r="AR105" s="486"/>
    </row>
    <row r="106" spans="16:44" s="400" customFormat="1">
      <c r="P106" s="438"/>
      <c r="Q106" s="438"/>
      <c r="R106" s="438"/>
      <c r="S106" s="438"/>
      <c r="T106" s="438"/>
      <c r="U106" s="438"/>
      <c r="V106" s="438"/>
      <c r="W106" s="438"/>
      <c r="X106" s="438"/>
      <c r="Y106" s="438"/>
      <c r="Z106" s="438"/>
      <c r="AA106" s="438"/>
      <c r="AC106" s="438"/>
      <c r="AD106" s="438"/>
      <c r="AE106" s="438"/>
      <c r="AF106" s="438"/>
      <c r="AG106" s="438"/>
      <c r="AH106" s="438"/>
      <c r="AI106" s="438"/>
      <c r="AJ106" s="438"/>
      <c r="AK106" s="438"/>
      <c r="AL106" s="438"/>
      <c r="AM106" s="438"/>
      <c r="AN106" s="438"/>
      <c r="AR106" s="486"/>
    </row>
    <row r="107" spans="16:44" s="400" customFormat="1">
      <c r="P107" s="438"/>
      <c r="Q107" s="438"/>
      <c r="R107" s="438"/>
      <c r="S107" s="438"/>
      <c r="T107" s="438"/>
      <c r="U107" s="438"/>
      <c r="V107" s="438"/>
      <c r="W107" s="438"/>
      <c r="X107" s="438"/>
      <c r="Y107" s="438"/>
      <c r="Z107" s="438"/>
      <c r="AA107" s="438"/>
      <c r="AC107" s="438"/>
      <c r="AD107" s="438"/>
      <c r="AE107" s="438"/>
      <c r="AF107" s="438"/>
      <c r="AG107" s="438"/>
      <c r="AH107" s="438"/>
      <c r="AI107" s="438"/>
      <c r="AJ107" s="438"/>
      <c r="AK107" s="438"/>
      <c r="AL107" s="438"/>
      <c r="AM107" s="438"/>
      <c r="AN107" s="438"/>
      <c r="AR107" s="486"/>
    </row>
    <row r="108" spans="16:44" s="400" customFormat="1">
      <c r="P108" s="438"/>
      <c r="Q108" s="438"/>
      <c r="R108" s="438"/>
      <c r="S108" s="438"/>
      <c r="T108" s="438"/>
      <c r="U108" s="438"/>
      <c r="V108" s="438"/>
      <c r="W108" s="438"/>
      <c r="X108" s="438"/>
      <c r="Y108" s="438"/>
      <c r="Z108" s="438"/>
      <c r="AA108" s="438"/>
      <c r="AC108" s="438"/>
      <c r="AD108" s="438"/>
      <c r="AE108" s="438"/>
      <c r="AF108" s="438"/>
      <c r="AG108" s="438"/>
      <c r="AH108" s="438"/>
      <c r="AI108" s="438"/>
      <c r="AJ108" s="438"/>
      <c r="AK108" s="438"/>
      <c r="AL108" s="438"/>
      <c r="AM108" s="438"/>
      <c r="AN108" s="438"/>
      <c r="AR108" s="486"/>
    </row>
    <row r="109" spans="16:44" s="400" customFormat="1">
      <c r="P109" s="438"/>
      <c r="Q109" s="438"/>
      <c r="R109" s="438"/>
      <c r="S109" s="438"/>
      <c r="T109" s="438"/>
      <c r="U109" s="438"/>
      <c r="V109" s="438"/>
      <c r="W109" s="438"/>
      <c r="X109" s="438"/>
      <c r="Y109" s="438"/>
      <c r="Z109" s="438"/>
      <c r="AA109" s="438"/>
      <c r="AC109" s="438"/>
      <c r="AD109" s="438"/>
      <c r="AE109" s="438"/>
      <c r="AF109" s="438"/>
      <c r="AG109" s="438"/>
      <c r="AH109" s="438"/>
      <c r="AI109" s="438"/>
      <c r="AJ109" s="438"/>
      <c r="AK109" s="438"/>
      <c r="AL109" s="438"/>
      <c r="AM109" s="438"/>
      <c r="AN109" s="438"/>
      <c r="AR109" s="486"/>
    </row>
    <row r="110" spans="16:44" s="400" customFormat="1">
      <c r="P110" s="438"/>
      <c r="Q110" s="438"/>
      <c r="R110" s="438"/>
      <c r="S110" s="438"/>
      <c r="T110" s="438"/>
      <c r="U110" s="438"/>
      <c r="V110" s="438"/>
      <c r="W110" s="438"/>
      <c r="X110" s="438"/>
      <c r="Y110" s="438"/>
      <c r="Z110" s="438"/>
      <c r="AA110" s="438"/>
      <c r="AC110" s="438"/>
      <c r="AD110" s="438"/>
      <c r="AE110" s="438"/>
      <c r="AF110" s="438"/>
      <c r="AG110" s="438"/>
      <c r="AH110" s="438"/>
      <c r="AI110" s="438"/>
      <c r="AJ110" s="438"/>
      <c r="AK110" s="438"/>
      <c r="AL110" s="438"/>
      <c r="AM110" s="438"/>
      <c r="AN110" s="438"/>
      <c r="AR110" s="486"/>
    </row>
    <row r="111" spans="16:44" s="400" customFormat="1">
      <c r="P111" s="438"/>
      <c r="Q111" s="438"/>
      <c r="R111" s="438"/>
      <c r="S111" s="438"/>
      <c r="T111" s="438"/>
      <c r="U111" s="438"/>
      <c r="V111" s="438"/>
      <c r="W111" s="438"/>
      <c r="X111" s="438"/>
      <c r="Y111" s="438"/>
      <c r="Z111" s="438"/>
      <c r="AA111" s="438"/>
      <c r="AC111" s="438"/>
      <c r="AD111" s="438"/>
      <c r="AE111" s="438"/>
      <c r="AF111" s="438"/>
      <c r="AG111" s="438"/>
      <c r="AH111" s="438"/>
      <c r="AI111" s="438"/>
      <c r="AJ111" s="438"/>
      <c r="AK111" s="438"/>
      <c r="AL111" s="438"/>
      <c r="AM111" s="438"/>
      <c r="AN111" s="438"/>
      <c r="AR111" s="486"/>
    </row>
    <row r="112" spans="16:44" s="400" customFormat="1">
      <c r="P112" s="438"/>
      <c r="Q112" s="438"/>
      <c r="R112" s="438"/>
      <c r="S112" s="438"/>
      <c r="T112" s="438"/>
      <c r="U112" s="438"/>
      <c r="V112" s="438"/>
      <c r="W112" s="438"/>
      <c r="X112" s="438"/>
      <c r="Y112" s="438"/>
      <c r="Z112" s="438"/>
      <c r="AA112" s="438"/>
      <c r="AC112" s="438"/>
      <c r="AD112" s="438"/>
      <c r="AE112" s="438"/>
      <c r="AF112" s="438"/>
      <c r="AG112" s="438"/>
      <c r="AH112" s="438"/>
      <c r="AI112" s="438"/>
      <c r="AJ112" s="438"/>
      <c r="AK112" s="438"/>
      <c r="AL112" s="438"/>
      <c r="AM112" s="438"/>
      <c r="AN112" s="438"/>
      <c r="AR112" s="486"/>
    </row>
    <row r="113" spans="16:44" s="400" customFormat="1">
      <c r="P113" s="438"/>
      <c r="Q113" s="438"/>
      <c r="R113" s="438"/>
      <c r="S113" s="438"/>
      <c r="T113" s="438"/>
      <c r="U113" s="438"/>
      <c r="V113" s="438"/>
      <c r="W113" s="438"/>
      <c r="X113" s="438"/>
      <c r="Y113" s="438"/>
      <c r="Z113" s="438"/>
      <c r="AA113" s="438"/>
      <c r="AC113" s="438"/>
      <c r="AD113" s="438"/>
      <c r="AE113" s="438"/>
      <c r="AF113" s="438"/>
      <c r="AG113" s="438"/>
      <c r="AH113" s="438"/>
      <c r="AI113" s="438"/>
      <c r="AJ113" s="438"/>
      <c r="AK113" s="438"/>
      <c r="AL113" s="438"/>
      <c r="AM113" s="438"/>
      <c r="AN113" s="438"/>
      <c r="AR113" s="486"/>
    </row>
    <row r="114" spans="16:44" s="400" customFormat="1">
      <c r="P114" s="438"/>
      <c r="Q114" s="438"/>
      <c r="R114" s="438"/>
      <c r="S114" s="438"/>
      <c r="T114" s="438"/>
      <c r="U114" s="438"/>
      <c r="V114" s="438"/>
      <c r="W114" s="438"/>
      <c r="X114" s="438"/>
      <c r="Y114" s="438"/>
      <c r="Z114" s="438"/>
      <c r="AA114" s="438"/>
      <c r="AC114" s="438"/>
      <c r="AD114" s="438"/>
      <c r="AE114" s="438"/>
      <c r="AF114" s="438"/>
      <c r="AG114" s="438"/>
      <c r="AH114" s="438"/>
      <c r="AI114" s="438"/>
      <c r="AJ114" s="438"/>
      <c r="AK114" s="438"/>
      <c r="AL114" s="438"/>
      <c r="AM114" s="438"/>
      <c r="AN114" s="438"/>
      <c r="AR114" s="486"/>
    </row>
    <row r="115" spans="16:44" s="400" customFormat="1">
      <c r="P115" s="438"/>
      <c r="Q115" s="438"/>
      <c r="R115" s="438"/>
      <c r="S115" s="438"/>
      <c r="T115" s="438"/>
      <c r="U115" s="438"/>
      <c r="V115" s="438"/>
      <c r="W115" s="438"/>
      <c r="X115" s="438"/>
      <c r="Y115" s="438"/>
      <c r="Z115" s="438"/>
      <c r="AA115" s="438"/>
      <c r="AC115" s="438"/>
      <c r="AD115" s="438"/>
      <c r="AE115" s="438"/>
      <c r="AF115" s="438"/>
      <c r="AG115" s="438"/>
      <c r="AH115" s="438"/>
      <c r="AI115" s="438"/>
      <c r="AJ115" s="438"/>
      <c r="AK115" s="438"/>
      <c r="AL115" s="438"/>
      <c r="AM115" s="438"/>
      <c r="AN115" s="438"/>
      <c r="AR115" s="486"/>
    </row>
    <row r="116" spans="16:44" s="400" customFormat="1">
      <c r="P116" s="438"/>
      <c r="Q116" s="438"/>
      <c r="R116" s="438"/>
      <c r="S116" s="438"/>
      <c r="T116" s="438"/>
      <c r="U116" s="438"/>
      <c r="V116" s="438"/>
      <c r="W116" s="438"/>
      <c r="X116" s="438"/>
      <c r="Y116" s="438"/>
      <c r="Z116" s="438"/>
      <c r="AA116" s="438"/>
      <c r="AC116" s="438"/>
      <c r="AD116" s="438"/>
      <c r="AE116" s="438"/>
      <c r="AF116" s="438"/>
      <c r="AG116" s="438"/>
      <c r="AH116" s="438"/>
      <c r="AI116" s="438"/>
      <c r="AJ116" s="438"/>
      <c r="AK116" s="438"/>
      <c r="AL116" s="438"/>
      <c r="AM116" s="438"/>
      <c r="AN116" s="438"/>
      <c r="AR116" s="486"/>
    </row>
    <row r="117" spans="16:44" s="400" customFormat="1">
      <c r="P117" s="438"/>
      <c r="Q117" s="438"/>
      <c r="R117" s="438"/>
      <c r="S117" s="438"/>
      <c r="T117" s="438"/>
      <c r="U117" s="438"/>
      <c r="V117" s="438"/>
      <c r="W117" s="438"/>
      <c r="X117" s="438"/>
      <c r="Y117" s="438"/>
      <c r="Z117" s="438"/>
      <c r="AA117" s="438"/>
      <c r="AC117" s="438"/>
      <c r="AD117" s="438"/>
      <c r="AE117" s="438"/>
      <c r="AF117" s="438"/>
      <c r="AG117" s="438"/>
      <c r="AH117" s="438"/>
      <c r="AI117" s="438"/>
      <c r="AJ117" s="438"/>
      <c r="AK117" s="438"/>
      <c r="AL117" s="438"/>
      <c r="AM117" s="438"/>
      <c r="AN117" s="438"/>
      <c r="AR117" s="486"/>
    </row>
    <row r="118" spans="16:44" s="400" customFormat="1">
      <c r="P118" s="438"/>
      <c r="Q118" s="438"/>
      <c r="R118" s="438"/>
      <c r="S118" s="438"/>
      <c r="T118" s="438"/>
      <c r="U118" s="438"/>
      <c r="V118" s="438"/>
      <c r="W118" s="438"/>
      <c r="X118" s="438"/>
      <c r="Y118" s="438"/>
      <c r="Z118" s="438"/>
      <c r="AA118" s="438"/>
      <c r="AC118" s="438"/>
      <c r="AD118" s="438"/>
      <c r="AE118" s="438"/>
      <c r="AF118" s="438"/>
      <c r="AG118" s="438"/>
      <c r="AH118" s="438"/>
      <c r="AI118" s="438"/>
      <c r="AJ118" s="438"/>
      <c r="AK118" s="438"/>
      <c r="AL118" s="438"/>
      <c r="AM118" s="438"/>
      <c r="AN118" s="438"/>
      <c r="AR118" s="486"/>
    </row>
    <row r="119" spans="16:44" s="400" customFormat="1">
      <c r="P119" s="438"/>
      <c r="Q119" s="438"/>
      <c r="R119" s="438"/>
      <c r="S119" s="438"/>
      <c r="T119" s="438"/>
      <c r="U119" s="438"/>
      <c r="V119" s="438"/>
      <c r="W119" s="438"/>
      <c r="X119" s="438"/>
      <c r="Y119" s="438"/>
      <c r="Z119" s="438"/>
      <c r="AA119" s="438"/>
      <c r="AC119" s="438"/>
      <c r="AD119" s="438"/>
      <c r="AE119" s="438"/>
      <c r="AF119" s="438"/>
      <c r="AG119" s="438"/>
      <c r="AH119" s="438"/>
      <c r="AI119" s="438"/>
      <c r="AJ119" s="438"/>
      <c r="AK119" s="438"/>
      <c r="AL119" s="438"/>
      <c r="AM119" s="438"/>
      <c r="AN119" s="438"/>
      <c r="AR119" s="486"/>
    </row>
    <row r="120" spans="16:44" s="400" customFormat="1">
      <c r="P120" s="438"/>
      <c r="Q120" s="438"/>
      <c r="R120" s="438"/>
      <c r="S120" s="438"/>
      <c r="T120" s="438"/>
      <c r="U120" s="438"/>
      <c r="V120" s="438"/>
      <c r="W120" s="438"/>
      <c r="X120" s="438"/>
      <c r="Y120" s="438"/>
      <c r="Z120" s="438"/>
      <c r="AA120" s="438"/>
      <c r="AC120" s="438"/>
      <c r="AD120" s="438"/>
      <c r="AE120" s="438"/>
      <c r="AF120" s="438"/>
      <c r="AG120" s="438"/>
      <c r="AH120" s="438"/>
      <c r="AI120" s="438"/>
      <c r="AJ120" s="438"/>
      <c r="AK120" s="438"/>
      <c r="AL120" s="438"/>
      <c r="AM120" s="438"/>
      <c r="AN120" s="438"/>
      <c r="AR120" s="486"/>
    </row>
    <row r="121" spans="16:44" s="400" customFormat="1">
      <c r="P121" s="438"/>
      <c r="Q121" s="438"/>
      <c r="R121" s="438"/>
      <c r="S121" s="438"/>
      <c r="T121" s="438"/>
      <c r="U121" s="438"/>
      <c r="V121" s="438"/>
      <c r="W121" s="438"/>
      <c r="X121" s="438"/>
      <c r="Y121" s="438"/>
      <c r="Z121" s="438"/>
      <c r="AA121" s="438"/>
      <c r="AC121" s="438"/>
      <c r="AD121" s="438"/>
      <c r="AE121" s="438"/>
      <c r="AF121" s="438"/>
      <c r="AG121" s="438"/>
      <c r="AH121" s="438"/>
      <c r="AI121" s="438"/>
      <c r="AJ121" s="438"/>
      <c r="AK121" s="438"/>
      <c r="AL121" s="438"/>
      <c r="AM121" s="438"/>
      <c r="AN121" s="438"/>
      <c r="AR121" s="486"/>
    </row>
    <row r="122" spans="16:44" s="400" customFormat="1">
      <c r="P122" s="438"/>
      <c r="Q122" s="438"/>
      <c r="R122" s="438"/>
      <c r="S122" s="438"/>
      <c r="T122" s="438"/>
      <c r="U122" s="438"/>
      <c r="V122" s="438"/>
      <c r="W122" s="438"/>
      <c r="X122" s="438"/>
      <c r="Y122" s="438"/>
      <c r="Z122" s="438"/>
      <c r="AA122" s="438"/>
      <c r="AC122" s="438"/>
      <c r="AD122" s="438"/>
      <c r="AE122" s="438"/>
      <c r="AF122" s="438"/>
      <c r="AG122" s="438"/>
      <c r="AH122" s="438"/>
      <c r="AI122" s="438"/>
      <c r="AJ122" s="438"/>
      <c r="AK122" s="438"/>
      <c r="AL122" s="438"/>
      <c r="AM122" s="438"/>
      <c r="AN122" s="438"/>
      <c r="AR122" s="486"/>
    </row>
    <row r="123" spans="16:44" s="400" customFormat="1">
      <c r="P123" s="438"/>
      <c r="Q123" s="438"/>
      <c r="R123" s="438"/>
      <c r="S123" s="438"/>
      <c r="T123" s="438"/>
      <c r="U123" s="438"/>
      <c r="V123" s="438"/>
      <c r="W123" s="438"/>
      <c r="X123" s="438"/>
      <c r="Y123" s="438"/>
      <c r="Z123" s="438"/>
      <c r="AA123" s="438"/>
      <c r="AC123" s="438"/>
      <c r="AD123" s="438"/>
      <c r="AE123" s="438"/>
      <c r="AF123" s="438"/>
      <c r="AG123" s="438"/>
      <c r="AH123" s="438"/>
      <c r="AI123" s="438"/>
      <c r="AJ123" s="438"/>
      <c r="AK123" s="438"/>
      <c r="AL123" s="438"/>
      <c r="AM123" s="438"/>
      <c r="AN123" s="438"/>
      <c r="AR123" s="486"/>
    </row>
    <row r="124" spans="16:44" s="400" customFormat="1">
      <c r="P124" s="438"/>
      <c r="Q124" s="438"/>
      <c r="R124" s="438"/>
      <c r="S124" s="438"/>
      <c r="T124" s="438"/>
      <c r="U124" s="438"/>
      <c r="V124" s="438"/>
      <c r="W124" s="438"/>
      <c r="X124" s="438"/>
      <c r="Y124" s="438"/>
      <c r="Z124" s="438"/>
      <c r="AA124" s="438"/>
      <c r="AC124" s="438"/>
      <c r="AD124" s="438"/>
      <c r="AE124" s="438"/>
      <c r="AF124" s="438"/>
      <c r="AG124" s="438"/>
      <c r="AH124" s="438"/>
      <c r="AI124" s="438"/>
      <c r="AJ124" s="438"/>
      <c r="AK124" s="438"/>
      <c r="AL124" s="438"/>
      <c r="AM124" s="438"/>
      <c r="AN124" s="438"/>
      <c r="AR124" s="486"/>
    </row>
    <row r="125" spans="16:44" s="400" customFormat="1">
      <c r="P125" s="438"/>
      <c r="Q125" s="438"/>
      <c r="R125" s="438"/>
      <c r="S125" s="438"/>
      <c r="T125" s="438"/>
      <c r="U125" s="438"/>
      <c r="V125" s="438"/>
      <c r="W125" s="438"/>
      <c r="X125" s="438"/>
      <c r="Y125" s="438"/>
      <c r="Z125" s="438"/>
      <c r="AA125" s="438"/>
      <c r="AC125" s="438"/>
      <c r="AD125" s="438"/>
      <c r="AE125" s="438"/>
      <c r="AF125" s="438"/>
      <c r="AG125" s="438"/>
      <c r="AH125" s="438"/>
      <c r="AI125" s="438"/>
      <c r="AJ125" s="438"/>
      <c r="AK125" s="438"/>
      <c r="AL125" s="438"/>
      <c r="AM125" s="438"/>
      <c r="AN125" s="438"/>
      <c r="AR125" s="486"/>
    </row>
    <row r="126" spans="16:44" s="400" customFormat="1">
      <c r="P126" s="438"/>
      <c r="Q126" s="438"/>
      <c r="R126" s="438"/>
      <c r="S126" s="438"/>
      <c r="T126" s="438"/>
      <c r="U126" s="438"/>
      <c r="V126" s="438"/>
      <c r="W126" s="438"/>
      <c r="X126" s="438"/>
      <c r="Y126" s="438"/>
      <c r="Z126" s="438"/>
      <c r="AA126" s="438"/>
      <c r="AC126" s="438"/>
      <c r="AD126" s="438"/>
      <c r="AE126" s="438"/>
      <c r="AF126" s="438"/>
      <c r="AG126" s="438"/>
      <c r="AH126" s="438"/>
      <c r="AI126" s="438"/>
      <c r="AJ126" s="438"/>
      <c r="AK126" s="438"/>
      <c r="AL126" s="438"/>
      <c r="AM126" s="438"/>
      <c r="AN126" s="438"/>
      <c r="AR126" s="486"/>
    </row>
    <row r="127" spans="16:44" s="400" customFormat="1">
      <c r="P127" s="438"/>
      <c r="Q127" s="438"/>
      <c r="R127" s="438"/>
      <c r="S127" s="438"/>
      <c r="T127" s="438"/>
      <c r="U127" s="438"/>
      <c r="V127" s="438"/>
      <c r="W127" s="438"/>
      <c r="X127" s="438"/>
      <c r="Y127" s="438"/>
      <c r="Z127" s="438"/>
      <c r="AA127" s="438"/>
      <c r="AC127" s="438"/>
      <c r="AD127" s="438"/>
      <c r="AE127" s="438"/>
      <c r="AF127" s="438"/>
      <c r="AG127" s="438"/>
      <c r="AH127" s="438"/>
      <c r="AI127" s="438"/>
      <c r="AJ127" s="438"/>
      <c r="AK127" s="438"/>
      <c r="AL127" s="438"/>
      <c r="AM127" s="438"/>
      <c r="AN127" s="438"/>
      <c r="AR127" s="486"/>
    </row>
    <row r="128" spans="16:44" s="400" customFormat="1">
      <c r="P128" s="438"/>
      <c r="Q128" s="438"/>
      <c r="R128" s="438"/>
      <c r="S128" s="438"/>
      <c r="T128" s="438"/>
      <c r="U128" s="438"/>
      <c r="V128" s="438"/>
      <c r="W128" s="438"/>
      <c r="X128" s="438"/>
      <c r="Y128" s="438"/>
      <c r="Z128" s="438"/>
      <c r="AA128" s="438"/>
      <c r="AC128" s="438"/>
      <c r="AD128" s="438"/>
      <c r="AE128" s="438"/>
      <c r="AF128" s="438"/>
      <c r="AG128" s="438"/>
      <c r="AH128" s="438"/>
      <c r="AI128" s="438"/>
      <c r="AJ128" s="438"/>
      <c r="AK128" s="438"/>
      <c r="AL128" s="438"/>
      <c r="AM128" s="438"/>
      <c r="AN128" s="438"/>
      <c r="AR128" s="486"/>
    </row>
    <row r="129" spans="16:44" s="400" customFormat="1">
      <c r="P129" s="438"/>
      <c r="Q129" s="438"/>
      <c r="R129" s="438"/>
      <c r="S129" s="438"/>
      <c r="T129" s="438"/>
      <c r="U129" s="438"/>
      <c r="V129" s="438"/>
      <c r="W129" s="438"/>
      <c r="X129" s="438"/>
      <c r="Y129" s="438"/>
      <c r="Z129" s="438"/>
      <c r="AA129" s="438"/>
      <c r="AC129" s="438"/>
      <c r="AD129" s="438"/>
      <c r="AE129" s="438"/>
      <c r="AF129" s="438"/>
      <c r="AG129" s="438"/>
      <c r="AH129" s="438"/>
      <c r="AI129" s="438"/>
      <c r="AJ129" s="438"/>
      <c r="AK129" s="438"/>
      <c r="AL129" s="438"/>
      <c r="AM129" s="438"/>
      <c r="AN129" s="438"/>
      <c r="AR129" s="486"/>
    </row>
    <row r="130" spans="16:44" s="400" customFormat="1">
      <c r="P130" s="438"/>
      <c r="Q130" s="438"/>
      <c r="R130" s="438"/>
      <c r="S130" s="438"/>
      <c r="T130" s="438"/>
      <c r="U130" s="438"/>
      <c r="V130" s="438"/>
      <c r="W130" s="438"/>
      <c r="X130" s="438"/>
      <c r="Y130" s="438"/>
      <c r="Z130" s="438"/>
      <c r="AA130" s="438"/>
      <c r="AC130" s="438"/>
      <c r="AD130" s="438"/>
      <c r="AE130" s="438"/>
      <c r="AF130" s="438"/>
      <c r="AG130" s="438"/>
      <c r="AH130" s="438"/>
      <c r="AI130" s="438"/>
      <c r="AJ130" s="438"/>
      <c r="AK130" s="438"/>
      <c r="AL130" s="438"/>
      <c r="AM130" s="438"/>
      <c r="AN130" s="438"/>
      <c r="AR130" s="486"/>
    </row>
    <row r="131" spans="16:44" s="400" customFormat="1">
      <c r="P131" s="438"/>
      <c r="Q131" s="438"/>
      <c r="R131" s="438"/>
      <c r="S131" s="438"/>
      <c r="T131" s="438"/>
      <c r="U131" s="438"/>
      <c r="V131" s="438"/>
      <c r="W131" s="438"/>
      <c r="X131" s="438"/>
      <c r="Y131" s="438"/>
      <c r="Z131" s="438"/>
      <c r="AA131" s="438"/>
      <c r="AC131" s="438"/>
      <c r="AD131" s="438"/>
      <c r="AE131" s="438"/>
      <c r="AF131" s="438"/>
      <c r="AG131" s="438"/>
      <c r="AH131" s="438"/>
      <c r="AI131" s="438"/>
      <c r="AJ131" s="438"/>
      <c r="AK131" s="438"/>
      <c r="AL131" s="438"/>
      <c r="AM131" s="438"/>
      <c r="AN131" s="438"/>
      <c r="AR131" s="486"/>
    </row>
    <row r="132" spans="16:44" s="400" customFormat="1">
      <c r="P132" s="438"/>
      <c r="Q132" s="438"/>
      <c r="R132" s="438"/>
      <c r="S132" s="438"/>
      <c r="T132" s="438"/>
      <c r="U132" s="438"/>
      <c r="V132" s="438"/>
      <c r="W132" s="438"/>
      <c r="X132" s="438"/>
      <c r="Y132" s="438"/>
      <c r="Z132" s="438"/>
      <c r="AA132" s="438"/>
      <c r="AC132" s="438"/>
      <c r="AD132" s="438"/>
      <c r="AE132" s="438"/>
      <c r="AF132" s="438"/>
      <c r="AG132" s="438"/>
      <c r="AH132" s="438"/>
      <c r="AI132" s="438"/>
      <c r="AJ132" s="438"/>
      <c r="AK132" s="438"/>
      <c r="AL132" s="438"/>
      <c r="AM132" s="438"/>
      <c r="AN132" s="438"/>
      <c r="AR132" s="486"/>
    </row>
    <row r="133" spans="16:44" s="400" customFormat="1">
      <c r="P133" s="438"/>
      <c r="Q133" s="438"/>
      <c r="R133" s="438"/>
      <c r="S133" s="438"/>
      <c r="T133" s="438"/>
      <c r="U133" s="438"/>
      <c r="V133" s="438"/>
      <c r="W133" s="438"/>
      <c r="X133" s="438"/>
      <c r="Y133" s="438"/>
      <c r="Z133" s="438"/>
      <c r="AA133" s="438"/>
      <c r="AC133" s="438"/>
      <c r="AD133" s="438"/>
      <c r="AE133" s="438"/>
      <c r="AF133" s="438"/>
      <c r="AG133" s="438"/>
      <c r="AH133" s="438"/>
      <c r="AI133" s="438"/>
      <c r="AJ133" s="438"/>
      <c r="AK133" s="438"/>
      <c r="AL133" s="438"/>
      <c r="AM133" s="438"/>
      <c r="AN133" s="438"/>
      <c r="AR133" s="486"/>
    </row>
    <row r="134" spans="16:44" s="400" customFormat="1">
      <c r="P134" s="438"/>
      <c r="Q134" s="438"/>
      <c r="R134" s="438"/>
      <c r="S134" s="438"/>
      <c r="T134" s="438"/>
      <c r="U134" s="438"/>
      <c r="V134" s="438"/>
      <c r="W134" s="438"/>
      <c r="X134" s="438"/>
      <c r="Y134" s="438"/>
      <c r="Z134" s="438"/>
      <c r="AA134" s="438"/>
      <c r="AC134" s="438"/>
      <c r="AD134" s="438"/>
      <c r="AE134" s="438"/>
      <c r="AF134" s="438"/>
      <c r="AG134" s="438"/>
      <c r="AH134" s="438"/>
      <c r="AI134" s="438"/>
      <c r="AJ134" s="438"/>
      <c r="AK134" s="438"/>
      <c r="AL134" s="438"/>
      <c r="AM134" s="438"/>
      <c r="AN134" s="438"/>
      <c r="AR134" s="486"/>
    </row>
    <row r="135" spans="16:44" s="400" customFormat="1">
      <c r="P135" s="438"/>
      <c r="Q135" s="438"/>
      <c r="R135" s="438"/>
      <c r="S135" s="438"/>
      <c r="T135" s="438"/>
      <c r="U135" s="438"/>
      <c r="V135" s="438"/>
      <c r="W135" s="438"/>
      <c r="X135" s="438"/>
      <c r="Y135" s="438"/>
      <c r="Z135" s="438"/>
      <c r="AA135" s="438"/>
      <c r="AC135" s="438"/>
      <c r="AD135" s="438"/>
      <c r="AE135" s="438"/>
      <c r="AF135" s="438"/>
      <c r="AG135" s="438"/>
      <c r="AH135" s="438"/>
      <c r="AI135" s="438"/>
      <c r="AJ135" s="438"/>
      <c r="AK135" s="438"/>
      <c r="AL135" s="438"/>
      <c r="AM135" s="438"/>
      <c r="AN135" s="438"/>
      <c r="AR135" s="486"/>
    </row>
    <row r="136" spans="16:44" s="400" customFormat="1">
      <c r="P136" s="438"/>
      <c r="Q136" s="438"/>
      <c r="R136" s="438"/>
      <c r="S136" s="438"/>
      <c r="T136" s="438"/>
      <c r="U136" s="438"/>
      <c r="V136" s="438"/>
      <c r="W136" s="438"/>
      <c r="X136" s="438"/>
      <c r="Y136" s="438"/>
      <c r="Z136" s="438"/>
      <c r="AA136" s="438"/>
      <c r="AC136" s="438"/>
      <c r="AD136" s="438"/>
      <c r="AE136" s="438"/>
      <c r="AF136" s="438"/>
      <c r="AG136" s="438"/>
      <c r="AH136" s="438"/>
      <c r="AI136" s="438"/>
      <c r="AJ136" s="438"/>
      <c r="AK136" s="438"/>
      <c r="AL136" s="438"/>
      <c r="AM136" s="438"/>
      <c r="AN136" s="438"/>
      <c r="AR136" s="486"/>
    </row>
    <row r="137" spans="16:44" s="400" customFormat="1">
      <c r="P137" s="438"/>
      <c r="Q137" s="438"/>
      <c r="R137" s="438"/>
      <c r="S137" s="438"/>
      <c r="T137" s="438"/>
      <c r="U137" s="438"/>
      <c r="V137" s="438"/>
      <c r="W137" s="438"/>
      <c r="X137" s="438"/>
      <c r="Y137" s="438"/>
      <c r="Z137" s="438"/>
      <c r="AA137" s="438"/>
      <c r="AC137" s="438"/>
      <c r="AD137" s="438"/>
      <c r="AE137" s="438"/>
      <c r="AF137" s="438"/>
      <c r="AG137" s="438"/>
      <c r="AH137" s="438"/>
      <c r="AI137" s="438"/>
      <c r="AJ137" s="438"/>
      <c r="AK137" s="438"/>
      <c r="AL137" s="438"/>
      <c r="AM137" s="438"/>
      <c r="AN137" s="438"/>
      <c r="AR137" s="486"/>
    </row>
    <row r="138" spans="16:44" s="400" customFormat="1">
      <c r="P138" s="438"/>
      <c r="Q138" s="438"/>
      <c r="R138" s="438"/>
      <c r="S138" s="438"/>
      <c r="T138" s="438"/>
      <c r="U138" s="438"/>
      <c r="V138" s="438"/>
      <c r="W138" s="438"/>
      <c r="X138" s="438"/>
      <c r="Y138" s="438"/>
      <c r="Z138" s="438"/>
      <c r="AA138" s="438"/>
      <c r="AC138" s="438"/>
      <c r="AD138" s="438"/>
      <c r="AE138" s="438"/>
      <c r="AF138" s="438"/>
      <c r="AG138" s="438"/>
      <c r="AH138" s="438"/>
      <c r="AI138" s="438"/>
      <c r="AJ138" s="438"/>
      <c r="AK138" s="438"/>
      <c r="AL138" s="438"/>
      <c r="AM138" s="438"/>
      <c r="AN138" s="438"/>
      <c r="AR138" s="486"/>
    </row>
    <row r="139" spans="16:44" s="400" customFormat="1">
      <c r="P139" s="438"/>
      <c r="Q139" s="438"/>
      <c r="R139" s="438"/>
      <c r="S139" s="438"/>
      <c r="T139" s="438"/>
      <c r="U139" s="438"/>
      <c r="V139" s="438"/>
      <c r="W139" s="438"/>
      <c r="X139" s="438"/>
      <c r="Y139" s="438"/>
      <c r="Z139" s="438"/>
      <c r="AA139" s="438"/>
      <c r="AC139" s="438"/>
      <c r="AD139" s="438"/>
      <c r="AE139" s="438"/>
      <c r="AF139" s="438"/>
      <c r="AG139" s="438"/>
      <c r="AH139" s="438"/>
      <c r="AI139" s="438"/>
      <c r="AJ139" s="438"/>
      <c r="AK139" s="438"/>
      <c r="AL139" s="438"/>
      <c r="AM139" s="438"/>
      <c r="AN139" s="438"/>
      <c r="AR139" s="486"/>
    </row>
    <row r="140" spans="16:44" s="400" customFormat="1">
      <c r="P140" s="438"/>
      <c r="Q140" s="438"/>
      <c r="R140" s="438"/>
      <c r="S140" s="438"/>
      <c r="T140" s="438"/>
      <c r="U140" s="438"/>
      <c r="V140" s="438"/>
      <c r="W140" s="438"/>
      <c r="X140" s="438"/>
      <c r="Y140" s="438"/>
      <c r="Z140" s="438"/>
      <c r="AA140" s="438"/>
      <c r="AC140" s="438"/>
      <c r="AD140" s="438"/>
      <c r="AE140" s="438"/>
      <c r="AF140" s="438"/>
      <c r="AG140" s="438"/>
      <c r="AH140" s="438"/>
      <c r="AI140" s="438"/>
      <c r="AJ140" s="438"/>
      <c r="AK140" s="438"/>
      <c r="AL140" s="438"/>
      <c r="AM140" s="438"/>
      <c r="AN140" s="438"/>
      <c r="AR140" s="486"/>
    </row>
    <row r="141" spans="16:44" s="400" customFormat="1">
      <c r="P141" s="438"/>
      <c r="Q141" s="438"/>
      <c r="R141" s="438"/>
      <c r="S141" s="438"/>
      <c r="T141" s="438"/>
      <c r="U141" s="438"/>
      <c r="V141" s="438"/>
      <c r="W141" s="438"/>
      <c r="X141" s="438"/>
      <c r="Y141" s="438"/>
      <c r="Z141" s="438"/>
      <c r="AA141" s="438"/>
      <c r="AC141" s="438"/>
      <c r="AD141" s="438"/>
      <c r="AE141" s="438"/>
      <c r="AF141" s="438"/>
      <c r="AG141" s="438"/>
      <c r="AH141" s="438"/>
      <c r="AI141" s="438"/>
      <c r="AJ141" s="438"/>
      <c r="AK141" s="438"/>
      <c r="AL141" s="438"/>
      <c r="AM141" s="438"/>
      <c r="AN141" s="438"/>
      <c r="AR141" s="486"/>
    </row>
    <row r="142" spans="16:44" s="400" customFormat="1">
      <c r="P142" s="438"/>
      <c r="Q142" s="438"/>
      <c r="R142" s="438"/>
      <c r="S142" s="438"/>
      <c r="T142" s="438"/>
      <c r="U142" s="438"/>
      <c r="V142" s="438"/>
      <c r="W142" s="438"/>
      <c r="X142" s="438"/>
      <c r="Y142" s="438"/>
      <c r="Z142" s="438"/>
      <c r="AA142" s="438"/>
      <c r="AC142" s="438"/>
      <c r="AD142" s="438"/>
      <c r="AE142" s="438"/>
      <c r="AF142" s="438"/>
      <c r="AG142" s="438"/>
      <c r="AH142" s="438"/>
      <c r="AI142" s="438"/>
      <c r="AJ142" s="438"/>
      <c r="AK142" s="438"/>
      <c r="AL142" s="438"/>
      <c r="AM142" s="438"/>
      <c r="AN142" s="438"/>
      <c r="AR142" s="486"/>
    </row>
    <row r="143" spans="16:44" s="400" customFormat="1">
      <c r="P143" s="438"/>
      <c r="Q143" s="438"/>
      <c r="R143" s="438"/>
      <c r="S143" s="438"/>
      <c r="T143" s="438"/>
      <c r="U143" s="438"/>
      <c r="V143" s="438"/>
      <c r="W143" s="438"/>
      <c r="X143" s="438"/>
      <c r="Y143" s="438"/>
      <c r="Z143" s="438"/>
      <c r="AA143" s="438"/>
      <c r="AC143" s="438"/>
      <c r="AD143" s="438"/>
      <c r="AE143" s="438"/>
      <c r="AF143" s="438"/>
      <c r="AG143" s="438"/>
      <c r="AH143" s="438"/>
      <c r="AI143" s="438"/>
      <c r="AJ143" s="438"/>
      <c r="AK143" s="438"/>
      <c r="AL143" s="438"/>
      <c r="AM143" s="438"/>
      <c r="AN143" s="438"/>
      <c r="AR143" s="486"/>
    </row>
    <row r="144" spans="16:44" s="400" customFormat="1">
      <c r="P144" s="438"/>
      <c r="Q144" s="438"/>
      <c r="R144" s="438"/>
      <c r="S144" s="438"/>
      <c r="T144" s="438"/>
      <c r="U144" s="438"/>
      <c r="V144" s="438"/>
      <c r="W144" s="438"/>
      <c r="X144" s="438"/>
      <c r="Y144" s="438"/>
      <c r="Z144" s="438"/>
      <c r="AA144" s="438"/>
      <c r="AC144" s="438"/>
      <c r="AD144" s="438"/>
      <c r="AE144" s="438"/>
      <c r="AF144" s="438"/>
      <c r="AG144" s="438"/>
      <c r="AH144" s="438"/>
      <c r="AI144" s="438"/>
      <c r="AJ144" s="438"/>
      <c r="AK144" s="438"/>
      <c r="AL144" s="438"/>
      <c r="AM144" s="438"/>
      <c r="AN144" s="438"/>
      <c r="AR144" s="486"/>
    </row>
    <row r="145" spans="16:44" s="400" customFormat="1">
      <c r="P145" s="438"/>
      <c r="Q145" s="438"/>
      <c r="R145" s="438"/>
      <c r="S145" s="438"/>
      <c r="T145" s="438"/>
      <c r="U145" s="438"/>
      <c r="V145" s="438"/>
      <c r="W145" s="438"/>
      <c r="X145" s="438"/>
      <c r="Y145" s="438"/>
      <c r="Z145" s="438"/>
      <c r="AA145" s="438"/>
      <c r="AC145" s="438"/>
      <c r="AD145" s="438"/>
      <c r="AE145" s="438"/>
      <c r="AF145" s="438"/>
      <c r="AG145" s="438"/>
      <c r="AH145" s="438"/>
      <c r="AI145" s="438"/>
      <c r="AJ145" s="438"/>
      <c r="AK145" s="438"/>
      <c r="AL145" s="438"/>
      <c r="AM145" s="438"/>
      <c r="AN145" s="438"/>
      <c r="AR145" s="486"/>
    </row>
    <row r="146" spans="16:44" s="400" customFormat="1">
      <c r="P146" s="438"/>
      <c r="Q146" s="438"/>
      <c r="R146" s="438"/>
      <c r="S146" s="438"/>
      <c r="T146" s="438"/>
      <c r="U146" s="438"/>
      <c r="V146" s="438"/>
      <c r="W146" s="438"/>
      <c r="X146" s="438"/>
      <c r="Y146" s="438"/>
      <c r="Z146" s="438"/>
      <c r="AA146" s="438"/>
      <c r="AC146" s="438"/>
      <c r="AD146" s="438"/>
      <c r="AE146" s="438"/>
      <c r="AF146" s="438"/>
      <c r="AG146" s="438"/>
      <c r="AH146" s="438"/>
      <c r="AI146" s="438"/>
      <c r="AJ146" s="438"/>
      <c r="AK146" s="438"/>
      <c r="AL146" s="438"/>
      <c r="AM146" s="438"/>
      <c r="AN146" s="438"/>
      <c r="AR146" s="486"/>
    </row>
    <row r="147" spans="16:44" s="400" customFormat="1">
      <c r="P147" s="438"/>
      <c r="Q147" s="438"/>
      <c r="R147" s="438"/>
      <c r="S147" s="438"/>
      <c r="T147" s="438"/>
      <c r="U147" s="438"/>
      <c r="V147" s="438"/>
      <c r="W147" s="438"/>
      <c r="X147" s="438"/>
      <c r="Y147" s="438"/>
      <c r="Z147" s="438"/>
      <c r="AA147" s="438"/>
      <c r="AC147" s="438"/>
      <c r="AD147" s="438"/>
      <c r="AE147" s="438"/>
      <c r="AF147" s="438"/>
      <c r="AG147" s="438"/>
      <c r="AH147" s="438"/>
      <c r="AI147" s="438"/>
      <c r="AJ147" s="438"/>
      <c r="AK147" s="438"/>
      <c r="AL147" s="438"/>
      <c r="AM147" s="438"/>
      <c r="AN147" s="438"/>
      <c r="AR147" s="486"/>
    </row>
    <row r="148" spans="16:44" s="400" customFormat="1">
      <c r="P148" s="438"/>
      <c r="Q148" s="438"/>
      <c r="R148" s="438"/>
      <c r="S148" s="438"/>
      <c r="T148" s="438"/>
      <c r="U148" s="438"/>
      <c r="V148" s="438"/>
      <c r="W148" s="438"/>
      <c r="X148" s="438"/>
      <c r="Y148" s="438"/>
      <c r="Z148" s="438"/>
      <c r="AA148" s="438"/>
      <c r="AC148" s="438"/>
      <c r="AD148" s="438"/>
      <c r="AE148" s="438"/>
      <c r="AF148" s="438"/>
      <c r="AG148" s="438"/>
      <c r="AH148" s="438"/>
      <c r="AI148" s="438"/>
      <c r="AJ148" s="438"/>
      <c r="AK148" s="438"/>
      <c r="AL148" s="438"/>
      <c r="AM148" s="438"/>
      <c r="AN148" s="438"/>
      <c r="AR148" s="486"/>
    </row>
    <row r="149" spans="16:44" s="400" customFormat="1">
      <c r="P149" s="438"/>
      <c r="Q149" s="438"/>
      <c r="R149" s="438"/>
      <c r="S149" s="438"/>
      <c r="T149" s="438"/>
      <c r="U149" s="438"/>
      <c r="V149" s="438"/>
      <c r="W149" s="438"/>
      <c r="X149" s="438"/>
      <c r="Y149" s="438"/>
      <c r="Z149" s="438"/>
      <c r="AA149" s="438"/>
      <c r="AC149" s="438"/>
      <c r="AD149" s="438"/>
      <c r="AE149" s="438"/>
      <c r="AF149" s="438"/>
      <c r="AG149" s="438"/>
      <c r="AH149" s="438"/>
      <c r="AI149" s="438"/>
      <c r="AJ149" s="438"/>
      <c r="AK149" s="438"/>
      <c r="AL149" s="438"/>
      <c r="AM149" s="438"/>
      <c r="AN149" s="438"/>
      <c r="AR149" s="486"/>
    </row>
    <row r="150" spans="16:44" s="400" customFormat="1">
      <c r="P150" s="438"/>
      <c r="Q150" s="438"/>
      <c r="R150" s="438"/>
      <c r="S150" s="438"/>
      <c r="T150" s="438"/>
      <c r="U150" s="438"/>
      <c r="V150" s="438"/>
      <c r="W150" s="438"/>
      <c r="X150" s="438"/>
      <c r="Y150" s="438"/>
      <c r="Z150" s="438"/>
      <c r="AA150" s="438"/>
      <c r="AC150" s="438"/>
      <c r="AD150" s="438"/>
      <c r="AE150" s="438"/>
      <c r="AF150" s="438"/>
      <c r="AG150" s="438"/>
      <c r="AH150" s="438"/>
      <c r="AI150" s="438"/>
      <c r="AJ150" s="438"/>
      <c r="AK150" s="438"/>
      <c r="AL150" s="438"/>
      <c r="AM150" s="438"/>
      <c r="AN150" s="438"/>
      <c r="AR150" s="486"/>
    </row>
    <row r="151" spans="16:44" s="400" customFormat="1">
      <c r="P151" s="438"/>
      <c r="Q151" s="438"/>
      <c r="R151" s="438"/>
      <c r="S151" s="438"/>
      <c r="T151" s="438"/>
      <c r="U151" s="438"/>
      <c r="V151" s="438"/>
      <c r="W151" s="438"/>
      <c r="X151" s="438"/>
      <c r="Y151" s="438"/>
      <c r="Z151" s="438"/>
      <c r="AA151" s="438"/>
      <c r="AC151" s="438"/>
      <c r="AD151" s="438"/>
      <c r="AE151" s="438"/>
      <c r="AF151" s="438"/>
      <c r="AG151" s="438"/>
      <c r="AH151" s="438"/>
      <c r="AI151" s="438"/>
      <c r="AJ151" s="438"/>
      <c r="AK151" s="438"/>
      <c r="AL151" s="438"/>
      <c r="AM151" s="438"/>
      <c r="AN151" s="438"/>
      <c r="AR151" s="486"/>
    </row>
    <row r="152" spans="16:44" s="400" customFormat="1">
      <c r="P152" s="438"/>
      <c r="Q152" s="438"/>
      <c r="R152" s="438"/>
      <c r="S152" s="438"/>
      <c r="T152" s="438"/>
      <c r="U152" s="438"/>
      <c r="V152" s="438"/>
      <c r="W152" s="438"/>
      <c r="X152" s="438"/>
      <c r="Y152" s="438"/>
      <c r="Z152" s="438"/>
      <c r="AA152" s="438"/>
      <c r="AC152" s="438"/>
      <c r="AD152" s="438"/>
      <c r="AE152" s="438"/>
      <c r="AF152" s="438"/>
      <c r="AG152" s="438"/>
      <c r="AH152" s="438"/>
      <c r="AI152" s="438"/>
      <c r="AJ152" s="438"/>
      <c r="AK152" s="438"/>
      <c r="AL152" s="438"/>
      <c r="AM152" s="438"/>
      <c r="AN152" s="438"/>
      <c r="AR152" s="486"/>
    </row>
    <row r="153" spans="16:44" s="400" customFormat="1">
      <c r="P153" s="438"/>
      <c r="Q153" s="438"/>
      <c r="R153" s="438"/>
      <c r="S153" s="438"/>
      <c r="T153" s="438"/>
      <c r="U153" s="438"/>
      <c r="V153" s="438"/>
      <c r="W153" s="438"/>
      <c r="X153" s="438"/>
      <c r="Y153" s="438"/>
      <c r="Z153" s="438"/>
      <c r="AA153" s="438"/>
      <c r="AC153" s="438"/>
      <c r="AD153" s="438"/>
      <c r="AE153" s="438"/>
      <c r="AF153" s="438"/>
      <c r="AG153" s="438"/>
      <c r="AH153" s="438"/>
      <c r="AI153" s="438"/>
      <c r="AJ153" s="438"/>
      <c r="AK153" s="438"/>
      <c r="AL153" s="438"/>
      <c r="AM153" s="438"/>
      <c r="AN153" s="438"/>
      <c r="AR153" s="486"/>
    </row>
    <row r="154" spans="16:44" s="400" customFormat="1">
      <c r="P154" s="438"/>
      <c r="Q154" s="438"/>
      <c r="R154" s="438"/>
      <c r="S154" s="438"/>
      <c r="T154" s="438"/>
      <c r="U154" s="438"/>
      <c r="V154" s="438"/>
      <c r="W154" s="438"/>
      <c r="X154" s="438"/>
      <c r="Y154" s="438"/>
      <c r="Z154" s="438"/>
      <c r="AA154" s="438"/>
      <c r="AC154" s="438"/>
      <c r="AD154" s="438"/>
      <c r="AE154" s="438"/>
      <c r="AF154" s="438"/>
      <c r="AG154" s="438"/>
      <c r="AH154" s="438"/>
      <c r="AI154" s="438"/>
      <c r="AJ154" s="438"/>
      <c r="AK154" s="438"/>
      <c r="AL154" s="438"/>
      <c r="AM154" s="438"/>
      <c r="AN154" s="438"/>
      <c r="AR154" s="486"/>
    </row>
    <row r="155" spans="16:44" s="400" customFormat="1">
      <c r="P155" s="438"/>
      <c r="Q155" s="438"/>
      <c r="R155" s="438"/>
      <c r="S155" s="438"/>
      <c r="T155" s="438"/>
      <c r="U155" s="438"/>
      <c r="V155" s="438"/>
      <c r="W155" s="438"/>
      <c r="X155" s="438"/>
      <c r="Y155" s="438"/>
      <c r="Z155" s="438"/>
      <c r="AA155" s="438"/>
      <c r="AC155" s="438"/>
      <c r="AD155" s="438"/>
      <c r="AE155" s="438"/>
      <c r="AF155" s="438"/>
      <c r="AG155" s="438"/>
      <c r="AH155" s="438"/>
      <c r="AI155" s="438"/>
      <c r="AJ155" s="438"/>
      <c r="AK155" s="438"/>
      <c r="AL155" s="438"/>
      <c r="AM155" s="438"/>
      <c r="AN155" s="438"/>
      <c r="AR155" s="486"/>
    </row>
    <row r="156" spans="16:44" s="400" customFormat="1">
      <c r="P156" s="438"/>
      <c r="Q156" s="438"/>
      <c r="R156" s="438"/>
      <c r="S156" s="438"/>
      <c r="T156" s="438"/>
      <c r="U156" s="438"/>
      <c r="V156" s="438"/>
      <c r="W156" s="438"/>
      <c r="X156" s="438"/>
      <c r="Y156" s="438"/>
      <c r="Z156" s="438"/>
      <c r="AA156" s="438"/>
      <c r="AC156" s="438"/>
      <c r="AD156" s="438"/>
      <c r="AE156" s="438"/>
      <c r="AF156" s="438"/>
      <c r="AG156" s="438"/>
      <c r="AH156" s="438"/>
      <c r="AI156" s="438"/>
      <c r="AJ156" s="438"/>
      <c r="AK156" s="438"/>
      <c r="AL156" s="438"/>
      <c r="AM156" s="438"/>
      <c r="AN156" s="438"/>
      <c r="AR156" s="486"/>
    </row>
    <row r="157" spans="16:44" s="400" customFormat="1">
      <c r="P157" s="438"/>
      <c r="Q157" s="438"/>
      <c r="R157" s="438"/>
      <c r="S157" s="438"/>
      <c r="T157" s="438"/>
      <c r="U157" s="438"/>
      <c r="V157" s="438"/>
      <c r="W157" s="438"/>
      <c r="X157" s="438"/>
      <c r="Y157" s="438"/>
      <c r="Z157" s="438"/>
      <c r="AA157" s="438"/>
      <c r="AC157" s="438"/>
      <c r="AD157" s="438"/>
      <c r="AE157" s="438"/>
      <c r="AF157" s="438"/>
      <c r="AG157" s="438"/>
      <c r="AH157" s="438"/>
      <c r="AI157" s="438"/>
      <c r="AJ157" s="438"/>
      <c r="AK157" s="438"/>
      <c r="AL157" s="438"/>
      <c r="AM157" s="438"/>
      <c r="AN157" s="438"/>
      <c r="AR157" s="486"/>
    </row>
    <row r="158" spans="16:44" s="400" customFormat="1">
      <c r="P158" s="438"/>
      <c r="Q158" s="438"/>
      <c r="R158" s="438"/>
      <c r="S158" s="438"/>
      <c r="T158" s="438"/>
      <c r="U158" s="438"/>
      <c r="V158" s="438"/>
      <c r="W158" s="438"/>
      <c r="X158" s="438"/>
      <c r="Y158" s="438"/>
      <c r="Z158" s="438"/>
      <c r="AA158" s="438"/>
      <c r="AC158" s="438"/>
      <c r="AD158" s="438"/>
      <c r="AE158" s="438"/>
      <c r="AF158" s="438"/>
      <c r="AG158" s="438"/>
      <c r="AH158" s="438"/>
      <c r="AI158" s="438"/>
      <c r="AJ158" s="438"/>
      <c r="AK158" s="438"/>
      <c r="AL158" s="438"/>
      <c r="AM158" s="438"/>
      <c r="AN158" s="438"/>
      <c r="AR158" s="486"/>
    </row>
    <row r="159" spans="16:44" s="400" customFormat="1">
      <c r="P159" s="438"/>
      <c r="Q159" s="438"/>
      <c r="R159" s="438"/>
      <c r="S159" s="438"/>
      <c r="T159" s="438"/>
      <c r="U159" s="438"/>
      <c r="V159" s="438"/>
      <c r="W159" s="438"/>
      <c r="X159" s="438"/>
      <c r="Y159" s="438"/>
      <c r="Z159" s="438"/>
      <c r="AA159" s="438"/>
      <c r="AC159" s="438"/>
      <c r="AD159" s="438"/>
      <c r="AE159" s="438"/>
      <c r="AF159" s="438"/>
      <c r="AG159" s="438"/>
      <c r="AH159" s="438"/>
      <c r="AI159" s="438"/>
      <c r="AJ159" s="438"/>
      <c r="AK159" s="438"/>
      <c r="AL159" s="438"/>
      <c r="AM159" s="438"/>
      <c r="AN159" s="438"/>
      <c r="AR159" s="486"/>
    </row>
    <row r="160" spans="16:44" s="400" customFormat="1">
      <c r="P160" s="438"/>
      <c r="Q160" s="438"/>
      <c r="R160" s="438"/>
      <c r="S160" s="438"/>
      <c r="T160" s="438"/>
      <c r="U160" s="438"/>
      <c r="V160" s="438"/>
      <c r="W160" s="438"/>
      <c r="X160" s="438"/>
      <c r="Y160" s="438"/>
      <c r="Z160" s="438"/>
      <c r="AA160" s="438"/>
      <c r="AC160" s="438"/>
      <c r="AD160" s="438"/>
      <c r="AE160" s="438"/>
      <c r="AF160" s="438"/>
      <c r="AG160" s="438"/>
      <c r="AH160" s="438"/>
      <c r="AI160" s="438"/>
      <c r="AJ160" s="438"/>
      <c r="AK160" s="438"/>
      <c r="AL160" s="438"/>
      <c r="AM160" s="438"/>
      <c r="AN160" s="438"/>
      <c r="AR160" s="486"/>
    </row>
    <row r="161" spans="16:44" s="400" customFormat="1">
      <c r="P161" s="438"/>
      <c r="Q161" s="438"/>
      <c r="R161" s="438"/>
      <c r="S161" s="438"/>
      <c r="T161" s="438"/>
      <c r="U161" s="438"/>
      <c r="V161" s="438"/>
      <c r="W161" s="438"/>
      <c r="X161" s="438"/>
      <c r="Y161" s="438"/>
      <c r="Z161" s="438"/>
      <c r="AA161" s="438"/>
      <c r="AC161" s="438"/>
      <c r="AD161" s="438"/>
      <c r="AE161" s="438"/>
      <c r="AF161" s="438"/>
      <c r="AG161" s="438"/>
      <c r="AH161" s="438"/>
      <c r="AI161" s="438"/>
      <c r="AJ161" s="438"/>
      <c r="AK161" s="438"/>
      <c r="AL161" s="438"/>
      <c r="AM161" s="438"/>
      <c r="AN161" s="438"/>
      <c r="AR161" s="486"/>
    </row>
    <row r="162" spans="16:44" s="400" customFormat="1">
      <c r="P162" s="438"/>
      <c r="Q162" s="438"/>
      <c r="R162" s="438"/>
      <c r="S162" s="438"/>
      <c r="T162" s="438"/>
      <c r="U162" s="438"/>
      <c r="V162" s="438"/>
      <c r="W162" s="438"/>
      <c r="X162" s="438"/>
      <c r="Y162" s="438"/>
      <c r="Z162" s="438"/>
      <c r="AA162" s="438"/>
      <c r="AC162" s="438"/>
      <c r="AD162" s="438"/>
      <c r="AE162" s="438"/>
      <c r="AF162" s="438"/>
      <c r="AG162" s="438"/>
      <c r="AH162" s="438"/>
      <c r="AI162" s="438"/>
      <c r="AJ162" s="438"/>
      <c r="AK162" s="438"/>
      <c r="AL162" s="438"/>
      <c r="AM162" s="438"/>
      <c r="AN162" s="438"/>
      <c r="AR162" s="486"/>
    </row>
    <row r="163" spans="16:44" s="400" customFormat="1">
      <c r="P163" s="438"/>
      <c r="Q163" s="438"/>
      <c r="R163" s="438"/>
      <c r="S163" s="438"/>
      <c r="T163" s="438"/>
      <c r="U163" s="438"/>
      <c r="V163" s="438"/>
      <c r="W163" s="438"/>
      <c r="X163" s="438"/>
      <c r="Y163" s="438"/>
      <c r="Z163" s="438"/>
      <c r="AA163" s="438"/>
      <c r="AC163" s="438"/>
      <c r="AD163" s="438"/>
      <c r="AE163" s="438"/>
      <c r="AF163" s="438"/>
      <c r="AG163" s="438"/>
      <c r="AH163" s="438"/>
      <c r="AI163" s="438"/>
      <c r="AJ163" s="438"/>
      <c r="AK163" s="438"/>
      <c r="AL163" s="438"/>
      <c r="AM163" s="438"/>
      <c r="AN163" s="438"/>
      <c r="AR163" s="486"/>
    </row>
    <row r="164" spans="16:44" s="400" customFormat="1">
      <c r="P164" s="438"/>
      <c r="Q164" s="438"/>
      <c r="R164" s="438"/>
      <c r="S164" s="438"/>
      <c r="T164" s="438"/>
      <c r="U164" s="438"/>
      <c r="V164" s="438"/>
      <c r="W164" s="438"/>
      <c r="X164" s="438"/>
      <c r="Y164" s="438"/>
      <c r="Z164" s="438"/>
      <c r="AA164" s="438"/>
      <c r="AC164" s="438"/>
      <c r="AD164" s="438"/>
      <c r="AE164" s="438"/>
      <c r="AF164" s="438"/>
      <c r="AG164" s="438"/>
      <c r="AH164" s="438"/>
      <c r="AI164" s="438"/>
      <c r="AJ164" s="438"/>
      <c r="AK164" s="438"/>
      <c r="AL164" s="438"/>
      <c r="AM164" s="438"/>
      <c r="AN164" s="438"/>
      <c r="AR164" s="486"/>
    </row>
    <row r="165" spans="16:44" s="400" customFormat="1">
      <c r="P165" s="438"/>
      <c r="Q165" s="438"/>
      <c r="R165" s="438"/>
      <c r="S165" s="438"/>
      <c r="T165" s="438"/>
      <c r="U165" s="438"/>
      <c r="V165" s="438"/>
      <c r="W165" s="438"/>
      <c r="X165" s="438"/>
      <c r="Y165" s="438"/>
      <c r="Z165" s="438"/>
      <c r="AA165" s="438"/>
      <c r="AC165" s="438"/>
      <c r="AD165" s="438"/>
      <c r="AE165" s="438"/>
      <c r="AF165" s="438"/>
      <c r="AG165" s="438"/>
      <c r="AH165" s="438"/>
      <c r="AI165" s="438"/>
      <c r="AJ165" s="438"/>
      <c r="AK165" s="438"/>
      <c r="AL165" s="438"/>
      <c r="AM165" s="438"/>
      <c r="AN165" s="438"/>
      <c r="AR165" s="486"/>
    </row>
    <row r="166" spans="16:44" s="400" customFormat="1">
      <c r="P166" s="438"/>
      <c r="Q166" s="438"/>
      <c r="R166" s="438"/>
      <c r="S166" s="438"/>
      <c r="T166" s="438"/>
      <c r="U166" s="438"/>
      <c r="V166" s="438"/>
      <c r="W166" s="438"/>
      <c r="X166" s="438"/>
      <c r="Y166" s="438"/>
      <c r="Z166" s="438"/>
      <c r="AA166" s="438"/>
      <c r="AC166" s="438"/>
      <c r="AD166" s="438"/>
      <c r="AE166" s="438"/>
      <c r="AF166" s="438"/>
      <c r="AG166" s="438"/>
      <c r="AH166" s="438"/>
      <c r="AI166" s="438"/>
      <c r="AJ166" s="438"/>
      <c r="AK166" s="438"/>
      <c r="AL166" s="438"/>
      <c r="AM166" s="438"/>
      <c r="AN166" s="438"/>
      <c r="AR166" s="486"/>
    </row>
    <row r="167" spans="16:44" s="400" customFormat="1">
      <c r="P167" s="438"/>
      <c r="Q167" s="438"/>
      <c r="R167" s="438"/>
      <c r="S167" s="438"/>
      <c r="T167" s="438"/>
      <c r="U167" s="438"/>
      <c r="V167" s="438"/>
      <c r="W167" s="438"/>
      <c r="X167" s="438"/>
      <c r="Y167" s="438"/>
      <c r="Z167" s="438"/>
      <c r="AA167" s="438"/>
      <c r="AC167" s="438"/>
      <c r="AD167" s="438"/>
      <c r="AE167" s="438"/>
      <c r="AF167" s="438"/>
      <c r="AG167" s="438"/>
      <c r="AH167" s="438"/>
      <c r="AI167" s="438"/>
      <c r="AJ167" s="438"/>
      <c r="AK167" s="438"/>
      <c r="AL167" s="438"/>
      <c r="AM167" s="438"/>
      <c r="AN167" s="438"/>
      <c r="AR167" s="486"/>
    </row>
    <row r="168" spans="16:44" s="400" customFormat="1">
      <c r="P168" s="438"/>
      <c r="Q168" s="438"/>
      <c r="R168" s="438"/>
      <c r="S168" s="438"/>
      <c r="T168" s="438"/>
      <c r="U168" s="438"/>
      <c r="V168" s="438"/>
      <c r="W168" s="438"/>
      <c r="X168" s="438"/>
      <c r="Y168" s="438"/>
      <c r="Z168" s="438"/>
      <c r="AA168" s="438"/>
      <c r="AC168" s="438"/>
      <c r="AD168" s="438"/>
      <c r="AE168" s="438"/>
      <c r="AF168" s="438"/>
      <c r="AG168" s="438"/>
      <c r="AH168" s="438"/>
      <c r="AI168" s="438"/>
      <c r="AJ168" s="438"/>
      <c r="AK168" s="438"/>
      <c r="AL168" s="438"/>
      <c r="AM168" s="438"/>
      <c r="AN168" s="438"/>
      <c r="AR168" s="486"/>
    </row>
    <row r="169" spans="16:44" s="400" customFormat="1">
      <c r="P169" s="438"/>
      <c r="Q169" s="438"/>
      <c r="R169" s="438"/>
      <c r="S169" s="438"/>
      <c r="T169" s="438"/>
      <c r="U169" s="438"/>
      <c r="V169" s="438"/>
      <c r="W169" s="438"/>
      <c r="X169" s="438"/>
      <c r="Y169" s="438"/>
      <c r="Z169" s="438"/>
      <c r="AA169" s="438"/>
      <c r="AC169" s="438"/>
      <c r="AD169" s="438"/>
      <c r="AE169" s="438"/>
      <c r="AF169" s="438"/>
      <c r="AG169" s="438"/>
      <c r="AH169" s="438"/>
      <c r="AI169" s="438"/>
      <c r="AJ169" s="438"/>
      <c r="AK169" s="438"/>
      <c r="AL169" s="438"/>
      <c r="AM169" s="438"/>
      <c r="AN169" s="438"/>
      <c r="AR169" s="486"/>
    </row>
    <row r="170" spans="16:44" s="400" customFormat="1">
      <c r="P170" s="438"/>
      <c r="Q170" s="438"/>
      <c r="R170" s="438"/>
      <c r="S170" s="438"/>
      <c r="T170" s="438"/>
      <c r="U170" s="438"/>
      <c r="V170" s="438"/>
      <c r="W170" s="438"/>
      <c r="X170" s="438"/>
      <c r="Y170" s="438"/>
      <c r="Z170" s="438"/>
      <c r="AA170" s="438"/>
      <c r="AC170" s="438"/>
      <c r="AD170" s="438"/>
      <c r="AE170" s="438"/>
      <c r="AF170" s="438"/>
      <c r="AG170" s="438"/>
      <c r="AH170" s="438"/>
      <c r="AI170" s="438"/>
      <c r="AJ170" s="438"/>
      <c r="AK170" s="438"/>
      <c r="AL170" s="438"/>
      <c r="AM170" s="438"/>
      <c r="AN170" s="438"/>
      <c r="AR170" s="486"/>
    </row>
    <row r="171" spans="16:44" s="400" customFormat="1">
      <c r="P171" s="438"/>
      <c r="Q171" s="438"/>
      <c r="R171" s="438"/>
      <c r="S171" s="438"/>
      <c r="T171" s="438"/>
      <c r="U171" s="438"/>
      <c r="V171" s="438"/>
      <c r="W171" s="438"/>
      <c r="X171" s="438"/>
      <c r="Y171" s="438"/>
      <c r="Z171" s="438"/>
      <c r="AA171" s="438"/>
      <c r="AC171" s="438"/>
      <c r="AD171" s="438"/>
      <c r="AE171" s="438"/>
      <c r="AF171" s="438"/>
      <c r="AG171" s="438"/>
      <c r="AH171" s="438"/>
      <c r="AI171" s="438"/>
      <c r="AJ171" s="438"/>
      <c r="AK171" s="438"/>
      <c r="AL171" s="438"/>
      <c r="AM171" s="438"/>
      <c r="AN171" s="438"/>
      <c r="AR171" s="486"/>
    </row>
    <row r="172" spans="16:44" s="400" customFormat="1">
      <c r="P172" s="438"/>
      <c r="Q172" s="438"/>
      <c r="R172" s="438"/>
      <c r="S172" s="438"/>
      <c r="T172" s="438"/>
      <c r="U172" s="438"/>
      <c r="V172" s="438"/>
      <c r="W172" s="438"/>
      <c r="X172" s="438"/>
      <c r="Y172" s="438"/>
      <c r="Z172" s="438"/>
      <c r="AA172" s="438"/>
      <c r="AC172" s="438"/>
      <c r="AD172" s="438"/>
      <c r="AE172" s="438"/>
      <c r="AF172" s="438"/>
      <c r="AG172" s="438"/>
      <c r="AH172" s="438"/>
      <c r="AI172" s="438"/>
      <c r="AJ172" s="438"/>
      <c r="AK172" s="438"/>
      <c r="AL172" s="438"/>
      <c r="AM172" s="438"/>
      <c r="AN172" s="438"/>
      <c r="AR172" s="486"/>
    </row>
    <row r="173" spans="16:44" s="400" customFormat="1">
      <c r="P173" s="438"/>
      <c r="Q173" s="438"/>
      <c r="R173" s="438"/>
      <c r="S173" s="438"/>
      <c r="T173" s="438"/>
      <c r="U173" s="438"/>
      <c r="V173" s="438"/>
      <c r="W173" s="438"/>
      <c r="X173" s="438"/>
      <c r="Y173" s="438"/>
      <c r="Z173" s="438"/>
      <c r="AA173" s="438"/>
      <c r="AC173" s="438"/>
      <c r="AD173" s="438"/>
      <c r="AE173" s="438"/>
      <c r="AF173" s="438"/>
      <c r="AG173" s="438"/>
      <c r="AH173" s="438"/>
      <c r="AI173" s="438"/>
      <c r="AJ173" s="438"/>
      <c r="AK173" s="438"/>
      <c r="AL173" s="438"/>
      <c r="AM173" s="438"/>
      <c r="AN173" s="438"/>
      <c r="AR173" s="486"/>
    </row>
    <row r="174" spans="16:44" s="400" customFormat="1">
      <c r="P174" s="438"/>
      <c r="Q174" s="438"/>
      <c r="R174" s="438"/>
      <c r="S174" s="438"/>
      <c r="T174" s="438"/>
      <c r="U174" s="438"/>
      <c r="V174" s="438"/>
      <c r="W174" s="438"/>
      <c r="X174" s="438"/>
      <c r="Y174" s="438"/>
      <c r="Z174" s="438"/>
      <c r="AA174" s="438"/>
      <c r="AC174" s="438"/>
      <c r="AD174" s="438"/>
      <c r="AE174" s="438"/>
      <c r="AF174" s="438"/>
      <c r="AG174" s="438"/>
      <c r="AH174" s="438"/>
      <c r="AI174" s="438"/>
      <c r="AJ174" s="438"/>
      <c r="AK174" s="438"/>
      <c r="AL174" s="438"/>
      <c r="AM174" s="438"/>
      <c r="AN174" s="438"/>
      <c r="AR174" s="486"/>
    </row>
    <row r="175" spans="16:44" s="400" customFormat="1">
      <c r="P175" s="438"/>
      <c r="Q175" s="438"/>
      <c r="R175" s="438"/>
      <c r="S175" s="438"/>
      <c r="T175" s="438"/>
      <c r="U175" s="438"/>
      <c r="V175" s="438"/>
      <c r="W175" s="438"/>
      <c r="X175" s="438"/>
      <c r="Y175" s="438"/>
      <c r="Z175" s="438"/>
      <c r="AA175" s="438"/>
      <c r="AC175" s="438"/>
      <c r="AD175" s="438"/>
      <c r="AE175" s="438"/>
      <c r="AF175" s="438"/>
      <c r="AG175" s="438"/>
      <c r="AH175" s="438"/>
      <c r="AI175" s="438"/>
      <c r="AJ175" s="438"/>
      <c r="AK175" s="438"/>
      <c r="AL175" s="438"/>
      <c r="AM175" s="438"/>
      <c r="AN175" s="438"/>
      <c r="AR175" s="486"/>
    </row>
    <row r="176" spans="16:44" s="400" customFormat="1">
      <c r="P176" s="438"/>
      <c r="Q176" s="438"/>
      <c r="R176" s="438"/>
      <c r="S176" s="438"/>
      <c r="T176" s="438"/>
      <c r="U176" s="438"/>
      <c r="V176" s="438"/>
      <c r="W176" s="438"/>
      <c r="X176" s="438"/>
      <c r="Y176" s="438"/>
      <c r="Z176" s="438"/>
      <c r="AA176" s="438"/>
      <c r="AC176" s="438"/>
      <c r="AD176" s="438"/>
      <c r="AE176" s="438"/>
      <c r="AF176" s="438"/>
      <c r="AG176" s="438"/>
      <c r="AH176" s="438"/>
      <c r="AI176" s="438"/>
      <c r="AJ176" s="438"/>
      <c r="AK176" s="438"/>
      <c r="AL176" s="438"/>
      <c r="AM176" s="438"/>
      <c r="AN176" s="438"/>
      <c r="AR176" s="486"/>
    </row>
    <row r="177" spans="16:44" s="400" customFormat="1">
      <c r="P177" s="438"/>
      <c r="Q177" s="438"/>
      <c r="R177" s="438"/>
      <c r="S177" s="438"/>
      <c r="T177" s="438"/>
      <c r="U177" s="438"/>
      <c r="V177" s="438"/>
      <c r="W177" s="438"/>
      <c r="X177" s="438"/>
      <c r="Y177" s="438"/>
      <c r="Z177" s="438"/>
      <c r="AA177" s="438"/>
      <c r="AC177" s="438"/>
      <c r="AD177" s="438"/>
      <c r="AE177" s="438"/>
      <c r="AF177" s="438"/>
      <c r="AG177" s="438"/>
      <c r="AH177" s="438"/>
      <c r="AI177" s="438"/>
      <c r="AJ177" s="438"/>
      <c r="AK177" s="438"/>
      <c r="AL177" s="438"/>
      <c r="AM177" s="438"/>
      <c r="AN177" s="438"/>
      <c r="AR177" s="486"/>
    </row>
    <row r="178" spans="16:44" s="400" customFormat="1">
      <c r="P178" s="438"/>
      <c r="Q178" s="438"/>
      <c r="R178" s="438"/>
      <c r="S178" s="438"/>
      <c r="T178" s="438"/>
      <c r="U178" s="438"/>
      <c r="V178" s="438"/>
      <c r="W178" s="438"/>
      <c r="X178" s="438"/>
      <c r="Y178" s="438"/>
      <c r="Z178" s="438"/>
      <c r="AA178" s="438"/>
      <c r="AC178" s="438"/>
      <c r="AD178" s="438"/>
      <c r="AE178" s="438"/>
      <c r="AF178" s="438"/>
      <c r="AG178" s="438"/>
      <c r="AH178" s="438"/>
      <c r="AI178" s="438"/>
      <c r="AJ178" s="438"/>
      <c r="AK178" s="438"/>
      <c r="AL178" s="438"/>
      <c r="AM178" s="438"/>
      <c r="AN178" s="438"/>
      <c r="AR178" s="486"/>
    </row>
    <row r="179" spans="16:44" s="400" customFormat="1">
      <c r="P179" s="438"/>
      <c r="Q179" s="438"/>
      <c r="R179" s="438"/>
      <c r="S179" s="438"/>
      <c r="T179" s="438"/>
      <c r="U179" s="438"/>
      <c r="V179" s="438"/>
      <c r="W179" s="438"/>
      <c r="X179" s="438"/>
      <c r="Y179" s="438"/>
      <c r="Z179" s="438"/>
      <c r="AA179" s="438"/>
      <c r="AC179" s="438"/>
      <c r="AD179" s="438"/>
      <c r="AE179" s="438"/>
      <c r="AF179" s="438"/>
      <c r="AG179" s="438"/>
      <c r="AH179" s="438"/>
      <c r="AI179" s="438"/>
      <c r="AJ179" s="438"/>
      <c r="AK179" s="438"/>
      <c r="AL179" s="438"/>
      <c r="AM179" s="438"/>
      <c r="AN179" s="438"/>
      <c r="AR179" s="486"/>
    </row>
    <row r="180" spans="16:44" s="400" customFormat="1">
      <c r="P180" s="438"/>
      <c r="Q180" s="438"/>
      <c r="R180" s="438"/>
      <c r="S180" s="438"/>
      <c r="T180" s="438"/>
      <c r="U180" s="438"/>
      <c r="V180" s="438"/>
      <c r="W180" s="438"/>
      <c r="X180" s="438"/>
      <c r="Y180" s="438"/>
      <c r="Z180" s="438"/>
      <c r="AA180" s="438"/>
      <c r="AC180" s="438"/>
      <c r="AD180" s="438"/>
      <c r="AE180" s="438"/>
      <c r="AF180" s="438"/>
      <c r="AG180" s="438"/>
      <c r="AH180" s="438"/>
      <c r="AI180" s="438"/>
      <c r="AJ180" s="438"/>
      <c r="AK180" s="438"/>
      <c r="AL180" s="438"/>
      <c r="AM180" s="438"/>
      <c r="AN180" s="438"/>
      <c r="AR180" s="486"/>
    </row>
    <row r="181" spans="16:44" s="400" customFormat="1">
      <c r="P181" s="438"/>
      <c r="Q181" s="438"/>
      <c r="R181" s="438"/>
      <c r="S181" s="438"/>
      <c r="T181" s="438"/>
      <c r="U181" s="438"/>
      <c r="V181" s="438"/>
      <c r="W181" s="438"/>
      <c r="X181" s="438"/>
      <c r="Y181" s="438"/>
      <c r="Z181" s="438"/>
      <c r="AA181" s="438"/>
      <c r="AC181" s="438"/>
      <c r="AD181" s="438"/>
      <c r="AE181" s="438"/>
      <c r="AF181" s="438"/>
      <c r="AG181" s="438"/>
      <c r="AH181" s="438"/>
      <c r="AI181" s="438"/>
      <c r="AJ181" s="438"/>
      <c r="AK181" s="438"/>
      <c r="AL181" s="438"/>
      <c r="AM181" s="438"/>
      <c r="AN181" s="438"/>
      <c r="AR181" s="486"/>
    </row>
    <row r="182" spans="16:44" s="400" customFormat="1">
      <c r="P182" s="438"/>
      <c r="Q182" s="438"/>
      <c r="R182" s="438"/>
      <c r="S182" s="438"/>
      <c r="T182" s="438"/>
      <c r="U182" s="438"/>
      <c r="V182" s="438"/>
      <c r="W182" s="438"/>
      <c r="X182" s="438"/>
      <c r="Y182" s="438"/>
      <c r="Z182" s="438"/>
      <c r="AA182" s="438"/>
      <c r="AC182" s="438"/>
      <c r="AD182" s="438"/>
      <c r="AE182" s="438"/>
      <c r="AF182" s="438"/>
      <c r="AG182" s="438"/>
      <c r="AH182" s="438"/>
      <c r="AI182" s="438"/>
      <c r="AJ182" s="438"/>
      <c r="AK182" s="438"/>
      <c r="AL182" s="438"/>
      <c r="AM182" s="438"/>
      <c r="AN182" s="438"/>
      <c r="AR182" s="486"/>
    </row>
    <row r="183" spans="16:44" s="400" customFormat="1">
      <c r="P183" s="438"/>
      <c r="Q183" s="438"/>
      <c r="R183" s="438"/>
      <c r="S183" s="438"/>
      <c r="T183" s="438"/>
      <c r="U183" s="438"/>
      <c r="V183" s="438"/>
      <c r="W183" s="438"/>
      <c r="X183" s="438"/>
      <c r="Y183" s="438"/>
      <c r="Z183" s="438"/>
      <c r="AA183" s="438"/>
      <c r="AC183" s="438"/>
      <c r="AD183" s="438"/>
      <c r="AE183" s="438"/>
      <c r="AF183" s="438"/>
      <c r="AG183" s="438"/>
      <c r="AH183" s="438"/>
      <c r="AI183" s="438"/>
      <c r="AJ183" s="438"/>
      <c r="AK183" s="438"/>
      <c r="AL183" s="438"/>
      <c r="AM183" s="438"/>
      <c r="AN183" s="438"/>
      <c r="AR183" s="486"/>
    </row>
    <row r="184" spans="16:44" s="400" customFormat="1">
      <c r="P184" s="438"/>
      <c r="Q184" s="438"/>
      <c r="R184" s="438"/>
      <c r="S184" s="438"/>
      <c r="T184" s="438"/>
      <c r="U184" s="438"/>
      <c r="V184" s="438"/>
      <c r="W184" s="438"/>
      <c r="X184" s="438"/>
      <c r="Y184" s="438"/>
      <c r="Z184" s="438"/>
      <c r="AA184" s="438"/>
      <c r="AC184" s="438"/>
      <c r="AD184" s="438"/>
      <c r="AE184" s="438"/>
      <c r="AF184" s="438"/>
      <c r="AG184" s="438"/>
      <c r="AH184" s="438"/>
      <c r="AI184" s="438"/>
      <c r="AJ184" s="438"/>
      <c r="AK184" s="438"/>
      <c r="AL184" s="438"/>
      <c r="AM184" s="438"/>
      <c r="AN184" s="438"/>
      <c r="AR184" s="486"/>
    </row>
    <row r="185" spans="16:44" s="400" customFormat="1">
      <c r="P185" s="438"/>
      <c r="Q185" s="438"/>
      <c r="R185" s="438"/>
      <c r="S185" s="438"/>
      <c r="T185" s="438"/>
      <c r="U185" s="438"/>
      <c r="V185" s="438"/>
      <c r="W185" s="438"/>
      <c r="X185" s="438"/>
      <c r="Y185" s="438"/>
      <c r="Z185" s="438"/>
      <c r="AA185" s="438"/>
      <c r="AC185" s="438"/>
      <c r="AD185" s="438"/>
      <c r="AE185" s="438"/>
      <c r="AF185" s="438"/>
      <c r="AG185" s="438"/>
      <c r="AH185" s="438"/>
      <c r="AI185" s="438"/>
      <c r="AJ185" s="438"/>
      <c r="AK185" s="438"/>
      <c r="AL185" s="438"/>
      <c r="AM185" s="438"/>
      <c r="AN185" s="438"/>
      <c r="AR185" s="486"/>
    </row>
    <row r="186" spans="16:44" s="400" customFormat="1">
      <c r="P186" s="438"/>
      <c r="Q186" s="438"/>
      <c r="R186" s="438"/>
      <c r="S186" s="438"/>
      <c r="T186" s="438"/>
      <c r="U186" s="438"/>
      <c r="V186" s="438"/>
      <c r="W186" s="438"/>
      <c r="X186" s="438"/>
      <c r="Y186" s="438"/>
      <c r="Z186" s="438"/>
      <c r="AA186" s="438"/>
      <c r="AC186" s="438"/>
      <c r="AD186" s="438"/>
      <c r="AE186" s="438"/>
      <c r="AF186" s="438"/>
      <c r="AG186" s="438"/>
      <c r="AH186" s="438"/>
      <c r="AI186" s="438"/>
      <c r="AJ186" s="438"/>
      <c r="AK186" s="438"/>
      <c r="AL186" s="438"/>
      <c r="AM186" s="438"/>
      <c r="AN186" s="438"/>
      <c r="AR186" s="486"/>
    </row>
    <row r="187" spans="16:44" s="400" customFormat="1">
      <c r="P187" s="438"/>
      <c r="Q187" s="438"/>
      <c r="R187" s="438"/>
      <c r="S187" s="438"/>
      <c r="T187" s="438"/>
      <c r="U187" s="438"/>
      <c r="V187" s="438"/>
      <c r="W187" s="438"/>
      <c r="X187" s="438"/>
      <c r="Y187" s="438"/>
      <c r="Z187" s="438"/>
      <c r="AA187" s="438"/>
      <c r="AC187" s="438"/>
      <c r="AD187" s="438"/>
      <c r="AE187" s="438"/>
      <c r="AF187" s="438"/>
      <c r="AG187" s="438"/>
      <c r="AH187" s="438"/>
      <c r="AI187" s="438"/>
      <c r="AJ187" s="438"/>
      <c r="AK187" s="438"/>
      <c r="AL187" s="438"/>
      <c r="AM187" s="438"/>
      <c r="AN187" s="438"/>
      <c r="AR187" s="486"/>
    </row>
    <row r="188" spans="16:44" s="400" customFormat="1">
      <c r="P188" s="438"/>
      <c r="Q188" s="438"/>
      <c r="R188" s="438"/>
      <c r="S188" s="438"/>
      <c r="T188" s="438"/>
      <c r="U188" s="438"/>
      <c r="V188" s="438"/>
      <c r="W188" s="438"/>
      <c r="X188" s="438"/>
      <c r="Y188" s="438"/>
      <c r="Z188" s="438"/>
      <c r="AA188" s="438"/>
      <c r="AC188" s="438"/>
      <c r="AD188" s="438"/>
      <c r="AE188" s="438"/>
      <c r="AF188" s="438"/>
      <c r="AG188" s="438"/>
      <c r="AH188" s="438"/>
      <c r="AI188" s="438"/>
      <c r="AJ188" s="438"/>
      <c r="AK188" s="438"/>
      <c r="AL188" s="438"/>
      <c r="AM188" s="438"/>
      <c r="AN188" s="438"/>
      <c r="AR188" s="486"/>
    </row>
    <row r="189" spans="16:44" s="400" customFormat="1">
      <c r="P189" s="438"/>
      <c r="Q189" s="438"/>
      <c r="R189" s="438"/>
      <c r="S189" s="438"/>
      <c r="T189" s="438"/>
      <c r="U189" s="438"/>
      <c r="V189" s="438"/>
      <c r="W189" s="438"/>
      <c r="X189" s="438"/>
      <c r="Y189" s="438"/>
      <c r="Z189" s="438"/>
      <c r="AA189" s="438"/>
      <c r="AC189" s="438"/>
      <c r="AD189" s="438"/>
      <c r="AE189" s="438"/>
      <c r="AF189" s="438"/>
      <c r="AG189" s="438"/>
      <c r="AH189" s="438"/>
      <c r="AI189" s="438"/>
      <c r="AJ189" s="438"/>
      <c r="AK189" s="438"/>
      <c r="AL189" s="438"/>
      <c r="AM189" s="438"/>
      <c r="AN189" s="438"/>
      <c r="AR189" s="486"/>
    </row>
    <row r="190" spans="16:44" s="400" customFormat="1">
      <c r="P190" s="438"/>
      <c r="Q190" s="438"/>
      <c r="R190" s="438"/>
      <c r="S190" s="438"/>
      <c r="T190" s="438"/>
      <c r="U190" s="438"/>
      <c r="V190" s="438"/>
      <c r="W190" s="438"/>
      <c r="X190" s="438"/>
      <c r="Y190" s="438"/>
      <c r="Z190" s="438"/>
      <c r="AA190" s="438"/>
      <c r="AC190" s="438"/>
      <c r="AD190" s="438"/>
      <c r="AE190" s="438"/>
      <c r="AF190" s="438"/>
      <c r="AG190" s="438"/>
      <c r="AH190" s="438"/>
      <c r="AI190" s="438"/>
      <c r="AJ190" s="438"/>
      <c r="AK190" s="438"/>
      <c r="AL190" s="438"/>
      <c r="AM190" s="438"/>
      <c r="AN190" s="438"/>
      <c r="AR190" s="486"/>
    </row>
    <row r="191" spans="16:44" s="400" customFormat="1">
      <c r="P191" s="438"/>
      <c r="Q191" s="438"/>
      <c r="R191" s="438"/>
      <c r="S191" s="438"/>
      <c r="T191" s="438"/>
      <c r="U191" s="438"/>
      <c r="V191" s="438"/>
      <c r="W191" s="438"/>
      <c r="X191" s="438"/>
      <c r="Y191" s="438"/>
      <c r="Z191" s="438"/>
      <c r="AA191" s="438"/>
      <c r="AC191" s="438"/>
      <c r="AD191" s="438"/>
      <c r="AE191" s="438"/>
      <c r="AF191" s="438"/>
      <c r="AG191" s="438"/>
      <c r="AH191" s="438"/>
      <c r="AI191" s="438"/>
      <c r="AJ191" s="438"/>
      <c r="AK191" s="438"/>
      <c r="AL191" s="438"/>
      <c r="AM191" s="438"/>
      <c r="AN191" s="438"/>
      <c r="AR191" s="486"/>
    </row>
    <row r="192" spans="16:44" s="400" customFormat="1">
      <c r="P192" s="438"/>
      <c r="Q192" s="438"/>
      <c r="R192" s="438"/>
      <c r="S192" s="438"/>
      <c r="T192" s="438"/>
      <c r="U192" s="438"/>
      <c r="V192" s="438"/>
      <c r="W192" s="438"/>
      <c r="X192" s="438"/>
      <c r="Y192" s="438"/>
      <c r="Z192" s="438"/>
      <c r="AA192" s="438"/>
      <c r="AC192" s="438"/>
      <c r="AD192" s="438"/>
      <c r="AE192" s="438"/>
      <c r="AF192" s="438"/>
      <c r="AG192" s="438"/>
      <c r="AH192" s="438"/>
      <c r="AI192" s="438"/>
      <c r="AJ192" s="438"/>
      <c r="AK192" s="438"/>
      <c r="AL192" s="438"/>
      <c r="AM192" s="438"/>
      <c r="AN192" s="438"/>
      <c r="AR192" s="486"/>
    </row>
    <row r="193" spans="16:44" s="400" customFormat="1">
      <c r="P193" s="438"/>
      <c r="Q193" s="438"/>
      <c r="R193" s="438"/>
      <c r="S193" s="438"/>
      <c r="T193" s="438"/>
      <c r="U193" s="438"/>
      <c r="V193" s="438"/>
      <c r="W193" s="438"/>
      <c r="X193" s="438"/>
      <c r="Y193" s="438"/>
      <c r="Z193" s="438"/>
      <c r="AA193" s="438"/>
      <c r="AC193" s="438"/>
      <c r="AD193" s="438"/>
      <c r="AE193" s="438"/>
      <c r="AF193" s="438"/>
      <c r="AG193" s="438"/>
      <c r="AH193" s="438"/>
      <c r="AI193" s="438"/>
      <c r="AJ193" s="438"/>
      <c r="AK193" s="438"/>
      <c r="AL193" s="438"/>
      <c r="AM193" s="438"/>
      <c r="AN193" s="438"/>
      <c r="AR193" s="486"/>
    </row>
    <row r="194" spans="16:44" s="400" customFormat="1">
      <c r="P194" s="438"/>
      <c r="Q194" s="438"/>
      <c r="R194" s="438"/>
      <c r="S194" s="438"/>
      <c r="T194" s="438"/>
      <c r="U194" s="438"/>
      <c r="V194" s="438"/>
      <c r="W194" s="438"/>
      <c r="X194" s="438"/>
      <c r="Y194" s="438"/>
      <c r="Z194" s="438"/>
      <c r="AA194" s="438"/>
      <c r="AC194" s="438"/>
      <c r="AD194" s="438"/>
      <c r="AE194" s="438"/>
      <c r="AF194" s="438"/>
      <c r="AG194" s="438"/>
      <c r="AH194" s="438"/>
      <c r="AI194" s="438"/>
      <c r="AJ194" s="438"/>
      <c r="AK194" s="438"/>
      <c r="AL194" s="438"/>
      <c r="AM194" s="438"/>
      <c r="AN194" s="438"/>
      <c r="AR194" s="486"/>
    </row>
    <row r="195" spans="16:44" s="400" customFormat="1">
      <c r="P195" s="438"/>
      <c r="Q195" s="438"/>
      <c r="R195" s="438"/>
      <c r="S195" s="438"/>
      <c r="T195" s="438"/>
      <c r="U195" s="438"/>
      <c r="V195" s="438"/>
      <c r="W195" s="438"/>
      <c r="X195" s="438"/>
      <c r="Y195" s="438"/>
      <c r="Z195" s="438"/>
      <c r="AA195" s="438"/>
      <c r="AC195" s="438"/>
      <c r="AD195" s="438"/>
      <c r="AE195" s="438"/>
      <c r="AF195" s="438"/>
      <c r="AG195" s="438"/>
      <c r="AH195" s="438"/>
      <c r="AI195" s="438"/>
      <c r="AJ195" s="438"/>
      <c r="AK195" s="438"/>
      <c r="AL195" s="438"/>
      <c r="AM195" s="438"/>
      <c r="AN195" s="438"/>
      <c r="AR195" s="486"/>
    </row>
    <row r="196" spans="16:44" s="400" customFormat="1">
      <c r="P196" s="438"/>
      <c r="Q196" s="438"/>
      <c r="R196" s="438"/>
      <c r="S196" s="438"/>
      <c r="T196" s="438"/>
      <c r="U196" s="438"/>
      <c r="V196" s="438"/>
      <c r="W196" s="438"/>
      <c r="X196" s="438"/>
      <c r="Y196" s="438"/>
      <c r="Z196" s="438"/>
      <c r="AA196" s="438"/>
      <c r="AC196" s="438"/>
      <c r="AD196" s="438"/>
      <c r="AE196" s="438"/>
      <c r="AF196" s="438"/>
      <c r="AG196" s="438"/>
      <c r="AH196" s="438"/>
      <c r="AI196" s="438"/>
      <c r="AJ196" s="438"/>
      <c r="AK196" s="438"/>
      <c r="AL196" s="438"/>
      <c r="AM196" s="438"/>
      <c r="AN196" s="438"/>
      <c r="AR196" s="486"/>
    </row>
    <row r="197" spans="16:44" s="400" customFormat="1">
      <c r="P197" s="438"/>
      <c r="Q197" s="438"/>
      <c r="R197" s="438"/>
      <c r="S197" s="438"/>
      <c r="T197" s="438"/>
      <c r="U197" s="438"/>
      <c r="V197" s="438"/>
      <c r="W197" s="438"/>
      <c r="X197" s="438"/>
      <c r="Y197" s="438"/>
      <c r="Z197" s="438"/>
      <c r="AA197" s="438"/>
      <c r="AC197" s="438"/>
      <c r="AD197" s="438"/>
      <c r="AE197" s="438"/>
      <c r="AF197" s="438"/>
      <c r="AG197" s="438"/>
      <c r="AH197" s="438"/>
      <c r="AI197" s="438"/>
      <c r="AJ197" s="438"/>
      <c r="AK197" s="438"/>
      <c r="AL197" s="438"/>
      <c r="AM197" s="438"/>
      <c r="AN197" s="438"/>
      <c r="AR197" s="486"/>
    </row>
    <row r="198" spans="16:44" s="400" customFormat="1">
      <c r="P198" s="438"/>
      <c r="Q198" s="438"/>
      <c r="R198" s="438"/>
      <c r="S198" s="438"/>
      <c r="T198" s="438"/>
      <c r="U198" s="438"/>
      <c r="V198" s="438"/>
      <c r="W198" s="438"/>
      <c r="X198" s="438"/>
      <c r="Y198" s="438"/>
      <c r="Z198" s="438"/>
      <c r="AA198" s="438"/>
      <c r="AC198" s="438"/>
      <c r="AD198" s="438"/>
      <c r="AE198" s="438"/>
      <c r="AF198" s="438"/>
      <c r="AG198" s="438"/>
      <c r="AH198" s="438"/>
      <c r="AI198" s="438"/>
      <c r="AJ198" s="438"/>
      <c r="AK198" s="438"/>
      <c r="AL198" s="438"/>
      <c r="AM198" s="438"/>
      <c r="AN198" s="438"/>
      <c r="AR198" s="486"/>
    </row>
    <row r="199" spans="16:44" s="400" customFormat="1">
      <c r="P199" s="438"/>
      <c r="Q199" s="438"/>
      <c r="R199" s="438"/>
      <c r="S199" s="438"/>
      <c r="T199" s="438"/>
      <c r="U199" s="438"/>
      <c r="V199" s="438"/>
      <c r="W199" s="438"/>
      <c r="X199" s="438"/>
      <c r="Y199" s="438"/>
      <c r="Z199" s="438"/>
      <c r="AA199" s="438"/>
      <c r="AC199" s="438"/>
      <c r="AD199" s="438"/>
      <c r="AE199" s="438"/>
      <c r="AF199" s="438"/>
      <c r="AG199" s="438"/>
      <c r="AH199" s="438"/>
      <c r="AI199" s="438"/>
      <c r="AJ199" s="438"/>
      <c r="AK199" s="438"/>
      <c r="AL199" s="438"/>
      <c r="AM199" s="438"/>
      <c r="AN199" s="438"/>
      <c r="AR199" s="486"/>
    </row>
    <row r="200" spans="16:44" s="400" customFormat="1">
      <c r="P200" s="438"/>
      <c r="Q200" s="438"/>
      <c r="R200" s="438"/>
      <c r="S200" s="438"/>
      <c r="T200" s="438"/>
      <c r="U200" s="438"/>
      <c r="V200" s="438"/>
      <c r="W200" s="438"/>
      <c r="X200" s="438"/>
      <c r="Y200" s="438"/>
      <c r="Z200" s="438"/>
      <c r="AA200" s="438"/>
      <c r="AC200" s="438"/>
      <c r="AD200" s="438"/>
      <c r="AE200" s="438"/>
      <c r="AF200" s="438"/>
      <c r="AG200" s="438"/>
      <c r="AH200" s="438"/>
      <c r="AI200" s="438"/>
      <c r="AJ200" s="438"/>
      <c r="AK200" s="438"/>
      <c r="AL200" s="438"/>
      <c r="AM200" s="438"/>
      <c r="AN200" s="438"/>
      <c r="AR200" s="486"/>
    </row>
    <row r="201" spans="16:44" s="400" customFormat="1">
      <c r="P201" s="438"/>
      <c r="Q201" s="438"/>
      <c r="R201" s="438"/>
      <c r="S201" s="438"/>
      <c r="T201" s="438"/>
      <c r="U201" s="438"/>
      <c r="V201" s="438"/>
      <c r="W201" s="438"/>
      <c r="X201" s="438"/>
      <c r="Y201" s="438"/>
      <c r="Z201" s="438"/>
      <c r="AA201" s="438"/>
      <c r="AC201" s="438"/>
      <c r="AD201" s="438"/>
      <c r="AE201" s="438"/>
      <c r="AF201" s="438"/>
      <c r="AG201" s="438"/>
      <c r="AH201" s="438"/>
      <c r="AI201" s="438"/>
      <c r="AJ201" s="438"/>
      <c r="AK201" s="438"/>
      <c r="AL201" s="438"/>
      <c r="AM201" s="438"/>
      <c r="AN201" s="438"/>
      <c r="AR201" s="486"/>
    </row>
    <row r="202" spans="16:44" s="400" customFormat="1">
      <c r="P202" s="438"/>
      <c r="Q202" s="438"/>
      <c r="R202" s="438"/>
      <c r="S202" s="438"/>
      <c r="T202" s="438"/>
      <c r="U202" s="438"/>
      <c r="V202" s="438"/>
      <c r="W202" s="438"/>
      <c r="X202" s="438"/>
      <c r="Y202" s="438"/>
      <c r="Z202" s="438"/>
      <c r="AA202" s="438"/>
      <c r="AC202" s="438"/>
      <c r="AD202" s="438"/>
      <c r="AE202" s="438"/>
      <c r="AF202" s="438"/>
      <c r="AG202" s="438"/>
      <c r="AH202" s="438"/>
      <c r="AI202" s="438"/>
      <c r="AJ202" s="438"/>
      <c r="AK202" s="438"/>
      <c r="AL202" s="438"/>
      <c r="AM202" s="438"/>
      <c r="AN202" s="438"/>
      <c r="AR202" s="486"/>
    </row>
    <row r="203" spans="16:44" s="400" customFormat="1">
      <c r="P203" s="438"/>
      <c r="Q203" s="438"/>
      <c r="R203" s="438"/>
      <c r="S203" s="438"/>
      <c r="T203" s="438"/>
      <c r="U203" s="438"/>
      <c r="V203" s="438"/>
      <c r="W203" s="438"/>
      <c r="X203" s="438"/>
      <c r="Y203" s="438"/>
      <c r="Z203" s="438"/>
      <c r="AA203" s="438"/>
      <c r="AC203" s="438"/>
      <c r="AD203" s="438"/>
      <c r="AE203" s="438"/>
      <c r="AF203" s="438"/>
      <c r="AG203" s="438"/>
      <c r="AH203" s="438"/>
      <c r="AI203" s="438"/>
      <c r="AJ203" s="438"/>
      <c r="AK203" s="438"/>
      <c r="AL203" s="438"/>
      <c r="AM203" s="438"/>
      <c r="AN203" s="438"/>
      <c r="AR203" s="486"/>
    </row>
    <row r="204" spans="16:44" s="400" customFormat="1">
      <c r="P204" s="438"/>
      <c r="Q204" s="438"/>
      <c r="R204" s="438"/>
      <c r="S204" s="438"/>
      <c r="T204" s="438"/>
      <c r="U204" s="438"/>
      <c r="V204" s="438"/>
      <c r="W204" s="438"/>
      <c r="X204" s="438"/>
      <c r="Y204" s="438"/>
      <c r="Z204" s="438"/>
      <c r="AA204" s="438"/>
      <c r="AC204" s="438"/>
      <c r="AD204" s="438"/>
      <c r="AE204" s="438"/>
      <c r="AF204" s="438"/>
      <c r="AG204" s="438"/>
      <c r="AH204" s="438"/>
      <c r="AI204" s="438"/>
      <c r="AJ204" s="438"/>
      <c r="AK204" s="438"/>
      <c r="AL204" s="438"/>
      <c r="AM204" s="438"/>
      <c r="AN204" s="438"/>
      <c r="AR204" s="486"/>
    </row>
    <row r="205" spans="16:44" s="400" customFormat="1">
      <c r="P205" s="438"/>
      <c r="Q205" s="438"/>
      <c r="R205" s="438"/>
      <c r="S205" s="438"/>
      <c r="T205" s="438"/>
      <c r="U205" s="438"/>
      <c r="V205" s="438"/>
      <c r="W205" s="438"/>
      <c r="X205" s="438"/>
      <c r="Y205" s="438"/>
      <c r="Z205" s="438"/>
      <c r="AA205" s="438"/>
      <c r="AC205" s="438"/>
      <c r="AD205" s="438"/>
      <c r="AE205" s="438"/>
      <c r="AF205" s="438"/>
      <c r="AG205" s="438"/>
      <c r="AH205" s="438"/>
      <c r="AI205" s="438"/>
      <c r="AJ205" s="438"/>
      <c r="AK205" s="438"/>
      <c r="AL205" s="438"/>
      <c r="AM205" s="438"/>
      <c r="AN205" s="438"/>
      <c r="AR205" s="486"/>
    </row>
    <row r="206" spans="16:44" s="400" customFormat="1">
      <c r="P206" s="438"/>
      <c r="Q206" s="438"/>
      <c r="R206" s="438"/>
      <c r="S206" s="438"/>
      <c r="T206" s="438"/>
      <c r="U206" s="438"/>
      <c r="V206" s="438"/>
      <c r="W206" s="438"/>
      <c r="X206" s="438"/>
      <c r="Y206" s="438"/>
      <c r="Z206" s="438"/>
      <c r="AA206" s="438"/>
      <c r="AC206" s="438"/>
      <c r="AD206" s="438"/>
      <c r="AE206" s="438"/>
      <c r="AF206" s="438"/>
      <c r="AG206" s="438"/>
      <c r="AH206" s="438"/>
      <c r="AI206" s="438"/>
      <c r="AJ206" s="438"/>
      <c r="AK206" s="438"/>
      <c r="AL206" s="438"/>
      <c r="AM206" s="438"/>
      <c r="AN206" s="438"/>
      <c r="AR206" s="486"/>
    </row>
    <row r="207" spans="16:44" s="400" customFormat="1">
      <c r="P207" s="438"/>
      <c r="Q207" s="438"/>
      <c r="R207" s="438"/>
      <c r="S207" s="438"/>
      <c r="T207" s="438"/>
      <c r="U207" s="438"/>
      <c r="V207" s="438"/>
      <c r="W207" s="438"/>
      <c r="X207" s="438"/>
      <c r="Y207" s="438"/>
      <c r="Z207" s="438"/>
      <c r="AA207" s="438"/>
      <c r="AC207" s="438"/>
      <c r="AD207" s="438"/>
      <c r="AE207" s="438"/>
      <c r="AF207" s="438"/>
      <c r="AG207" s="438"/>
      <c r="AH207" s="438"/>
      <c r="AI207" s="438"/>
      <c r="AJ207" s="438"/>
      <c r="AK207" s="438"/>
      <c r="AL207" s="438"/>
      <c r="AM207" s="438"/>
      <c r="AN207" s="438"/>
      <c r="AR207" s="486"/>
    </row>
    <row r="208" spans="16:44" s="400" customFormat="1">
      <c r="P208" s="438"/>
      <c r="Q208" s="438"/>
      <c r="R208" s="438"/>
      <c r="S208" s="438"/>
      <c r="T208" s="438"/>
      <c r="U208" s="438"/>
      <c r="V208" s="438"/>
      <c r="W208" s="438"/>
      <c r="X208" s="438"/>
      <c r="Y208" s="438"/>
      <c r="Z208" s="438"/>
      <c r="AA208" s="438"/>
      <c r="AC208" s="438"/>
      <c r="AD208" s="438"/>
      <c r="AE208" s="438"/>
      <c r="AF208" s="438"/>
      <c r="AG208" s="438"/>
      <c r="AH208" s="438"/>
      <c r="AI208" s="438"/>
      <c r="AJ208" s="438"/>
      <c r="AK208" s="438"/>
      <c r="AL208" s="438"/>
      <c r="AM208" s="438"/>
      <c r="AN208" s="438"/>
      <c r="AR208" s="486"/>
    </row>
    <row r="209" spans="16:44" s="400" customFormat="1">
      <c r="P209" s="438"/>
      <c r="Q209" s="438"/>
      <c r="R209" s="438"/>
      <c r="S209" s="438"/>
      <c r="T209" s="438"/>
      <c r="U209" s="438"/>
      <c r="V209" s="438"/>
      <c r="W209" s="438"/>
      <c r="X209" s="438"/>
      <c r="Y209" s="438"/>
      <c r="Z209" s="438"/>
      <c r="AA209" s="438"/>
      <c r="AC209" s="438"/>
      <c r="AD209" s="438"/>
      <c r="AE209" s="438"/>
      <c r="AF209" s="438"/>
      <c r="AG209" s="438"/>
      <c r="AH209" s="438"/>
      <c r="AI209" s="438"/>
      <c r="AJ209" s="438"/>
      <c r="AK209" s="438"/>
      <c r="AL209" s="438"/>
      <c r="AM209" s="438"/>
      <c r="AN209" s="438"/>
      <c r="AR209" s="486"/>
    </row>
    <row r="210" spans="16:44" s="400" customFormat="1">
      <c r="P210" s="438"/>
      <c r="Q210" s="438"/>
      <c r="R210" s="438"/>
      <c r="S210" s="438"/>
      <c r="T210" s="438"/>
      <c r="U210" s="438"/>
      <c r="V210" s="438"/>
      <c r="W210" s="438"/>
      <c r="X210" s="438"/>
      <c r="Y210" s="438"/>
      <c r="Z210" s="438"/>
      <c r="AA210" s="438"/>
      <c r="AC210" s="438"/>
      <c r="AD210" s="438"/>
      <c r="AE210" s="438"/>
      <c r="AF210" s="438"/>
      <c r="AG210" s="438"/>
      <c r="AH210" s="438"/>
      <c r="AI210" s="438"/>
      <c r="AJ210" s="438"/>
      <c r="AK210" s="438"/>
      <c r="AL210" s="438"/>
      <c r="AM210" s="438"/>
      <c r="AN210" s="438"/>
      <c r="AR210" s="486"/>
    </row>
    <row r="211" spans="16:44" s="400" customFormat="1">
      <c r="P211" s="438"/>
      <c r="Q211" s="438"/>
      <c r="R211" s="438"/>
      <c r="S211" s="438"/>
      <c r="T211" s="438"/>
      <c r="U211" s="438"/>
      <c r="V211" s="438"/>
      <c r="W211" s="438"/>
      <c r="X211" s="438"/>
      <c r="Y211" s="438"/>
      <c r="Z211" s="438"/>
      <c r="AA211" s="438"/>
      <c r="AC211" s="438"/>
      <c r="AD211" s="438"/>
      <c r="AE211" s="438"/>
      <c r="AF211" s="438"/>
      <c r="AG211" s="438"/>
      <c r="AH211" s="438"/>
      <c r="AI211" s="438"/>
      <c r="AJ211" s="438"/>
      <c r="AK211" s="438"/>
      <c r="AL211" s="438"/>
      <c r="AM211" s="438"/>
      <c r="AN211" s="438"/>
      <c r="AR211" s="486"/>
    </row>
    <row r="212" spans="16:44" s="400" customFormat="1">
      <c r="P212" s="438"/>
      <c r="Q212" s="438"/>
      <c r="R212" s="438"/>
      <c r="S212" s="438"/>
      <c r="T212" s="438"/>
      <c r="U212" s="438"/>
      <c r="V212" s="438"/>
      <c r="W212" s="438"/>
      <c r="X212" s="438"/>
      <c r="Y212" s="438"/>
      <c r="Z212" s="438"/>
      <c r="AA212" s="438"/>
      <c r="AC212" s="438"/>
      <c r="AD212" s="438"/>
      <c r="AE212" s="438"/>
      <c r="AF212" s="438"/>
      <c r="AG212" s="438"/>
      <c r="AH212" s="438"/>
      <c r="AI212" s="438"/>
      <c r="AJ212" s="438"/>
      <c r="AK212" s="438"/>
      <c r="AL212" s="438"/>
      <c r="AM212" s="438"/>
      <c r="AN212" s="438"/>
      <c r="AR212" s="486"/>
    </row>
    <row r="213" spans="16:44" s="400" customFormat="1">
      <c r="P213" s="438"/>
      <c r="Q213" s="438"/>
      <c r="R213" s="438"/>
      <c r="S213" s="438"/>
      <c r="T213" s="438"/>
      <c r="U213" s="438"/>
      <c r="V213" s="438"/>
      <c r="W213" s="438"/>
      <c r="X213" s="438"/>
      <c r="Y213" s="438"/>
      <c r="Z213" s="438"/>
      <c r="AA213" s="438"/>
      <c r="AC213" s="438"/>
      <c r="AD213" s="438"/>
      <c r="AE213" s="438"/>
      <c r="AF213" s="438"/>
      <c r="AG213" s="438"/>
      <c r="AH213" s="438"/>
      <c r="AI213" s="438"/>
      <c r="AJ213" s="438"/>
      <c r="AK213" s="438"/>
      <c r="AL213" s="438"/>
      <c r="AM213" s="438"/>
      <c r="AN213" s="438"/>
      <c r="AR213" s="486"/>
    </row>
    <row r="214" spans="16:44" s="400" customFormat="1">
      <c r="P214" s="438"/>
      <c r="Q214" s="438"/>
      <c r="R214" s="438"/>
      <c r="S214" s="438"/>
      <c r="T214" s="438"/>
      <c r="U214" s="438"/>
      <c r="V214" s="438"/>
      <c r="W214" s="438"/>
      <c r="X214" s="438"/>
      <c r="Y214" s="438"/>
      <c r="Z214" s="438"/>
      <c r="AA214" s="438"/>
      <c r="AC214" s="438"/>
      <c r="AD214" s="438"/>
      <c r="AE214" s="438"/>
      <c r="AF214" s="438"/>
      <c r="AG214" s="438"/>
      <c r="AH214" s="438"/>
      <c r="AI214" s="438"/>
      <c r="AJ214" s="438"/>
      <c r="AK214" s="438"/>
      <c r="AL214" s="438"/>
      <c r="AM214" s="438"/>
      <c r="AN214" s="438"/>
      <c r="AR214" s="486"/>
    </row>
    <row r="215" spans="16:44" s="400" customFormat="1">
      <c r="P215" s="438"/>
      <c r="Q215" s="438"/>
      <c r="R215" s="438"/>
      <c r="S215" s="438"/>
      <c r="T215" s="438"/>
      <c r="U215" s="438"/>
      <c r="V215" s="438"/>
      <c r="W215" s="438"/>
      <c r="X215" s="438"/>
      <c r="Y215" s="438"/>
      <c r="Z215" s="438"/>
      <c r="AA215" s="438"/>
      <c r="AC215" s="438"/>
      <c r="AD215" s="438"/>
      <c r="AE215" s="438"/>
      <c r="AF215" s="438"/>
      <c r="AG215" s="438"/>
      <c r="AH215" s="438"/>
      <c r="AI215" s="438"/>
      <c r="AJ215" s="438"/>
      <c r="AK215" s="438"/>
      <c r="AL215" s="438"/>
      <c r="AM215" s="438"/>
      <c r="AN215" s="438"/>
      <c r="AR215" s="486"/>
    </row>
    <row r="216" spans="16:44" s="400" customFormat="1">
      <c r="P216" s="438"/>
      <c r="Q216" s="438"/>
      <c r="R216" s="438"/>
      <c r="S216" s="438"/>
      <c r="T216" s="438"/>
      <c r="U216" s="438"/>
      <c r="V216" s="438"/>
      <c r="W216" s="438"/>
      <c r="X216" s="438"/>
      <c r="Y216" s="438"/>
      <c r="Z216" s="438"/>
      <c r="AA216" s="438"/>
      <c r="AC216" s="438"/>
      <c r="AD216" s="438"/>
      <c r="AE216" s="438"/>
      <c r="AF216" s="438"/>
      <c r="AG216" s="438"/>
      <c r="AH216" s="438"/>
      <c r="AI216" s="438"/>
      <c r="AJ216" s="438"/>
      <c r="AK216" s="438"/>
      <c r="AL216" s="438"/>
      <c r="AM216" s="438"/>
      <c r="AN216" s="438"/>
      <c r="AR216" s="486"/>
    </row>
    <row r="217" spans="16:44" s="400" customFormat="1">
      <c r="P217" s="438"/>
      <c r="Q217" s="438"/>
      <c r="R217" s="438"/>
      <c r="S217" s="438"/>
      <c r="T217" s="438"/>
      <c r="U217" s="438"/>
      <c r="V217" s="438"/>
      <c r="W217" s="438"/>
      <c r="X217" s="438"/>
      <c r="Y217" s="438"/>
      <c r="Z217" s="438"/>
      <c r="AA217" s="438"/>
      <c r="AC217" s="438"/>
      <c r="AD217" s="438"/>
      <c r="AE217" s="438"/>
      <c r="AF217" s="438"/>
      <c r="AG217" s="438"/>
      <c r="AH217" s="438"/>
      <c r="AI217" s="438"/>
      <c r="AJ217" s="438"/>
      <c r="AK217" s="438"/>
      <c r="AL217" s="438"/>
      <c r="AM217" s="438"/>
      <c r="AN217" s="438"/>
      <c r="AR217" s="486"/>
    </row>
    <row r="218" spans="16:44" s="400" customFormat="1">
      <c r="P218" s="438"/>
      <c r="Q218" s="438"/>
      <c r="R218" s="438"/>
      <c r="S218" s="438"/>
      <c r="T218" s="438"/>
      <c r="U218" s="438"/>
      <c r="V218" s="438"/>
      <c r="W218" s="438"/>
      <c r="X218" s="438"/>
      <c r="Y218" s="438"/>
      <c r="Z218" s="438"/>
      <c r="AA218" s="438"/>
      <c r="AC218" s="438"/>
      <c r="AD218" s="438"/>
      <c r="AE218" s="438"/>
      <c r="AF218" s="438"/>
      <c r="AG218" s="438"/>
      <c r="AH218" s="438"/>
      <c r="AI218" s="438"/>
      <c r="AJ218" s="438"/>
      <c r="AK218" s="438"/>
      <c r="AL218" s="438"/>
      <c r="AM218" s="438"/>
      <c r="AN218" s="438"/>
      <c r="AR218" s="486"/>
    </row>
    <row r="219" spans="16:44" s="400" customFormat="1">
      <c r="P219" s="438"/>
      <c r="Q219" s="438"/>
      <c r="R219" s="438"/>
      <c r="S219" s="438"/>
      <c r="T219" s="438"/>
      <c r="U219" s="438"/>
      <c r="V219" s="438"/>
      <c r="W219" s="438"/>
      <c r="X219" s="438"/>
      <c r="Y219" s="438"/>
      <c r="Z219" s="438"/>
      <c r="AA219" s="438"/>
      <c r="AC219" s="438"/>
      <c r="AD219" s="438"/>
      <c r="AE219" s="438"/>
      <c r="AF219" s="438"/>
      <c r="AG219" s="438"/>
      <c r="AH219" s="438"/>
      <c r="AI219" s="438"/>
      <c r="AJ219" s="438"/>
      <c r="AK219" s="438"/>
      <c r="AL219" s="438"/>
      <c r="AM219" s="438"/>
      <c r="AN219" s="438"/>
      <c r="AR219" s="486"/>
    </row>
    <row r="220" spans="16:44" s="400" customFormat="1">
      <c r="P220" s="438"/>
      <c r="Q220" s="438"/>
      <c r="R220" s="438"/>
      <c r="S220" s="438"/>
      <c r="T220" s="438"/>
      <c r="U220" s="438"/>
      <c r="V220" s="438"/>
      <c r="W220" s="438"/>
      <c r="X220" s="438"/>
      <c r="Y220" s="438"/>
      <c r="Z220" s="438"/>
      <c r="AA220" s="438"/>
      <c r="AC220" s="438"/>
      <c r="AD220" s="438"/>
      <c r="AE220" s="438"/>
      <c r="AF220" s="438"/>
      <c r="AG220" s="438"/>
      <c r="AH220" s="438"/>
      <c r="AI220" s="438"/>
      <c r="AJ220" s="438"/>
      <c r="AK220" s="438"/>
      <c r="AL220" s="438"/>
      <c r="AM220" s="438"/>
      <c r="AN220" s="438"/>
      <c r="AR220" s="486"/>
    </row>
    <row r="221" spans="16:44" s="400" customFormat="1">
      <c r="P221" s="438"/>
      <c r="Q221" s="438"/>
      <c r="R221" s="438"/>
      <c r="S221" s="438"/>
      <c r="T221" s="438"/>
      <c r="U221" s="438"/>
      <c r="V221" s="438"/>
      <c r="W221" s="438"/>
      <c r="X221" s="438"/>
      <c r="Y221" s="438"/>
      <c r="Z221" s="438"/>
      <c r="AA221" s="438"/>
      <c r="AC221" s="438"/>
      <c r="AD221" s="438"/>
      <c r="AE221" s="438"/>
      <c r="AF221" s="438"/>
      <c r="AG221" s="438"/>
      <c r="AH221" s="438"/>
      <c r="AI221" s="438"/>
      <c r="AJ221" s="438"/>
      <c r="AK221" s="438"/>
      <c r="AL221" s="438"/>
      <c r="AM221" s="438"/>
      <c r="AN221" s="438"/>
      <c r="AR221" s="486"/>
    </row>
    <row r="222" spans="16:44" s="400" customFormat="1">
      <c r="P222" s="438"/>
      <c r="Q222" s="438"/>
      <c r="R222" s="438"/>
      <c r="S222" s="438"/>
      <c r="T222" s="438"/>
      <c r="U222" s="438"/>
      <c r="V222" s="438"/>
      <c r="W222" s="438"/>
      <c r="X222" s="438"/>
      <c r="Y222" s="438"/>
      <c r="Z222" s="438"/>
      <c r="AA222" s="438"/>
      <c r="AC222" s="438"/>
      <c r="AD222" s="438"/>
      <c r="AE222" s="438"/>
      <c r="AF222" s="438"/>
      <c r="AG222" s="438"/>
      <c r="AH222" s="438"/>
      <c r="AI222" s="438"/>
      <c r="AJ222" s="438"/>
      <c r="AK222" s="438"/>
      <c r="AL222" s="438"/>
      <c r="AM222" s="438"/>
      <c r="AN222" s="438"/>
      <c r="AR222" s="486"/>
    </row>
    <row r="223" spans="16:44" s="400" customFormat="1">
      <c r="P223" s="438"/>
      <c r="Q223" s="438"/>
      <c r="R223" s="438"/>
      <c r="S223" s="438"/>
      <c r="T223" s="438"/>
      <c r="U223" s="438"/>
      <c r="V223" s="438"/>
      <c r="W223" s="438"/>
      <c r="X223" s="438"/>
      <c r="Y223" s="438"/>
      <c r="Z223" s="438"/>
      <c r="AA223" s="438"/>
      <c r="AC223" s="438"/>
      <c r="AD223" s="438"/>
      <c r="AE223" s="438"/>
      <c r="AF223" s="438"/>
      <c r="AG223" s="438"/>
      <c r="AH223" s="438"/>
      <c r="AI223" s="438"/>
      <c r="AJ223" s="438"/>
      <c r="AK223" s="438"/>
      <c r="AL223" s="438"/>
      <c r="AM223" s="438"/>
      <c r="AN223" s="438"/>
      <c r="AR223" s="486"/>
    </row>
    <row r="224" spans="16:44" s="400" customFormat="1">
      <c r="P224" s="438"/>
      <c r="Q224" s="438"/>
      <c r="R224" s="438"/>
      <c r="S224" s="438"/>
      <c r="T224" s="438"/>
      <c r="U224" s="438"/>
      <c r="V224" s="438"/>
      <c r="W224" s="438"/>
      <c r="X224" s="438"/>
      <c r="Y224" s="438"/>
      <c r="Z224" s="438"/>
      <c r="AA224" s="438"/>
      <c r="AC224" s="438"/>
      <c r="AD224" s="438"/>
      <c r="AE224" s="438"/>
      <c r="AF224" s="438"/>
      <c r="AG224" s="438"/>
      <c r="AH224" s="438"/>
      <c r="AI224" s="438"/>
      <c r="AJ224" s="438"/>
      <c r="AK224" s="438"/>
      <c r="AL224" s="438"/>
      <c r="AM224" s="438"/>
      <c r="AN224" s="438"/>
      <c r="AR224" s="486"/>
    </row>
    <row r="225" spans="16:44" s="400" customFormat="1">
      <c r="P225" s="438"/>
      <c r="Q225" s="438"/>
      <c r="R225" s="438"/>
      <c r="S225" s="438"/>
      <c r="T225" s="438"/>
      <c r="U225" s="438"/>
      <c r="V225" s="438"/>
      <c r="W225" s="438"/>
      <c r="X225" s="438"/>
      <c r="Y225" s="438"/>
      <c r="Z225" s="438"/>
      <c r="AA225" s="438"/>
      <c r="AC225" s="438"/>
      <c r="AD225" s="438"/>
      <c r="AE225" s="438"/>
      <c r="AF225" s="438"/>
      <c r="AG225" s="438"/>
      <c r="AH225" s="438"/>
      <c r="AI225" s="438"/>
      <c r="AJ225" s="438"/>
      <c r="AK225" s="438"/>
      <c r="AL225" s="438"/>
      <c r="AM225" s="438"/>
      <c r="AN225" s="438"/>
      <c r="AR225" s="486"/>
    </row>
    <row r="226" spans="16:44" s="400" customFormat="1">
      <c r="P226" s="438"/>
      <c r="Q226" s="438"/>
      <c r="R226" s="438"/>
      <c r="S226" s="438"/>
      <c r="T226" s="438"/>
      <c r="U226" s="438"/>
      <c r="V226" s="438"/>
      <c r="W226" s="438"/>
      <c r="X226" s="438"/>
      <c r="Y226" s="438"/>
      <c r="Z226" s="438"/>
      <c r="AA226" s="438"/>
      <c r="AC226" s="438"/>
      <c r="AD226" s="438"/>
      <c r="AE226" s="438"/>
      <c r="AF226" s="438"/>
      <c r="AG226" s="438"/>
      <c r="AH226" s="438"/>
      <c r="AI226" s="438"/>
      <c r="AJ226" s="438"/>
      <c r="AK226" s="438"/>
      <c r="AL226" s="438"/>
      <c r="AM226" s="438"/>
      <c r="AN226" s="438"/>
      <c r="AR226" s="486"/>
    </row>
    <row r="227" spans="16:44" s="400" customFormat="1">
      <c r="P227" s="438"/>
      <c r="Q227" s="438"/>
      <c r="R227" s="438"/>
      <c r="S227" s="438"/>
      <c r="T227" s="438"/>
      <c r="U227" s="438"/>
      <c r="V227" s="438"/>
      <c r="W227" s="438"/>
      <c r="X227" s="438"/>
      <c r="Y227" s="438"/>
      <c r="Z227" s="438"/>
      <c r="AA227" s="438"/>
      <c r="AC227" s="438"/>
      <c r="AD227" s="438"/>
      <c r="AE227" s="438"/>
      <c r="AF227" s="438"/>
      <c r="AG227" s="438"/>
      <c r="AH227" s="438"/>
      <c r="AI227" s="438"/>
      <c r="AJ227" s="438"/>
      <c r="AK227" s="438"/>
      <c r="AL227" s="438"/>
      <c r="AM227" s="438"/>
      <c r="AN227" s="438"/>
      <c r="AR227" s="486"/>
    </row>
    <row r="228" spans="16:44" s="400" customFormat="1">
      <c r="P228" s="438"/>
      <c r="Q228" s="438"/>
      <c r="R228" s="438"/>
      <c r="S228" s="438"/>
      <c r="T228" s="438"/>
      <c r="U228" s="438"/>
      <c r="V228" s="438"/>
      <c r="W228" s="438"/>
      <c r="X228" s="438"/>
      <c r="Y228" s="438"/>
      <c r="Z228" s="438"/>
      <c r="AA228" s="438"/>
      <c r="AC228" s="438"/>
      <c r="AD228" s="438"/>
      <c r="AE228" s="438"/>
      <c r="AF228" s="438"/>
      <c r="AG228" s="438"/>
      <c r="AH228" s="438"/>
      <c r="AI228" s="438"/>
      <c r="AJ228" s="438"/>
      <c r="AK228" s="438"/>
      <c r="AL228" s="438"/>
      <c r="AM228" s="438"/>
      <c r="AN228" s="438"/>
      <c r="AR228" s="486"/>
    </row>
    <row r="229" spans="16:44" s="400" customFormat="1">
      <c r="P229" s="438"/>
      <c r="Q229" s="438"/>
      <c r="R229" s="438"/>
      <c r="S229" s="438"/>
      <c r="T229" s="438"/>
      <c r="U229" s="438"/>
      <c r="V229" s="438"/>
      <c r="W229" s="438"/>
      <c r="X229" s="438"/>
      <c r="Y229" s="438"/>
      <c r="Z229" s="438"/>
      <c r="AA229" s="438"/>
      <c r="AC229" s="438"/>
      <c r="AD229" s="438"/>
      <c r="AE229" s="438"/>
      <c r="AF229" s="438"/>
      <c r="AG229" s="438"/>
      <c r="AH229" s="438"/>
      <c r="AI229" s="438"/>
      <c r="AJ229" s="438"/>
      <c r="AK229" s="438"/>
      <c r="AL229" s="438"/>
      <c r="AM229" s="438"/>
      <c r="AN229" s="438"/>
      <c r="AR229" s="486"/>
    </row>
    <row r="230" spans="16:44" s="400" customFormat="1">
      <c r="P230" s="438"/>
      <c r="Q230" s="438"/>
      <c r="R230" s="438"/>
      <c r="S230" s="438"/>
      <c r="T230" s="438"/>
      <c r="U230" s="438"/>
      <c r="V230" s="438"/>
      <c r="W230" s="438"/>
      <c r="X230" s="438"/>
      <c r="Y230" s="438"/>
      <c r="Z230" s="438"/>
      <c r="AA230" s="438"/>
      <c r="AC230" s="438"/>
      <c r="AD230" s="438"/>
      <c r="AE230" s="438"/>
      <c r="AF230" s="438"/>
      <c r="AG230" s="438"/>
      <c r="AH230" s="438"/>
      <c r="AI230" s="438"/>
      <c r="AJ230" s="438"/>
      <c r="AK230" s="438"/>
      <c r="AL230" s="438"/>
      <c r="AM230" s="438"/>
      <c r="AN230" s="438"/>
      <c r="AR230" s="486"/>
    </row>
    <row r="231" spans="16:44" s="400" customFormat="1">
      <c r="P231" s="438"/>
      <c r="Q231" s="438"/>
      <c r="R231" s="438"/>
      <c r="S231" s="438"/>
      <c r="T231" s="438"/>
      <c r="U231" s="438"/>
      <c r="V231" s="438"/>
      <c r="W231" s="438"/>
      <c r="X231" s="438"/>
      <c r="Y231" s="438"/>
      <c r="Z231" s="438"/>
      <c r="AA231" s="438"/>
      <c r="AC231" s="438"/>
      <c r="AD231" s="438"/>
      <c r="AE231" s="438"/>
      <c r="AF231" s="438"/>
      <c r="AG231" s="438"/>
      <c r="AH231" s="438"/>
      <c r="AI231" s="438"/>
      <c r="AJ231" s="438"/>
      <c r="AK231" s="438"/>
      <c r="AL231" s="438"/>
      <c r="AM231" s="438"/>
      <c r="AN231" s="438"/>
      <c r="AR231" s="486"/>
    </row>
    <row r="232" spans="16:44" s="400" customFormat="1">
      <c r="P232" s="438"/>
      <c r="Q232" s="438"/>
      <c r="R232" s="438"/>
      <c r="S232" s="438"/>
      <c r="T232" s="438"/>
      <c r="U232" s="438"/>
      <c r="V232" s="438"/>
      <c r="W232" s="438"/>
      <c r="X232" s="438"/>
      <c r="Y232" s="438"/>
      <c r="Z232" s="438"/>
      <c r="AA232" s="438"/>
      <c r="AC232" s="438"/>
      <c r="AD232" s="438"/>
      <c r="AE232" s="438"/>
      <c r="AF232" s="438"/>
      <c r="AG232" s="438"/>
      <c r="AH232" s="438"/>
      <c r="AI232" s="438"/>
      <c r="AJ232" s="438"/>
      <c r="AK232" s="438"/>
      <c r="AL232" s="438"/>
      <c r="AM232" s="438"/>
      <c r="AN232" s="438"/>
      <c r="AR232" s="486"/>
    </row>
    <row r="233" spans="16:44" s="400" customFormat="1">
      <c r="P233" s="438"/>
      <c r="Q233" s="438"/>
      <c r="R233" s="438"/>
      <c r="S233" s="438"/>
      <c r="T233" s="438"/>
      <c r="U233" s="438"/>
      <c r="V233" s="438"/>
      <c r="W233" s="438"/>
      <c r="X233" s="438"/>
      <c r="Y233" s="438"/>
      <c r="Z233" s="438"/>
      <c r="AA233" s="438"/>
      <c r="AC233" s="438"/>
      <c r="AD233" s="438"/>
      <c r="AE233" s="438"/>
      <c r="AF233" s="438"/>
      <c r="AG233" s="438"/>
      <c r="AH233" s="438"/>
      <c r="AI233" s="438"/>
      <c r="AJ233" s="438"/>
      <c r="AK233" s="438"/>
      <c r="AL233" s="438"/>
      <c r="AM233" s="438"/>
      <c r="AN233" s="438"/>
      <c r="AR233" s="486"/>
    </row>
    <row r="234" spans="16:44" s="400" customFormat="1">
      <c r="P234" s="438"/>
      <c r="Q234" s="438"/>
      <c r="R234" s="438"/>
      <c r="S234" s="438"/>
      <c r="T234" s="438"/>
      <c r="U234" s="438"/>
      <c r="V234" s="438"/>
      <c r="W234" s="438"/>
      <c r="X234" s="438"/>
      <c r="Y234" s="438"/>
      <c r="Z234" s="438"/>
      <c r="AA234" s="438"/>
      <c r="AC234" s="438"/>
      <c r="AD234" s="438"/>
      <c r="AE234" s="438"/>
      <c r="AF234" s="438"/>
      <c r="AG234" s="438"/>
      <c r="AH234" s="438"/>
      <c r="AI234" s="438"/>
      <c r="AJ234" s="438"/>
      <c r="AK234" s="438"/>
      <c r="AL234" s="438"/>
      <c r="AM234" s="438"/>
      <c r="AN234" s="438"/>
      <c r="AR234" s="486"/>
    </row>
    <row r="235" spans="16:44" s="400" customFormat="1">
      <c r="P235" s="438"/>
      <c r="Q235" s="438"/>
      <c r="R235" s="438"/>
      <c r="S235" s="438"/>
      <c r="T235" s="438"/>
      <c r="U235" s="438"/>
      <c r="V235" s="438"/>
      <c r="W235" s="438"/>
      <c r="X235" s="438"/>
      <c r="Y235" s="438"/>
      <c r="Z235" s="438"/>
      <c r="AA235" s="438"/>
      <c r="AC235" s="438"/>
      <c r="AD235" s="438"/>
      <c r="AE235" s="438"/>
      <c r="AF235" s="438"/>
      <c r="AG235" s="438"/>
      <c r="AH235" s="438"/>
      <c r="AI235" s="438"/>
      <c r="AJ235" s="438"/>
      <c r="AK235" s="438"/>
      <c r="AL235" s="438"/>
      <c r="AM235" s="438"/>
      <c r="AN235" s="438"/>
      <c r="AR235" s="486"/>
    </row>
    <row r="236" spans="16:44" s="400" customFormat="1">
      <c r="P236" s="438"/>
      <c r="Q236" s="438"/>
      <c r="R236" s="438"/>
      <c r="S236" s="438"/>
      <c r="T236" s="438"/>
      <c r="U236" s="438"/>
      <c r="V236" s="438"/>
      <c r="W236" s="438"/>
      <c r="X236" s="438"/>
      <c r="Y236" s="438"/>
      <c r="Z236" s="438"/>
      <c r="AA236" s="438"/>
      <c r="AC236" s="438"/>
      <c r="AD236" s="438"/>
      <c r="AE236" s="438"/>
      <c r="AF236" s="438"/>
      <c r="AG236" s="438"/>
      <c r="AH236" s="438"/>
      <c r="AI236" s="438"/>
      <c r="AJ236" s="438"/>
      <c r="AK236" s="438"/>
      <c r="AL236" s="438"/>
      <c r="AM236" s="438"/>
      <c r="AN236" s="438"/>
      <c r="AR236" s="486"/>
    </row>
    <row r="237" spans="16:44" s="400" customFormat="1">
      <c r="P237" s="438"/>
      <c r="Q237" s="438"/>
      <c r="R237" s="438"/>
      <c r="S237" s="438"/>
      <c r="T237" s="438"/>
      <c r="U237" s="438"/>
      <c r="V237" s="438"/>
      <c r="W237" s="438"/>
      <c r="X237" s="438"/>
      <c r="Y237" s="438"/>
      <c r="Z237" s="438"/>
      <c r="AA237" s="438"/>
      <c r="AC237" s="438"/>
      <c r="AD237" s="438"/>
      <c r="AE237" s="438"/>
      <c r="AF237" s="438"/>
      <c r="AG237" s="438"/>
      <c r="AH237" s="438"/>
      <c r="AI237" s="438"/>
      <c r="AJ237" s="438"/>
      <c r="AK237" s="438"/>
      <c r="AL237" s="438"/>
      <c r="AM237" s="438"/>
      <c r="AN237" s="438"/>
      <c r="AR237" s="486"/>
    </row>
    <row r="238" spans="16:44" s="400" customFormat="1">
      <c r="P238" s="438"/>
      <c r="Q238" s="438"/>
      <c r="R238" s="438"/>
      <c r="S238" s="438"/>
      <c r="T238" s="438"/>
      <c r="U238" s="438"/>
      <c r="V238" s="438"/>
      <c r="W238" s="438"/>
      <c r="X238" s="438"/>
      <c r="Y238" s="438"/>
      <c r="Z238" s="438"/>
      <c r="AA238" s="438"/>
      <c r="AC238" s="438"/>
      <c r="AD238" s="438"/>
      <c r="AE238" s="438"/>
      <c r="AF238" s="438"/>
      <c r="AG238" s="438"/>
      <c r="AH238" s="438"/>
      <c r="AI238" s="438"/>
      <c r="AJ238" s="438"/>
      <c r="AK238" s="438"/>
      <c r="AL238" s="438"/>
      <c r="AM238" s="438"/>
      <c r="AN238" s="438"/>
      <c r="AR238" s="486"/>
    </row>
    <row r="239" spans="16:44" s="400" customFormat="1">
      <c r="P239" s="438"/>
      <c r="Q239" s="438"/>
      <c r="R239" s="438"/>
      <c r="S239" s="438"/>
      <c r="T239" s="438"/>
      <c r="U239" s="438"/>
      <c r="V239" s="438"/>
      <c r="W239" s="438"/>
      <c r="X239" s="438"/>
      <c r="Y239" s="438"/>
      <c r="Z239" s="438"/>
      <c r="AA239" s="438"/>
      <c r="AC239" s="438"/>
      <c r="AD239" s="438"/>
      <c r="AE239" s="438"/>
      <c r="AF239" s="438"/>
      <c r="AG239" s="438"/>
      <c r="AH239" s="438"/>
      <c r="AI239" s="438"/>
      <c r="AJ239" s="438"/>
      <c r="AK239" s="438"/>
      <c r="AL239" s="438"/>
      <c r="AM239" s="438"/>
      <c r="AN239" s="438"/>
      <c r="AR239" s="486"/>
    </row>
    <row r="240" spans="16:44" s="400" customFormat="1">
      <c r="P240" s="438"/>
      <c r="Q240" s="438"/>
      <c r="R240" s="438"/>
      <c r="S240" s="438"/>
      <c r="T240" s="438"/>
      <c r="U240" s="438"/>
      <c r="V240" s="438"/>
      <c r="W240" s="438"/>
      <c r="X240" s="438"/>
      <c r="Y240" s="438"/>
      <c r="Z240" s="438"/>
      <c r="AA240" s="438"/>
      <c r="AC240" s="438"/>
      <c r="AD240" s="438"/>
      <c r="AE240" s="438"/>
      <c r="AF240" s="438"/>
      <c r="AG240" s="438"/>
      <c r="AH240" s="438"/>
      <c r="AI240" s="438"/>
      <c r="AJ240" s="438"/>
      <c r="AK240" s="438"/>
      <c r="AL240" s="438"/>
      <c r="AM240" s="438"/>
      <c r="AN240" s="438"/>
      <c r="AR240" s="486"/>
    </row>
    <row r="241" spans="16:44" s="400" customFormat="1">
      <c r="P241" s="438"/>
      <c r="Q241" s="438"/>
      <c r="R241" s="438"/>
      <c r="S241" s="438"/>
      <c r="T241" s="438"/>
      <c r="U241" s="438"/>
      <c r="V241" s="438"/>
      <c r="W241" s="438"/>
      <c r="X241" s="438"/>
      <c r="Y241" s="438"/>
      <c r="Z241" s="438"/>
      <c r="AA241" s="438"/>
      <c r="AC241" s="438"/>
      <c r="AD241" s="438"/>
      <c r="AE241" s="438"/>
      <c r="AF241" s="438"/>
      <c r="AG241" s="438"/>
      <c r="AH241" s="438"/>
      <c r="AI241" s="438"/>
      <c r="AJ241" s="438"/>
      <c r="AK241" s="438"/>
      <c r="AL241" s="438"/>
      <c r="AM241" s="438"/>
      <c r="AN241" s="438"/>
      <c r="AR241" s="486"/>
    </row>
    <row r="242" spans="16:44" s="400" customFormat="1">
      <c r="P242" s="438"/>
      <c r="Q242" s="438"/>
      <c r="R242" s="438"/>
      <c r="S242" s="438"/>
      <c r="T242" s="438"/>
      <c r="U242" s="438"/>
      <c r="V242" s="438"/>
      <c r="W242" s="438"/>
      <c r="X242" s="438"/>
      <c r="Y242" s="438"/>
      <c r="Z242" s="438"/>
      <c r="AA242" s="438"/>
      <c r="AC242" s="438"/>
      <c r="AD242" s="438"/>
      <c r="AE242" s="438"/>
      <c r="AF242" s="438"/>
      <c r="AG242" s="438"/>
      <c r="AH242" s="438"/>
      <c r="AI242" s="438"/>
      <c r="AJ242" s="438"/>
      <c r="AK242" s="438"/>
      <c r="AL242" s="438"/>
      <c r="AM242" s="438"/>
      <c r="AN242" s="438"/>
      <c r="AR242" s="486"/>
    </row>
    <row r="243" spans="16:44" s="400" customFormat="1">
      <c r="P243" s="438"/>
      <c r="Q243" s="438"/>
      <c r="R243" s="438"/>
      <c r="S243" s="438"/>
      <c r="T243" s="438"/>
      <c r="U243" s="438"/>
      <c r="V243" s="438"/>
      <c r="W243" s="438"/>
      <c r="X243" s="438"/>
      <c r="Y243" s="438"/>
      <c r="Z243" s="438"/>
      <c r="AA243" s="438"/>
      <c r="AC243" s="438"/>
      <c r="AD243" s="438"/>
      <c r="AE243" s="438"/>
      <c r="AF243" s="438"/>
      <c r="AG243" s="438"/>
      <c r="AH243" s="438"/>
      <c r="AI243" s="438"/>
      <c r="AJ243" s="438"/>
      <c r="AK243" s="438"/>
      <c r="AL243" s="438"/>
      <c r="AM243" s="438"/>
      <c r="AN243" s="438"/>
      <c r="AR243" s="486"/>
    </row>
    <row r="244" spans="16:44" s="400" customFormat="1">
      <c r="P244" s="438"/>
      <c r="Q244" s="438"/>
      <c r="R244" s="438"/>
      <c r="S244" s="438"/>
      <c r="T244" s="438"/>
      <c r="U244" s="438"/>
      <c r="V244" s="438"/>
      <c r="W244" s="438"/>
      <c r="X244" s="438"/>
      <c r="Y244" s="438"/>
      <c r="Z244" s="438"/>
      <c r="AA244" s="438"/>
      <c r="AC244" s="438"/>
      <c r="AD244" s="438"/>
      <c r="AE244" s="438"/>
      <c r="AF244" s="438"/>
      <c r="AG244" s="438"/>
      <c r="AH244" s="438"/>
      <c r="AI244" s="438"/>
      <c r="AJ244" s="438"/>
      <c r="AK244" s="438"/>
      <c r="AL244" s="438"/>
      <c r="AM244" s="438"/>
      <c r="AN244" s="438"/>
      <c r="AR244" s="486"/>
    </row>
    <row r="245" spans="16:44" s="400" customFormat="1">
      <c r="P245" s="438"/>
      <c r="Q245" s="438"/>
      <c r="R245" s="438"/>
      <c r="S245" s="438"/>
      <c r="T245" s="438"/>
      <c r="U245" s="438"/>
      <c r="V245" s="438"/>
      <c r="W245" s="438"/>
      <c r="X245" s="438"/>
      <c r="Y245" s="438"/>
      <c r="Z245" s="438"/>
      <c r="AA245" s="438"/>
      <c r="AC245" s="438"/>
      <c r="AD245" s="438"/>
      <c r="AE245" s="438"/>
      <c r="AF245" s="438"/>
      <c r="AG245" s="438"/>
      <c r="AH245" s="438"/>
      <c r="AI245" s="438"/>
      <c r="AJ245" s="438"/>
      <c r="AK245" s="438"/>
      <c r="AL245" s="438"/>
      <c r="AM245" s="438"/>
      <c r="AN245" s="438"/>
      <c r="AR245" s="486"/>
    </row>
    <row r="246" spans="16:44" s="400" customFormat="1">
      <c r="P246" s="438"/>
      <c r="Q246" s="438"/>
      <c r="R246" s="438"/>
      <c r="S246" s="438"/>
      <c r="T246" s="438"/>
      <c r="U246" s="438"/>
      <c r="V246" s="438"/>
      <c r="W246" s="438"/>
      <c r="X246" s="438"/>
      <c r="Y246" s="438"/>
      <c r="Z246" s="438"/>
      <c r="AA246" s="438"/>
      <c r="AC246" s="438"/>
      <c r="AD246" s="438"/>
      <c r="AE246" s="438"/>
      <c r="AF246" s="438"/>
      <c r="AG246" s="438"/>
      <c r="AH246" s="438"/>
      <c r="AI246" s="438"/>
      <c r="AJ246" s="438"/>
      <c r="AK246" s="438"/>
      <c r="AL246" s="438"/>
      <c r="AM246" s="438"/>
      <c r="AN246" s="438"/>
      <c r="AR246" s="486"/>
    </row>
    <row r="247" spans="16:44" s="400" customFormat="1">
      <c r="P247" s="438"/>
      <c r="Q247" s="438"/>
      <c r="R247" s="438"/>
      <c r="S247" s="438"/>
      <c r="T247" s="438"/>
      <c r="U247" s="438"/>
      <c r="V247" s="438"/>
      <c r="W247" s="438"/>
      <c r="X247" s="438"/>
      <c r="Y247" s="438"/>
      <c r="Z247" s="438"/>
      <c r="AA247" s="438"/>
      <c r="AC247" s="438"/>
      <c r="AD247" s="438"/>
      <c r="AE247" s="438"/>
      <c r="AF247" s="438"/>
      <c r="AG247" s="438"/>
      <c r="AH247" s="438"/>
      <c r="AI247" s="438"/>
      <c r="AJ247" s="438"/>
      <c r="AK247" s="438"/>
      <c r="AL247" s="438"/>
      <c r="AM247" s="438"/>
      <c r="AN247" s="438"/>
      <c r="AR247" s="486"/>
    </row>
    <row r="248" spans="16:44" s="400" customFormat="1">
      <c r="P248" s="438"/>
      <c r="Q248" s="438"/>
      <c r="R248" s="438"/>
      <c r="S248" s="438"/>
      <c r="T248" s="438"/>
      <c r="U248" s="438"/>
      <c r="V248" s="438"/>
      <c r="W248" s="438"/>
      <c r="X248" s="438"/>
      <c r="Y248" s="438"/>
      <c r="Z248" s="438"/>
      <c r="AA248" s="438"/>
      <c r="AC248" s="438"/>
      <c r="AD248" s="438"/>
      <c r="AE248" s="438"/>
      <c r="AF248" s="438"/>
      <c r="AG248" s="438"/>
      <c r="AH248" s="438"/>
      <c r="AI248" s="438"/>
      <c r="AJ248" s="438"/>
      <c r="AK248" s="438"/>
      <c r="AL248" s="438"/>
      <c r="AM248" s="438"/>
      <c r="AN248" s="438"/>
      <c r="AR248" s="486"/>
    </row>
    <row r="249" spans="16:44" s="400" customFormat="1">
      <c r="P249" s="438"/>
      <c r="Q249" s="438"/>
      <c r="R249" s="438"/>
      <c r="S249" s="438"/>
      <c r="T249" s="438"/>
      <c r="U249" s="438"/>
      <c r="V249" s="438"/>
      <c r="W249" s="438"/>
      <c r="X249" s="438"/>
      <c r="Y249" s="438"/>
      <c r="Z249" s="438"/>
      <c r="AA249" s="438"/>
      <c r="AC249" s="438"/>
      <c r="AD249" s="438"/>
      <c r="AE249" s="438"/>
      <c r="AF249" s="438"/>
      <c r="AG249" s="438"/>
      <c r="AH249" s="438"/>
      <c r="AI249" s="438"/>
      <c r="AJ249" s="438"/>
      <c r="AK249" s="438"/>
      <c r="AL249" s="438"/>
      <c r="AM249" s="438"/>
      <c r="AN249" s="438"/>
      <c r="AR249" s="486"/>
    </row>
    <row r="250" spans="16:44" s="400" customFormat="1">
      <c r="P250" s="438"/>
      <c r="Q250" s="438"/>
      <c r="R250" s="438"/>
      <c r="S250" s="438"/>
      <c r="T250" s="438"/>
      <c r="U250" s="438"/>
      <c r="V250" s="438"/>
      <c r="W250" s="438"/>
      <c r="X250" s="438"/>
      <c r="Y250" s="438"/>
      <c r="Z250" s="438"/>
      <c r="AA250" s="438"/>
      <c r="AC250" s="438"/>
      <c r="AD250" s="438"/>
      <c r="AE250" s="438"/>
      <c r="AF250" s="438"/>
      <c r="AG250" s="438"/>
      <c r="AH250" s="438"/>
      <c r="AI250" s="438"/>
      <c r="AJ250" s="438"/>
      <c r="AK250" s="438"/>
      <c r="AL250" s="438"/>
      <c r="AM250" s="438"/>
      <c r="AN250" s="438"/>
      <c r="AR250" s="486"/>
    </row>
    <row r="251" spans="16:44" s="400" customFormat="1">
      <c r="P251" s="438"/>
      <c r="Q251" s="438"/>
      <c r="R251" s="438"/>
      <c r="S251" s="438"/>
      <c r="T251" s="438"/>
      <c r="U251" s="438"/>
      <c r="V251" s="438"/>
      <c r="W251" s="438"/>
      <c r="X251" s="438"/>
      <c r="Y251" s="438"/>
      <c r="Z251" s="438"/>
      <c r="AA251" s="438"/>
      <c r="AC251" s="438"/>
      <c r="AD251" s="438"/>
      <c r="AE251" s="438"/>
      <c r="AF251" s="438"/>
      <c r="AG251" s="438"/>
      <c r="AH251" s="438"/>
      <c r="AI251" s="438"/>
      <c r="AJ251" s="438"/>
      <c r="AK251" s="438"/>
      <c r="AL251" s="438"/>
      <c r="AM251" s="438"/>
      <c r="AN251" s="438"/>
      <c r="AR251" s="486"/>
    </row>
    <row r="252" spans="16:44" s="400" customFormat="1">
      <c r="P252" s="438"/>
      <c r="Q252" s="438"/>
      <c r="R252" s="438"/>
      <c r="S252" s="438"/>
      <c r="T252" s="438"/>
      <c r="U252" s="438"/>
      <c r="V252" s="438"/>
      <c r="W252" s="438"/>
      <c r="X252" s="438"/>
      <c r="Y252" s="438"/>
      <c r="Z252" s="438"/>
      <c r="AA252" s="438"/>
      <c r="AC252" s="438"/>
      <c r="AD252" s="438"/>
      <c r="AE252" s="438"/>
      <c r="AF252" s="438"/>
      <c r="AG252" s="438"/>
      <c r="AH252" s="438"/>
      <c r="AI252" s="438"/>
      <c r="AJ252" s="438"/>
      <c r="AK252" s="438"/>
      <c r="AL252" s="438"/>
      <c r="AM252" s="438"/>
      <c r="AN252" s="438"/>
      <c r="AR252" s="486"/>
    </row>
    <row r="253" spans="16:44" s="400" customFormat="1">
      <c r="P253" s="438"/>
      <c r="Q253" s="438"/>
      <c r="R253" s="438"/>
      <c r="S253" s="438"/>
      <c r="T253" s="438"/>
      <c r="U253" s="438"/>
      <c r="V253" s="438"/>
      <c r="W253" s="438"/>
      <c r="X253" s="438"/>
      <c r="Y253" s="438"/>
      <c r="Z253" s="438"/>
      <c r="AA253" s="438"/>
      <c r="AC253" s="438"/>
      <c r="AD253" s="438"/>
      <c r="AE253" s="438"/>
      <c r="AF253" s="438"/>
      <c r="AG253" s="438"/>
      <c r="AH253" s="438"/>
      <c r="AI253" s="438"/>
      <c r="AJ253" s="438"/>
      <c r="AK253" s="438"/>
      <c r="AL253" s="438"/>
      <c r="AM253" s="438"/>
      <c r="AN253" s="438"/>
      <c r="AR253" s="486"/>
    </row>
    <row r="254" spans="16:44" s="400" customFormat="1">
      <c r="P254" s="438"/>
      <c r="Q254" s="438"/>
      <c r="R254" s="438"/>
      <c r="S254" s="438"/>
      <c r="T254" s="438"/>
      <c r="U254" s="438"/>
      <c r="V254" s="438"/>
      <c r="W254" s="438"/>
      <c r="X254" s="438"/>
      <c r="Y254" s="438"/>
      <c r="Z254" s="438"/>
      <c r="AA254" s="438"/>
      <c r="AC254" s="438"/>
      <c r="AD254" s="438"/>
      <c r="AE254" s="438"/>
      <c r="AF254" s="438"/>
      <c r="AG254" s="438"/>
      <c r="AH254" s="438"/>
      <c r="AI254" s="438"/>
      <c r="AJ254" s="438"/>
      <c r="AK254" s="438"/>
      <c r="AL254" s="438"/>
      <c r="AM254" s="438"/>
      <c r="AN254" s="438"/>
      <c r="AR254" s="486"/>
    </row>
    <row r="255" spans="16:44" s="400" customFormat="1">
      <c r="P255" s="438"/>
      <c r="Q255" s="438"/>
      <c r="R255" s="438"/>
      <c r="S255" s="438"/>
      <c r="T255" s="438"/>
      <c r="U255" s="438"/>
      <c r="V255" s="438"/>
      <c r="W255" s="438"/>
      <c r="X255" s="438"/>
      <c r="Y255" s="438"/>
      <c r="Z255" s="438"/>
      <c r="AA255" s="438"/>
      <c r="AC255" s="438"/>
      <c r="AD255" s="438"/>
      <c r="AE255" s="438"/>
      <c r="AF255" s="438"/>
      <c r="AG255" s="438"/>
      <c r="AH255" s="438"/>
      <c r="AI255" s="438"/>
      <c r="AJ255" s="438"/>
      <c r="AK255" s="438"/>
      <c r="AL255" s="438"/>
      <c r="AM255" s="438"/>
      <c r="AN255" s="438"/>
      <c r="AR255" s="486"/>
    </row>
  </sheetData>
  <mergeCells count="4">
    <mergeCell ref="C1:N1"/>
    <mergeCell ref="P1:AA1"/>
    <mergeCell ref="AC1:AN1"/>
    <mergeCell ref="AS1:B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111E-A9FA-4F58-883B-FC9FC0D7BFB7}">
  <dimension ref="A1:Q169"/>
  <sheetViews>
    <sheetView topLeftCell="A133" zoomScale="110" zoomScaleNormal="110" workbookViewId="0">
      <selection activeCell="B152" sqref="B152"/>
    </sheetView>
  </sheetViews>
  <sheetFormatPr baseColWidth="10" defaultRowHeight="15"/>
  <cols>
    <col min="1" max="1" width="40.42578125" style="127" customWidth="1"/>
    <col min="2" max="2" width="17.7109375" style="127" bestFit="1" customWidth="1"/>
    <col min="3" max="3" width="3.28515625" customWidth="1"/>
    <col min="4" max="4" width="17.7109375" style="127" bestFit="1" customWidth="1"/>
    <col min="5" max="5" width="10.85546875" bestFit="1" customWidth="1"/>
    <col min="6" max="6" width="53.5703125" bestFit="1" customWidth="1"/>
    <col min="13" max="13" width="55.42578125" style="127" bestFit="1" customWidth="1"/>
    <col min="14" max="16" width="15.5703125" style="127" customWidth="1"/>
  </cols>
  <sheetData>
    <row r="1" spans="1:17" ht="15.75" thickBot="1">
      <c r="N1" s="132" t="s">
        <v>465</v>
      </c>
      <c r="O1" s="132" t="s">
        <v>466</v>
      </c>
      <c r="P1" s="132" t="s">
        <v>467</v>
      </c>
    </row>
    <row r="2" spans="1:17" ht="15.75" thickBot="1">
      <c r="A2" s="130"/>
      <c r="B2" s="534" t="s">
        <v>468</v>
      </c>
      <c r="C2" s="535"/>
      <c r="D2" s="536"/>
      <c r="M2" s="130"/>
      <c r="N2" s="132" t="s">
        <v>14</v>
      </c>
      <c r="O2" s="132" t="s">
        <v>43</v>
      </c>
      <c r="P2" s="132"/>
    </row>
    <row r="3" spans="1:17">
      <c r="A3" s="137" t="s">
        <v>46</v>
      </c>
      <c r="B3" s="526">
        <v>46162</v>
      </c>
      <c r="D3" s="526"/>
      <c r="M3" s="137" t="s">
        <v>46</v>
      </c>
      <c r="N3" s="139"/>
      <c r="O3" s="139"/>
      <c r="P3" s="139"/>
    </row>
    <row r="4" spans="1:17">
      <c r="A4" s="143" t="s">
        <v>47</v>
      </c>
      <c r="B4" s="148">
        <v>113346.91</v>
      </c>
      <c r="D4" s="148">
        <f>'Ing y gtos'!BV4</f>
        <v>113346.91</v>
      </c>
      <c r="E4" s="541">
        <f>D4-B4</f>
        <v>0</v>
      </c>
      <c r="F4" t="s">
        <v>533</v>
      </c>
      <c r="M4" s="143" t="s">
        <v>47</v>
      </c>
      <c r="N4" s="148">
        <v>167719.55000000002</v>
      </c>
      <c r="O4" s="148">
        <v>73996.36</v>
      </c>
      <c r="P4" s="148">
        <f>'Ing y gtos'!BV4</f>
        <v>113346.91</v>
      </c>
      <c r="Q4" s="525" t="s">
        <v>469</v>
      </c>
    </row>
    <row r="5" spans="1:17">
      <c r="A5" s="143" t="s">
        <v>48</v>
      </c>
      <c r="B5" s="148">
        <v>18260.019999999997</v>
      </c>
      <c r="D5" s="148">
        <f>'Ing y gtos'!BV5</f>
        <v>18260.019999999997</v>
      </c>
      <c r="E5" s="511">
        <f t="shared" ref="E5:E68" si="0">D5-B5</f>
        <v>0</v>
      </c>
      <c r="F5" t="s">
        <v>500</v>
      </c>
      <c r="M5" s="143" t="s">
        <v>48</v>
      </c>
      <c r="N5" s="148">
        <v>13344.7</v>
      </c>
      <c r="O5" s="148">
        <v>8865.1700000000019</v>
      </c>
      <c r="P5" s="148">
        <f>'Ing y gtos'!BV5</f>
        <v>18260.019999999997</v>
      </c>
    </row>
    <row r="6" spans="1:17" ht="15.75">
      <c r="A6" s="171" t="s">
        <v>49</v>
      </c>
      <c r="B6" s="173">
        <v>131606.93</v>
      </c>
      <c r="D6" s="173">
        <f>'Ing y gtos'!BV6</f>
        <v>131606.93</v>
      </c>
      <c r="E6" s="511">
        <f t="shared" si="0"/>
        <v>0</v>
      </c>
      <c r="F6" s="521" t="s">
        <v>502</v>
      </c>
      <c r="M6" s="171" t="s">
        <v>49</v>
      </c>
      <c r="N6" s="173">
        <v>181064.25000000003</v>
      </c>
      <c r="O6" s="173">
        <v>82861.53</v>
      </c>
      <c r="P6" s="173">
        <f>'Ing y gtos'!BV6</f>
        <v>131606.93</v>
      </c>
    </row>
    <row r="7" spans="1:17">
      <c r="A7" s="180" t="s">
        <v>31</v>
      </c>
      <c r="B7" s="183">
        <v>0</v>
      </c>
      <c r="D7" s="183">
        <f>'Ing y gtos'!BV7</f>
        <v>0</v>
      </c>
      <c r="E7" s="511"/>
      <c r="M7" s="180" t="s">
        <v>31</v>
      </c>
      <c r="N7" s="183">
        <v>0</v>
      </c>
      <c r="O7" s="183">
        <v>0</v>
      </c>
      <c r="P7" s="183">
        <f>'Ing y gtos'!BV7</f>
        <v>0</v>
      </c>
    </row>
    <row r="8" spans="1:17">
      <c r="B8" s="160"/>
      <c r="D8" s="160"/>
      <c r="E8" s="511"/>
      <c r="N8" s="160"/>
      <c r="O8" s="160"/>
      <c r="P8" s="160"/>
    </row>
    <row r="9" spans="1:17">
      <c r="A9" s="193" t="s">
        <v>50</v>
      </c>
      <c r="B9" s="202">
        <v>11610.39</v>
      </c>
      <c r="D9" s="202">
        <f>'Ing y gtos'!BV9</f>
        <v>11610.39</v>
      </c>
      <c r="E9" s="511">
        <f t="shared" si="0"/>
        <v>0</v>
      </c>
      <c r="M9" s="193" t="s">
        <v>50</v>
      </c>
      <c r="N9" s="202">
        <v>12767.42</v>
      </c>
      <c r="O9" s="202">
        <v>11139.77</v>
      </c>
      <c r="P9" s="202">
        <f>'Ing y gtos'!BV9</f>
        <v>11610.39</v>
      </c>
    </row>
    <row r="10" spans="1:17">
      <c r="A10" s="143" t="s">
        <v>51</v>
      </c>
      <c r="B10" s="148">
        <v>0</v>
      </c>
      <c r="D10" s="148">
        <f>'Ing y gtos'!BV10</f>
        <v>0</v>
      </c>
      <c r="E10" s="511">
        <f t="shared" si="0"/>
        <v>0</v>
      </c>
      <c r="M10" s="143" t="s">
        <v>51</v>
      </c>
      <c r="N10" s="148">
        <v>0</v>
      </c>
      <c r="O10" s="148">
        <v>0</v>
      </c>
      <c r="P10" s="148">
        <f>'Ing y gtos'!BV10</f>
        <v>0</v>
      </c>
    </row>
    <row r="11" spans="1:17">
      <c r="A11" s="143" t="s">
        <v>52</v>
      </c>
      <c r="B11" s="148">
        <v>18438.27</v>
      </c>
      <c r="D11" s="148">
        <f>'Ing y gtos'!BV11</f>
        <v>18438.27</v>
      </c>
      <c r="E11" s="511">
        <f t="shared" si="0"/>
        <v>0</v>
      </c>
      <c r="M11" s="143" t="s">
        <v>52</v>
      </c>
      <c r="N11" s="148">
        <v>8056.6</v>
      </c>
      <c r="O11" s="148">
        <v>18834.78</v>
      </c>
      <c r="P11" s="148">
        <f>'Ing y gtos'!BV11</f>
        <v>18438.27</v>
      </c>
    </row>
    <row r="12" spans="1:17">
      <c r="A12" s="143" t="s">
        <v>53</v>
      </c>
      <c r="B12" s="148">
        <v>7590.12</v>
      </c>
      <c r="D12" s="148">
        <f>'Ing y gtos'!BV12</f>
        <v>7590.12</v>
      </c>
      <c r="E12" s="511">
        <f t="shared" si="0"/>
        <v>0</v>
      </c>
      <c r="M12" s="143" t="s">
        <v>53</v>
      </c>
      <c r="N12" s="148">
        <v>10973.02</v>
      </c>
      <c r="O12" s="148">
        <v>7847.6399999999994</v>
      </c>
      <c r="P12" s="148">
        <f>'Ing y gtos'!BV12</f>
        <v>7590.12</v>
      </c>
    </row>
    <row r="13" spans="1:17">
      <c r="A13" s="143" t="s">
        <v>54</v>
      </c>
      <c r="B13" s="148">
        <v>0</v>
      </c>
      <c r="D13" s="148">
        <f>'Ing y gtos'!BV13</f>
        <v>0</v>
      </c>
      <c r="E13" s="511">
        <f t="shared" si="0"/>
        <v>0</v>
      </c>
      <c r="M13" s="143" t="s">
        <v>54</v>
      </c>
      <c r="N13" s="148">
        <v>0</v>
      </c>
      <c r="O13" s="148">
        <v>0</v>
      </c>
      <c r="P13" s="148">
        <f>'Ing y gtos'!BV13</f>
        <v>0</v>
      </c>
    </row>
    <row r="14" spans="1:17">
      <c r="A14" s="143" t="s">
        <v>55</v>
      </c>
      <c r="B14" s="148">
        <v>1711.8</v>
      </c>
      <c r="D14" s="148">
        <f>'Ing y gtos'!BV14</f>
        <v>1711.8</v>
      </c>
      <c r="E14" s="511">
        <f t="shared" si="0"/>
        <v>0</v>
      </c>
      <c r="M14" s="213" t="s">
        <v>55</v>
      </c>
      <c r="N14" s="148">
        <v>5725.81</v>
      </c>
      <c r="O14" s="148">
        <v>0</v>
      </c>
      <c r="P14" s="148">
        <f>'Ing y gtos'!BV14</f>
        <v>1711.8</v>
      </c>
    </row>
    <row r="15" spans="1:17" ht="15.75">
      <c r="A15" s="213" t="s">
        <v>504</v>
      </c>
      <c r="B15" s="148">
        <v>5337.45</v>
      </c>
      <c r="D15" s="148">
        <f>'Ing y gtos'!BV15</f>
        <v>5337.45</v>
      </c>
      <c r="E15" s="511">
        <f>D15-B15</f>
        <v>0</v>
      </c>
      <c r="F15" s="99"/>
      <c r="M15" s="171" t="s">
        <v>56</v>
      </c>
      <c r="N15" s="216">
        <v>218587.10000000003</v>
      </c>
      <c r="O15" s="216">
        <v>120683.72</v>
      </c>
      <c r="P15" s="216">
        <f>'Ing y gtos'!BV16</f>
        <v>176294.96</v>
      </c>
    </row>
    <row r="16" spans="1:17" ht="15.75">
      <c r="A16" s="171" t="s">
        <v>56</v>
      </c>
      <c r="B16" s="216">
        <v>176294.96</v>
      </c>
      <c r="D16" s="216">
        <f>'Ing y gtos'!BV16</f>
        <v>176294.96</v>
      </c>
      <c r="E16" s="511">
        <f>D16-B16</f>
        <v>0</v>
      </c>
      <c r="F16" s="521" t="s">
        <v>502</v>
      </c>
      <c r="M16" s="180" t="s">
        <v>31</v>
      </c>
      <c r="N16" s="183">
        <v>0</v>
      </c>
      <c r="O16" s="183">
        <v>0</v>
      </c>
      <c r="P16" s="183">
        <f>'Ing y gtos'!BV17</f>
        <v>0</v>
      </c>
    </row>
    <row r="17" spans="1:16">
      <c r="A17" s="180" t="s">
        <v>31</v>
      </c>
      <c r="B17" s="183">
        <v>0</v>
      </c>
      <c r="D17" s="183">
        <f>'Ing y gtos'!BV17</f>
        <v>0</v>
      </c>
      <c r="E17" s="511"/>
      <c r="M17" s="130" t="s">
        <v>57</v>
      </c>
      <c r="N17" s="223"/>
      <c r="O17" s="223"/>
      <c r="P17" s="223"/>
    </row>
    <row r="18" spans="1:16">
      <c r="A18" s="130" t="s">
        <v>57</v>
      </c>
      <c r="B18" s="223"/>
      <c r="D18" s="223"/>
      <c r="E18" s="511"/>
      <c r="M18" s="143" t="s">
        <v>58</v>
      </c>
      <c r="N18" s="148">
        <v>0</v>
      </c>
      <c r="O18" s="148">
        <v>0</v>
      </c>
      <c r="P18" s="148">
        <f>'Ing y gtos'!BV19</f>
        <v>0</v>
      </c>
    </row>
    <row r="19" spans="1:16">
      <c r="A19" s="143" t="s">
        <v>58</v>
      </c>
      <c r="B19" s="148">
        <v>0</v>
      </c>
      <c r="D19" s="148">
        <f>'Ing y gtos'!BV19</f>
        <v>0</v>
      </c>
      <c r="E19" s="511">
        <f t="shared" si="0"/>
        <v>0</v>
      </c>
      <c r="M19" s="143" t="s">
        <v>59</v>
      </c>
      <c r="N19" s="148">
        <v>8991.32</v>
      </c>
      <c r="O19" s="148">
        <v>10113.079999999998</v>
      </c>
      <c r="P19" s="148">
        <f>'Ing y gtos'!BV20</f>
        <v>10361.790000000001</v>
      </c>
    </row>
    <row r="20" spans="1:16">
      <c r="A20" s="143" t="s">
        <v>59</v>
      </c>
      <c r="B20" s="148">
        <v>7845.52</v>
      </c>
      <c r="D20" s="148">
        <f>'Ing y gtos'!BV20</f>
        <v>10361.790000000001</v>
      </c>
      <c r="E20" s="511">
        <f t="shared" si="0"/>
        <v>2516.2700000000004</v>
      </c>
      <c r="F20" t="s">
        <v>521</v>
      </c>
      <c r="M20" s="143" t="s">
        <v>60</v>
      </c>
      <c r="N20" s="148">
        <v>921.00359999999989</v>
      </c>
      <c r="O20" s="148">
        <v>1650.81</v>
      </c>
      <c r="P20" s="148">
        <f>'Ing y gtos'!BV21</f>
        <v>1046.8900000000001</v>
      </c>
    </row>
    <row r="21" spans="1:16">
      <c r="A21" s="143" t="s">
        <v>60</v>
      </c>
      <c r="B21" s="148">
        <v>1046.8900000000001</v>
      </c>
      <c r="D21" s="148">
        <f>'Ing y gtos'!BV21</f>
        <v>1046.8900000000001</v>
      </c>
      <c r="E21" s="511">
        <f t="shared" si="0"/>
        <v>0</v>
      </c>
      <c r="M21" s="143" t="s">
        <v>61</v>
      </c>
      <c r="N21" s="148">
        <v>0</v>
      </c>
      <c r="O21" s="148">
        <v>0</v>
      </c>
      <c r="P21" s="148">
        <f>'Ing y gtos'!BV22</f>
        <v>350</v>
      </c>
    </row>
    <row r="22" spans="1:16">
      <c r="A22" s="143" t="s">
        <v>61</v>
      </c>
      <c r="B22" s="148">
        <v>350</v>
      </c>
      <c r="D22" s="148">
        <f>'Ing y gtos'!BV22</f>
        <v>350</v>
      </c>
      <c r="E22" s="511">
        <f t="shared" si="0"/>
        <v>0</v>
      </c>
      <c r="M22" s="143" t="s">
        <v>62</v>
      </c>
      <c r="N22" s="148">
        <v>0</v>
      </c>
      <c r="O22" s="148">
        <v>883.96</v>
      </c>
      <c r="P22" s="148">
        <f>'Ing y gtos'!BV23</f>
        <v>1257.5</v>
      </c>
    </row>
    <row r="23" spans="1:16">
      <c r="A23" s="143" t="s">
        <v>62</v>
      </c>
      <c r="B23" s="148">
        <v>1257.5</v>
      </c>
      <c r="D23" s="148">
        <f>'Ing y gtos'!BV23</f>
        <v>1257.5</v>
      </c>
      <c r="E23" s="511">
        <f t="shared" si="0"/>
        <v>0</v>
      </c>
      <c r="M23" s="143" t="s">
        <v>63</v>
      </c>
      <c r="N23" s="148">
        <v>1486.49</v>
      </c>
      <c r="O23" s="148">
        <v>1160.75</v>
      </c>
      <c r="P23" s="148">
        <f>'Ing y gtos'!BV24</f>
        <v>2560.58</v>
      </c>
    </row>
    <row r="24" spans="1:16">
      <c r="A24" s="143" t="s">
        <v>63</v>
      </c>
      <c r="B24" s="148">
        <v>2560.58</v>
      </c>
      <c r="D24" s="148">
        <f>'Ing y gtos'!BV24</f>
        <v>2560.58</v>
      </c>
      <c r="E24" s="511">
        <f t="shared" si="0"/>
        <v>0</v>
      </c>
      <c r="M24" s="143" t="s">
        <v>64</v>
      </c>
      <c r="N24" s="148">
        <v>2557.09</v>
      </c>
      <c r="O24" s="148">
        <v>-3912.6099999999997</v>
      </c>
      <c r="P24" s="148">
        <f>'Ing y gtos'!BV25</f>
        <v>3949.8099999999995</v>
      </c>
    </row>
    <row r="25" spans="1:16">
      <c r="A25" s="143" t="s">
        <v>64</v>
      </c>
      <c r="B25" s="148">
        <v>3949.8099999999995</v>
      </c>
      <c r="D25" s="148">
        <f>'Ing y gtos'!BV25</f>
        <v>3949.8099999999995</v>
      </c>
      <c r="E25" s="511">
        <f t="shared" si="0"/>
        <v>0</v>
      </c>
      <c r="M25" s="143" t="s">
        <v>65</v>
      </c>
      <c r="N25" s="148">
        <v>0</v>
      </c>
      <c r="O25" s="148">
        <v>0</v>
      </c>
      <c r="P25" s="148">
        <f>'Ing y gtos'!BV26</f>
        <v>0</v>
      </c>
    </row>
    <row r="26" spans="1:16">
      <c r="A26" s="143" t="s">
        <v>65</v>
      </c>
      <c r="B26" s="148">
        <v>0</v>
      </c>
      <c r="D26" s="148">
        <f>'Ing y gtos'!BV26</f>
        <v>0</v>
      </c>
      <c r="E26" s="511">
        <f t="shared" si="0"/>
        <v>0</v>
      </c>
      <c r="M26" s="143" t="s">
        <v>66</v>
      </c>
      <c r="N26" s="148">
        <v>0</v>
      </c>
      <c r="O26" s="148">
        <v>160.19</v>
      </c>
      <c r="P26" s="148">
        <f>'Ing y gtos'!BV27</f>
        <v>0</v>
      </c>
    </row>
    <row r="27" spans="1:16">
      <c r="A27" s="143" t="s">
        <v>66</v>
      </c>
      <c r="B27" s="148">
        <v>0</v>
      </c>
      <c r="D27" s="148">
        <f>'Ing y gtos'!BV27</f>
        <v>0</v>
      </c>
      <c r="E27" s="511">
        <f t="shared" si="0"/>
        <v>0</v>
      </c>
      <c r="M27" s="143" t="s">
        <v>67</v>
      </c>
      <c r="N27" s="148">
        <v>0</v>
      </c>
      <c r="O27" s="148">
        <v>0</v>
      </c>
      <c r="P27" s="148">
        <f>'Ing y gtos'!BV28</f>
        <v>0</v>
      </c>
    </row>
    <row r="28" spans="1:16">
      <c r="A28" s="143" t="s">
        <v>67</v>
      </c>
      <c r="B28" s="148">
        <v>0</v>
      </c>
      <c r="D28" s="148">
        <f>'Ing y gtos'!BV28</f>
        <v>0</v>
      </c>
      <c r="E28" s="511">
        <f t="shared" si="0"/>
        <v>0</v>
      </c>
      <c r="M28" s="143" t="s">
        <v>68</v>
      </c>
      <c r="N28" s="148">
        <v>0</v>
      </c>
      <c r="O28" s="148">
        <v>0</v>
      </c>
      <c r="P28" s="148">
        <f>'Ing y gtos'!BV29</f>
        <v>200</v>
      </c>
    </row>
    <row r="29" spans="1:16">
      <c r="A29" s="143" t="s">
        <v>68</v>
      </c>
      <c r="B29" s="148">
        <v>200</v>
      </c>
      <c r="D29" s="148">
        <f>'Ing y gtos'!BV29</f>
        <v>200</v>
      </c>
      <c r="E29" s="511">
        <f t="shared" si="0"/>
        <v>0</v>
      </c>
      <c r="M29" s="143" t="s">
        <v>69</v>
      </c>
      <c r="N29" s="148">
        <v>350</v>
      </c>
      <c r="O29" s="148">
        <v>360</v>
      </c>
      <c r="P29" s="148">
        <f>'Ing y gtos'!BV30</f>
        <v>360</v>
      </c>
    </row>
    <row r="30" spans="1:16">
      <c r="A30" s="143" t="s">
        <v>69</v>
      </c>
      <c r="B30" s="148">
        <v>360</v>
      </c>
      <c r="D30" s="148">
        <f>'Ing y gtos'!BV30</f>
        <v>360</v>
      </c>
      <c r="E30" s="511">
        <f t="shared" si="0"/>
        <v>0</v>
      </c>
      <c r="M30" s="143" t="s">
        <v>70</v>
      </c>
      <c r="N30" s="148">
        <v>411.4</v>
      </c>
      <c r="O30" s="148">
        <v>1323.8400000000001</v>
      </c>
      <c r="P30" s="148">
        <f>'Ing y gtos'!BV31</f>
        <v>1134</v>
      </c>
    </row>
    <row r="31" spans="1:16">
      <c r="A31" s="143" t="s">
        <v>70</v>
      </c>
      <c r="B31" s="148">
        <v>1134</v>
      </c>
      <c r="D31" s="148">
        <f>'Ing y gtos'!BV31</f>
        <v>1134</v>
      </c>
      <c r="E31" s="511">
        <f t="shared" si="0"/>
        <v>0</v>
      </c>
      <c r="M31" s="143" t="s">
        <v>71</v>
      </c>
      <c r="N31" s="148">
        <v>1049.72</v>
      </c>
      <c r="O31" s="148">
        <v>0</v>
      </c>
      <c r="P31" s="148">
        <f>'Ing y gtos'!BV32</f>
        <v>0</v>
      </c>
    </row>
    <row r="32" spans="1:16" ht="15.75">
      <c r="A32" s="143" t="s">
        <v>71</v>
      </c>
      <c r="B32" s="148">
        <v>0</v>
      </c>
      <c r="D32" s="148">
        <f>'Ing y gtos'!BV32</f>
        <v>0</v>
      </c>
      <c r="E32" s="511">
        <f t="shared" si="0"/>
        <v>0</v>
      </c>
      <c r="M32" s="231" t="s">
        <v>72</v>
      </c>
      <c r="N32" s="216">
        <v>15767.023599999999</v>
      </c>
      <c r="O32" s="216">
        <v>11740.019999999999</v>
      </c>
      <c r="P32" s="216">
        <f>'Ing y gtos'!BV33</f>
        <v>21220.57</v>
      </c>
    </row>
    <row r="33" spans="1:16" ht="15.75">
      <c r="A33" s="231" t="s">
        <v>72</v>
      </c>
      <c r="B33" s="216">
        <v>18704.3</v>
      </c>
      <c r="D33" s="216">
        <f>'Ing y gtos'!BV33</f>
        <v>21220.57</v>
      </c>
      <c r="E33" s="511">
        <f>D33-B33</f>
        <v>2516.2700000000004</v>
      </c>
      <c r="F33" s="503" t="s">
        <v>505</v>
      </c>
      <c r="M33" s="180" t="s">
        <v>31</v>
      </c>
      <c r="N33" s="183">
        <v>0</v>
      </c>
      <c r="O33" s="183">
        <v>0</v>
      </c>
      <c r="P33" s="183">
        <f>'Ing y gtos'!BV34</f>
        <v>0</v>
      </c>
    </row>
    <row r="34" spans="1:16" ht="15.75" thickBot="1">
      <c r="A34" s="180" t="s">
        <v>31</v>
      </c>
      <c r="B34" s="183">
        <v>0</v>
      </c>
      <c r="D34" s="183">
        <f>'Ing y gtos'!BV34</f>
        <v>0</v>
      </c>
      <c r="E34" s="511"/>
      <c r="N34" s="160"/>
      <c r="O34" s="160"/>
      <c r="P34" s="160"/>
    </row>
    <row r="35" spans="1:16" ht="16.5" thickBot="1">
      <c r="B35" s="160"/>
      <c r="D35" s="160"/>
      <c r="E35" s="570"/>
      <c r="M35" s="234" t="s">
        <v>385</v>
      </c>
      <c r="N35" s="237">
        <v>202820.07640000005</v>
      </c>
      <c r="O35" s="237">
        <v>108943.7</v>
      </c>
      <c r="P35" s="237">
        <f>'Ing y gtos'!BV36</f>
        <v>155074.38999999998</v>
      </c>
    </row>
    <row r="36" spans="1:16" ht="16.5" thickBot="1">
      <c r="A36" s="234" t="s">
        <v>385</v>
      </c>
      <c r="B36" s="237">
        <v>157590.66</v>
      </c>
      <c r="D36" s="237">
        <f>'Ing y gtos'!BV36</f>
        <v>155074.38999999998</v>
      </c>
      <c r="E36" s="511"/>
      <c r="M36" s="180" t="s">
        <v>31</v>
      </c>
      <c r="N36" s="183">
        <v>0</v>
      </c>
      <c r="O36" s="183">
        <v>0</v>
      </c>
      <c r="P36" s="183">
        <f>'Ing y gtos'!BV37</f>
        <v>0</v>
      </c>
    </row>
    <row r="37" spans="1:16">
      <c r="A37" s="180" t="s">
        <v>31</v>
      </c>
      <c r="B37" s="183">
        <v>0</v>
      </c>
      <c r="D37" s="183">
        <f>'Ing y gtos'!BV37</f>
        <v>0</v>
      </c>
      <c r="E37" s="511"/>
      <c r="M37" s="241" t="s">
        <v>73</v>
      </c>
      <c r="N37" s="160"/>
      <c r="O37" s="160"/>
      <c r="P37" s="160"/>
    </row>
    <row r="38" spans="1:16">
      <c r="A38" s="241" t="s">
        <v>73</v>
      </c>
      <c r="B38" s="160"/>
      <c r="D38" s="160"/>
      <c r="E38" s="572"/>
      <c r="M38" s="242" t="s">
        <v>74</v>
      </c>
      <c r="N38" s="202">
        <v>89804.28</v>
      </c>
      <c r="O38" s="202">
        <v>99425.12</v>
      </c>
      <c r="P38" s="202">
        <f>'Ing y gtos'!BV39</f>
        <v>70566.150000000009</v>
      </c>
    </row>
    <row r="39" spans="1:16">
      <c r="A39" s="242" t="s">
        <v>74</v>
      </c>
      <c r="B39" s="198">
        <v>70566.150000000009</v>
      </c>
      <c r="D39" s="198">
        <f>'Ing y gtos'!BV39</f>
        <v>70566.150000000009</v>
      </c>
      <c r="E39" s="511">
        <f>D39-B39</f>
        <v>0</v>
      </c>
      <c r="M39" s="242" t="s">
        <v>441</v>
      </c>
      <c r="N39" s="148">
        <v>50418.48</v>
      </c>
      <c r="O39" s="148">
        <v>38788.54</v>
      </c>
      <c r="P39" s="148">
        <f>'Ing y gtos'!BV40</f>
        <v>50674.600000000006</v>
      </c>
    </row>
    <row r="40" spans="1:16">
      <c r="A40" s="242" t="s">
        <v>441</v>
      </c>
      <c r="B40" s="148">
        <v>38303.560000000005</v>
      </c>
      <c r="D40" s="148">
        <f>'Ing y gtos'!BV40</f>
        <v>50674.600000000006</v>
      </c>
      <c r="E40" s="511">
        <f>D40-B40</f>
        <v>12371.04</v>
      </c>
      <c r="F40" t="s">
        <v>506</v>
      </c>
      <c r="M40" s="242" t="s">
        <v>439</v>
      </c>
      <c r="N40" s="249">
        <v>110</v>
      </c>
      <c r="O40" s="249">
        <v>6697.73</v>
      </c>
      <c r="P40" s="249">
        <f>'Ing y gtos'!BV41</f>
        <v>21538.05</v>
      </c>
    </row>
    <row r="41" spans="1:16" ht="15.75">
      <c r="A41" s="242" t="s">
        <v>439</v>
      </c>
      <c r="B41" s="148">
        <v>23421.27</v>
      </c>
      <c r="D41" s="148">
        <f>'Ing y gtos'!BV41</f>
        <v>21538.05</v>
      </c>
      <c r="E41" s="511">
        <f t="shared" si="0"/>
        <v>-1883.2200000000012</v>
      </c>
      <c r="F41" t="s">
        <v>522</v>
      </c>
      <c r="M41" s="256" t="s">
        <v>75</v>
      </c>
      <c r="N41" s="216">
        <v>140332.76</v>
      </c>
      <c r="O41" s="216">
        <v>144911.39000000001</v>
      </c>
      <c r="P41" s="216">
        <f>'Ing y gtos'!BV42</f>
        <v>142778.80000000002</v>
      </c>
    </row>
    <row r="42" spans="1:16" ht="15.75">
      <c r="A42" s="256" t="s">
        <v>75</v>
      </c>
      <c r="B42" s="216">
        <v>132290.98000000001</v>
      </c>
      <c r="D42" s="216">
        <f>'Ing y gtos'!BV42</f>
        <v>142778.80000000002</v>
      </c>
      <c r="E42" s="511">
        <f>D42-B42</f>
        <v>10487.820000000007</v>
      </c>
      <c r="F42" s="521" t="s">
        <v>503</v>
      </c>
      <c r="M42" s="180" t="s">
        <v>31</v>
      </c>
      <c r="N42" s="183">
        <v>0</v>
      </c>
      <c r="O42" s="183">
        <v>0</v>
      </c>
      <c r="P42" s="183">
        <f>'Ing y gtos'!BV43</f>
        <v>0</v>
      </c>
    </row>
    <row r="43" spans="1:16">
      <c r="A43" s="180" t="s">
        <v>31</v>
      </c>
      <c r="B43" s="183">
        <v>0</v>
      </c>
      <c r="D43" s="183">
        <f>'Ing y gtos'!BV43</f>
        <v>0</v>
      </c>
      <c r="E43" s="511"/>
      <c r="M43" s="264" t="s">
        <v>76</v>
      </c>
      <c r="N43" s="168"/>
      <c r="O43" s="168"/>
      <c r="P43" s="168"/>
    </row>
    <row r="44" spans="1:16">
      <c r="A44" s="264" t="s">
        <v>76</v>
      </c>
      <c r="B44" s="168"/>
      <c r="D44" s="168"/>
      <c r="E44" s="511"/>
      <c r="M44" s="265" t="s">
        <v>77</v>
      </c>
      <c r="N44" s="202">
        <v>0</v>
      </c>
      <c r="O44" s="202">
        <v>0</v>
      </c>
      <c r="P44" s="202">
        <f>'Ing y gtos'!BV45</f>
        <v>0</v>
      </c>
    </row>
    <row r="45" spans="1:16">
      <c r="A45" s="265" t="s">
        <v>77</v>
      </c>
      <c r="B45" s="202">
        <v>0</v>
      </c>
      <c r="D45" s="202">
        <f>'Ing y gtos'!BV45</f>
        <v>0</v>
      </c>
      <c r="E45" s="511">
        <f t="shared" si="0"/>
        <v>0</v>
      </c>
      <c r="M45" s="265" t="s">
        <v>78</v>
      </c>
      <c r="N45" s="148">
        <v>0</v>
      </c>
      <c r="O45" s="148">
        <v>0</v>
      </c>
      <c r="P45" s="148">
        <f>'Ing y gtos'!BV46</f>
        <v>0</v>
      </c>
    </row>
    <row r="46" spans="1:16">
      <c r="A46" s="265" t="s">
        <v>78</v>
      </c>
      <c r="B46" s="148">
        <v>0</v>
      </c>
      <c r="D46" s="148">
        <f>'Ing y gtos'!BV46</f>
        <v>0</v>
      </c>
      <c r="E46" s="511">
        <f t="shared" si="0"/>
        <v>0</v>
      </c>
      <c r="M46" s="242" t="s">
        <v>79</v>
      </c>
      <c r="N46" s="148">
        <v>3066.8599999999997</v>
      </c>
      <c r="O46" s="148">
        <v>1386.1399999999999</v>
      </c>
      <c r="P46" s="148">
        <f>'Ing y gtos'!BV47</f>
        <v>2084.0300000000002</v>
      </c>
    </row>
    <row r="47" spans="1:16">
      <c r="A47" s="242" t="s">
        <v>79</v>
      </c>
      <c r="B47" s="148">
        <v>1900.7700000000002</v>
      </c>
      <c r="D47" s="148">
        <f>'Ing y gtos'!BV47</f>
        <v>2084.0300000000002</v>
      </c>
      <c r="E47" s="511">
        <f t="shared" si="0"/>
        <v>183.26</v>
      </c>
      <c r="F47" t="s">
        <v>471</v>
      </c>
      <c r="M47" s="242" t="s">
        <v>81</v>
      </c>
      <c r="N47" s="148">
        <v>38275.67</v>
      </c>
      <c r="O47" s="148">
        <v>31048.550000000003</v>
      </c>
      <c r="P47" s="148">
        <f>'Ing y gtos'!BV48</f>
        <v>43164.639999999992</v>
      </c>
    </row>
    <row r="48" spans="1:16">
      <c r="A48" s="242" t="s">
        <v>81</v>
      </c>
      <c r="B48" s="148">
        <v>38841.62999999999</v>
      </c>
      <c r="D48" s="148">
        <f>'Ing y gtos'!BV48</f>
        <v>43164.639999999992</v>
      </c>
      <c r="E48" s="511">
        <f t="shared" si="0"/>
        <v>4323.010000000002</v>
      </c>
      <c r="F48" t="s">
        <v>492</v>
      </c>
      <c r="M48" s="242" t="s">
        <v>65</v>
      </c>
      <c r="N48" s="148">
        <v>829.40000000000009</v>
      </c>
      <c r="O48" s="148">
        <v>73.569999999999993</v>
      </c>
      <c r="P48" s="148">
        <f>'Ing y gtos'!BV49</f>
        <v>0</v>
      </c>
    </row>
    <row r="49" spans="1:16">
      <c r="A49" s="242" t="s">
        <v>65</v>
      </c>
      <c r="B49" s="148">
        <v>0</v>
      </c>
      <c r="D49" s="148">
        <f>'Ing y gtos'!BV49</f>
        <v>0</v>
      </c>
      <c r="E49" s="511">
        <f t="shared" si="0"/>
        <v>0</v>
      </c>
      <c r="M49" s="242" t="s">
        <v>82</v>
      </c>
      <c r="N49" s="148">
        <v>782.75</v>
      </c>
      <c r="O49" s="148">
        <v>6128.5699999999988</v>
      </c>
      <c r="P49" s="148">
        <f>'Ing y gtos'!BV50</f>
        <v>11875.640000000001</v>
      </c>
    </row>
    <row r="50" spans="1:16">
      <c r="A50" s="242" t="s">
        <v>82</v>
      </c>
      <c r="B50" s="148">
        <v>9921.4700000000012</v>
      </c>
      <c r="D50" s="148">
        <f>'Ing y gtos'!BV50</f>
        <v>11875.640000000001</v>
      </c>
      <c r="E50" s="511">
        <f t="shared" si="0"/>
        <v>1954.17</v>
      </c>
      <c r="F50" t="s">
        <v>523</v>
      </c>
      <c r="M50" s="242" t="s">
        <v>83</v>
      </c>
      <c r="N50" s="148">
        <v>2168.3199999999997</v>
      </c>
      <c r="O50" s="148">
        <v>2798.95</v>
      </c>
      <c r="P50" s="148">
        <f>'Ing y gtos'!BV51</f>
        <v>3818.11</v>
      </c>
    </row>
    <row r="51" spans="1:16">
      <c r="A51" s="242" t="s">
        <v>83</v>
      </c>
      <c r="B51" s="148">
        <v>3818.11</v>
      </c>
      <c r="D51" s="148">
        <f>'Ing y gtos'!BV51</f>
        <v>3818.11</v>
      </c>
      <c r="E51" s="511">
        <f t="shared" si="0"/>
        <v>0</v>
      </c>
      <c r="M51" s="242" t="s">
        <v>84</v>
      </c>
      <c r="N51" s="148">
        <v>3473.0379000000003</v>
      </c>
      <c r="O51" s="148">
        <v>4549.119999999999</v>
      </c>
      <c r="P51" s="148">
        <f>'Ing y gtos'!BV52</f>
        <v>6693.0199999999995</v>
      </c>
    </row>
    <row r="52" spans="1:16">
      <c r="A52" s="242" t="s">
        <v>84</v>
      </c>
      <c r="B52" s="148">
        <v>6288.3499999999995</v>
      </c>
      <c r="D52" s="148">
        <f>'Ing y gtos'!BV52</f>
        <v>6693.0199999999995</v>
      </c>
      <c r="E52" s="511">
        <f t="shared" si="0"/>
        <v>404.67000000000007</v>
      </c>
      <c r="F52" t="s">
        <v>472</v>
      </c>
      <c r="M52" s="265" t="s">
        <v>85</v>
      </c>
      <c r="N52" s="148">
        <v>0</v>
      </c>
      <c r="O52" s="148">
        <v>0</v>
      </c>
      <c r="P52" s="148">
        <f>'Ing y gtos'!BV53</f>
        <v>0</v>
      </c>
    </row>
    <row r="53" spans="1:16" ht="15.75">
      <c r="A53" s="265" t="s">
        <v>85</v>
      </c>
      <c r="B53" s="148">
        <v>0</v>
      </c>
      <c r="D53" s="148">
        <f>'Ing y gtos'!BV53</f>
        <v>0</v>
      </c>
      <c r="E53" s="511">
        <f t="shared" si="0"/>
        <v>0</v>
      </c>
      <c r="M53" s="273" t="s">
        <v>86</v>
      </c>
      <c r="N53" s="216">
        <v>48596.037900000003</v>
      </c>
      <c r="O53" s="216">
        <v>45984.899999999994</v>
      </c>
      <c r="P53" s="216">
        <f>'Ing y gtos'!BV54</f>
        <v>67635.439999999988</v>
      </c>
    </row>
    <row r="54" spans="1:16" ht="15.75">
      <c r="A54" s="273" t="s">
        <v>86</v>
      </c>
      <c r="B54" s="216">
        <v>60770.329999999987</v>
      </c>
      <c r="C54" s="58"/>
      <c r="D54" s="216">
        <f>'Ing y gtos'!BV54</f>
        <v>67635.439999999988</v>
      </c>
      <c r="E54" s="511">
        <f>D54-B54</f>
        <v>6865.1100000000006</v>
      </c>
      <c r="F54" s="503" t="s">
        <v>454</v>
      </c>
      <c r="M54" s="180" t="s">
        <v>31</v>
      </c>
      <c r="N54" s="183">
        <v>-1678.5400000000009</v>
      </c>
      <c r="O54" s="183">
        <v>0</v>
      </c>
      <c r="P54" s="183">
        <f>'Ing y gtos'!BV55</f>
        <v>0</v>
      </c>
    </row>
    <row r="55" spans="1:16" ht="15.75" thickBot="1">
      <c r="A55" s="180" t="s">
        <v>31</v>
      </c>
      <c r="B55" s="183">
        <v>0</v>
      </c>
      <c r="D55" s="183">
        <f>'Ing y gtos'!BV55</f>
        <v>0</v>
      </c>
      <c r="E55" s="511"/>
      <c r="M55" s="265"/>
      <c r="N55" s="160"/>
      <c r="O55" s="160"/>
      <c r="P55" s="160"/>
    </row>
    <row r="56" spans="1:16" ht="16.5" thickBot="1">
      <c r="A56" s="265"/>
      <c r="B56" s="160"/>
      <c r="D56" s="160"/>
      <c r="E56" s="511"/>
      <c r="M56" s="275" t="s">
        <v>386</v>
      </c>
      <c r="N56" s="276">
        <v>91736.722100000014</v>
      </c>
      <c r="O56" s="276">
        <v>98926.49000000002</v>
      </c>
      <c r="P56" s="276">
        <f>'Ing y gtos'!BV57</f>
        <v>75143.36000000003</v>
      </c>
    </row>
    <row r="57" spans="1:16" ht="16.5" thickBot="1">
      <c r="A57" s="275" t="s">
        <v>386</v>
      </c>
      <c r="B57" s="276">
        <v>71520.650000000023</v>
      </c>
      <c r="D57" s="276">
        <f>'Ing y gtos'!BV57</f>
        <v>75143.36000000003</v>
      </c>
      <c r="E57" s="511">
        <f>D57-B57</f>
        <v>3622.7100000000064</v>
      </c>
      <c r="F57" s="503" t="s">
        <v>507</v>
      </c>
      <c r="M57" s="180" t="s">
        <v>31</v>
      </c>
      <c r="N57" s="183">
        <v>1678.5400000000081</v>
      </c>
      <c r="O57" s="183">
        <v>0</v>
      </c>
      <c r="P57" s="183">
        <f>'Ing y gtos'!BV58</f>
        <v>0</v>
      </c>
    </row>
    <row r="58" spans="1:16">
      <c r="A58" s="180" t="s">
        <v>31</v>
      </c>
      <c r="B58" s="183">
        <v>0</v>
      </c>
      <c r="D58" s="183">
        <f>'Ing y gtos'!BV58</f>
        <v>0</v>
      </c>
      <c r="E58" s="511"/>
      <c r="M58" s="279" t="s">
        <v>87</v>
      </c>
      <c r="N58" s="189"/>
      <c r="O58" s="189"/>
      <c r="P58" s="189"/>
    </row>
    <row r="59" spans="1:16">
      <c r="A59" s="279" t="s">
        <v>87</v>
      </c>
      <c r="B59" s="189"/>
      <c r="D59" s="189"/>
      <c r="E59" s="511"/>
      <c r="M59" s="143" t="s">
        <v>88</v>
      </c>
      <c r="N59" s="202">
        <v>15735.9</v>
      </c>
      <c r="O59" s="202">
        <v>1412</v>
      </c>
      <c r="P59" s="202">
        <f>'Ing y gtos'!BV60</f>
        <v>1810</v>
      </c>
    </row>
    <row r="60" spans="1:16" ht="15.75">
      <c r="A60" s="143" t="s">
        <v>88</v>
      </c>
      <c r="B60" s="202">
        <v>1810</v>
      </c>
      <c r="D60" s="202">
        <f>'Ing y gtos'!BV60</f>
        <v>1810</v>
      </c>
      <c r="E60" s="511">
        <f t="shared" si="0"/>
        <v>0</v>
      </c>
      <c r="F60" t="s">
        <v>365</v>
      </c>
      <c r="M60" s="171" t="s">
        <v>89</v>
      </c>
      <c r="N60" s="173">
        <v>15735.9</v>
      </c>
      <c r="O60" s="173">
        <v>1412</v>
      </c>
      <c r="P60" s="173">
        <f>'Ing y gtos'!BV61</f>
        <v>1810</v>
      </c>
    </row>
    <row r="61" spans="1:16" ht="15.75">
      <c r="A61" s="171" t="s">
        <v>89</v>
      </c>
      <c r="B61" s="173">
        <v>1810</v>
      </c>
      <c r="D61" s="173">
        <f>'Ing y gtos'!BV61</f>
        <v>1810</v>
      </c>
      <c r="E61" s="511">
        <f>D61-B61</f>
        <v>0</v>
      </c>
      <c r="M61" s="180" t="s">
        <v>31</v>
      </c>
      <c r="N61" s="183"/>
      <c r="O61" s="183"/>
      <c r="P61" s="183">
        <f>'Ing y gtos'!BV62</f>
        <v>0</v>
      </c>
    </row>
    <row r="62" spans="1:16">
      <c r="A62" s="180" t="s">
        <v>31</v>
      </c>
      <c r="B62" s="183"/>
      <c r="D62" s="183"/>
      <c r="E62" s="511"/>
      <c r="M62" s="288" t="s">
        <v>90</v>
      </c>
      <c r="N62" s="290">
        <v>0</v>
      </c>
      <c r="O62" s="290">
        <v>0</v>
      </c>
      <c r="P62" s="290">
        <f>'Ing y gtos'!BV63</f>
        <v>0</v>
      </c>
    </row>
    <row r="63" spans="1:16">
      <c r="A63" s="288" t="s">
        <v>90</v>
      </c>
      <c r="B63" s="290">
        <v>0</v>
      </c>
      <c r="D63" s="290">
        <f>'Ing y gtos'!BV63</f>
        <v>0</v>
      </c>
      <c r="E63" s="511">
        <f>D63-B63</f>
        <v>0</v>
      </c>
      <c r="N63" s="160"/>
      <c r="O63" s="160"/>
      <c r="P63" s="160"/>
    </row>
    <row r="64" spans="1:16" ht="15.75">
      <c r="B64" s="160"/>
      <c r="D64" s="160"/>
      <c r="E64" s="511"/>
      <c r="M64" s="171" t="s">
        <v>91</v>
      </c>
      <c r="N64" s="216">
        <v>15735.9</v>
      </c>
      <c r="O64" s="216">
        <v>1412</v>
      </c>
      <c r="P64" s="216">
        <f>'Ing y gtos'!BV65</f>
        <v>1810</v>
      </c>
    </row>
    <row r="65" spans="1:16" ht="15.75">
      <c r="A65" s="171" t="s">
        <v>91</v>
      </c>
      <c r="B65" s="216">
        <v>1810</v>
      </c>
      <c r="D65" s="216">
        <f>'Ing y gtos'!BV65</f>
        <v>1810</v>
      </c>
      <c r="E65" s="511">
        <f>D65-B65</f>
        <v>0</v>
      </c>
      <c r="F65" s="521" t="s">
        <v>502</v>
      </c>
      <c r="M65" s="293"/>
      <c r="N65" s="183">
        <v>0</v>
      </c>
      <c r="O65" s="183"/>
      <c r="P65" s="183">
        <f>'Ing y gtos'!BV66</f>
        <v>0</v>
      </c>
    </row>
    <row r="66" spans="1:16">
      <c r="A66" s="293"/>
      <c r="B66" s="183">
        <v>0</v>
      </c>
      <c r="D66" s="183">
        <f>'Ing y gtos'!BV66</f>
        <v>0</v>
      </c>
      <c r="E66" s="511"/>
      <c r="M66" s="264" t="s">
        <v>92</v>
      </c>
      <c r="N66" s="168"/>
      <c r="O66" s="168"/>
      <c r="P66" s="168"/>
    </row>
    <row r="67" spans="1:16">
      <c r="A67" s="264" t="s">
        <v>92</v>
      </c>
      <c r="B67" s="168"/>
      <c r="D67" s="168"/>
      <c r="E67" s="511"/>
      <c r="M67" s="242" t="s">
        <v>79</v>
      </c>
      <c r="N67" s="148">
        <v>66.7</v>
      </c>
      <c r="O67" s="148">
        <v>151.80000000000001</v>
      </c>
      <c r="P67" s="148">
        <f>'Ing y gtos'!BV68</f>
        <v>0</v>
      </c>
    </row>
    <row r="68" spans="1:16">
      <c r="A68" s="242" t="s">
        <v>79</v>
      </c>
      <c r="B68" s="148">
        <v>0</v>
      </c>
      <c r="D68" s="148">
        <f>'Ing y gtos'!BV68</f>
        <v>0</v>
      </c>
      <c r="E68" s="511">
        <f t="shared" si="0"/>
        <v>0</v>
      </c>
      <c r="M68" s="242" t="s">
        <v>80</v>
      </c>
      <c r="N68" s="148">
        <v>0</v>
      </c>
      <c r="O68" s="148">
        <v>0</v>
      </c>
      <c r="P68" s="148">
        <f>'Ing y gtos'!BV69</f>
        <v>0</v>
      </c>
    </row>
    <row r="69" spans="1:16">
      <c r="A69" s="242" t="s">
        <v>80</v>
      </c>
      <c r="B69" s="148">
        <v>0</v>
      </c>
      <c r="D69" s="148">
        <f>'Ing y gtos'!BV69</f>
        <v>0</v>
      </c>
      <c r="E69" s="511">
        <f t="shared" ref="E69:E132" si="1">D69-B69</f>
        <v>0</v>
      </c>
      <c r="M69" s="143" t="s">
        <v>60</v>
      </c>
      <c r="N69" s="148">
        <v>0</v>
      </c>
      <c r="O69" s="148">
        <v>0</v>
      </c>
      <c r="P69" s="148">
        <f>'Ing y gtos'!BV70</f>
        <v>0</v>
      </c>
    </row>
    <row r="70" spans="1:16">
      <c r="A70" s="143" t="s">
        <v>60</v>
      </c>
      <c r="B70" s="148">
        <v>0</v>
      </c>
      <c r="D70" s="148">
        <f>'Ing y gtos'!BV70</f>
        <v>0</v>
      </c>
      <c r="E70" s="511">
        <f t="shared" si="1"/>
        <v>0</v>
      </c>
      <c r="M70" s="265" t="s">
        <v>85</v>
      </c>
      <c r="N70" s="148">
        <v>0</v>
      </c>
      <c r="O70" s="148">
        <v>0</v>
      </c>
      <c r="P70" s="148">
        <f>'Ing y gtos'!BV71</f>
        <v>0</v>
      </c>
    </row>
    <row r="71" spans="1:16">
      <c r="A71" s="265" t="s">
        <v>85</v>
      </c>
      <c r="B71" s="148">
        <v>0</v>
      </c>
      <c r="D71" s="148">
        <f>'Ing y gtos'!BV71</f>
        <v>0</v>
      </c>
      <c r="E71" s="511">
        <f t="shared" si="1"/>
        <v>0</v>
      </c>
      <c r="M71" s="265" t="s">
        <v>93</v>
      </c>
      <c r="N71" s="148">
        <v>363.84</v>
      </c>
      <c r="O71" s="148">
        <v>0</v>
      </c>
      <c r="P71" s="148">
        <f>'Ing y gtos'!BV72</f>
        <v>0</v>
      </c>
    </row>
    <row r="72" spans="1:16" ht="15.75">
      <c r="A72" s="265" t="s">
        <v>93</v>
      </c>
      <c r="B72" s="148">
        <v>0</v>
      </c>
      <c r="D72" s="148">
        <f>'Ing y gtos'!BV72</f>
        <v>0</v>
      </c>
      <c r="E72" s="511">
        <f t="shared" si="1"/>
        <v>0</v>
      </c>
      <c r="M72" s="273" t="s">
        <v>94</v>
      </c>
      <c r="N72" s="298">
        <v>430.53999999999996</v>
      </c>
      <c r="O72" s="298">
        <v>151.80000000000001</v>
      </c>
      <c r="P72" s="298">
        <f>'Ing y gtos'!BV73</f>
        <v>0</v>
      </c>
    </row>
    <row r="73" spans="1:16" ht="16.5" thickBot="1">
      <c r="A73" s="273" t="s">
        <v>94</v>
      </c>
      <c r="B73" s="298">
        <v>0</v>
      </c>
      <c r="D73" s="298">
        <f>'Ing y gtos'!BV73</f>
        <v>0</v>
      </c>
      <c r="E73" s="511">
        <f>D73-B73</f>
        <v>0</v>
      </c>
      <c r="M73" s="180" t="s">
        <v>31</v>
      </c>
      <c r="N73" s="183">
        <v>0</v>
      </c>
      <c r="O73" s="183"/>
      <c r="P73" s="183">
        <f>'Ing y gtos'!BV74</f>
        <v>0</v>
      </c>
    </row>
    <row r="74" spans="1:16" ht="16.5" thickBot="1">
      <c r="A74" s="180" t="s">
        <v>31</v>
      </c>
      <c r="B74" s="183">
        <v>0</v>
      </c>
      <c r="D74" s="183">
        <f>'Ing y gtos'!BV74</f>
        <v>0</v>
      </c>
      <c r="E74" s="511"/>
      <c r="M74" s="502" t="s">
        <v>387</v>
      </c>
      <c r="N74" s="276">
        <v>15305.36</v>
      </c>
      <c r="O74" s="276">
        <v>1260.2</v>
      </c>
      <c r="P74" s="276">
        <f>'Ing y gtos'!BV75</f>
        <v>1810</v>
      </c>
    </row>
    <row r="75" spans="1:16" ht="16.5" thickBot="1">
      <c r="A75" s="502" t="s">
        <v>387</v>
      </c>
      <c r="B75" s="276">
        <v>1810</v>
      </c>
      <c r="D75" s="276">
        <f>'Ing y gtos'!BV75</f>
        <v>1810</v>
      </c>
      <c r="E75" s="511">
        <f>D75-B75</f>
        <v>0</v>
      </c>
      <c r="F75" s="521" t="s">
        <v>508</v>
      </c>
      <c r="M75" s="293" t="s">
        <v>31</v>
      </c>
      <c r="N75" s="183">
        <v>0</v>
      </c>
      <c r="O75" s="183"/>
      <c r="P75" s="183">
        <f>'Ing y gtos'!BV76</f>
        <v>0</v>
      </c>
    </row>
    <row r="76" spans="1:16">
      <c r="A76" s="293" t="s">
        <v>31</v>
      </c>
      <c r="B76" s="189">
        <v>0</v>
      </c>
      <c r="D76" s="189">
        <f>'Ing y gtos'!BV76</f>
        <v>0</v>
      </c>
      <c r="E76" s="511"/>
      <c r="M76" s="264" t="s">
        <v>22</v>
      </c>
      <c r="N76" s="303"/>
      <c r="O76" s="303"/>
      <c r="P76" s="303"/>
    </row>
    <row r="77" spans="1:16">
      <c r="A77" s="264" t="s">
        <v>22</v>
      </c>
      <c r="B77" s="303"/>
      <c r="D77" s="303"/>
      <c r="E77" s="541"/>
      <c r="M77" s="143" t="s">
        <v>95</v>
      </c>
      <c r="N77" s="148">
        <v>39951.349999999991</v>
      </c>
      <c r="O77" s="148">
        <v>18529.03</v>
      </c>
      <c r="P77" s="148">
        <f>'Ing y gtos'!BV78</f>
        <v>19748.02</v>
      </c>
    </row>
    <row r="78" spans="1:16">
      <c r="A78" s="143" t="s">
        <v>95</v>
      </c>
      <c r="B78" s="148">
        <v>19748.02</v>
      </c>
      <c r="D78" s="148">
        <f>'Ing y gtos'!BV78</f>
        <v>19748.02</v>
      </c>
      <c r="E78" s="541">
        <f t="shared" si="1"/>
        <v>0</v>
      </c>
      <c r="F78" t="s">
        <v>534</v>
      </c>
      <c r="M78" s="143" t="s">
        <v>96</v>
      </c>
      <c r="N78" s="148">
        <v>0</v>
      </c>
      <c r="O78" s="148">
        <v>0</v>
      </c>
      <c r="P78" s="148">
        <f>'Ing y gtos'!BV79</f>
        <v>19387.900000000001</v>
      </c>
    </row>
    <row r="79" spans="1:16">
      <c r="A79" s="143" t="s">
        <v>96</v>
      </c>
      <c r="B79" s="148">
        <v>19387.900000000001</v>
      </c>
      <c r="D79" s="148">
        <f>'Ing y gtos'!BV79</f>
        <v>19387.900000000001</v>
      </c>
      <c r="E79" s="541">
        <f t="shared" si="1"/>
        <v>0</v>
      </c>
      <c r="M79" s="143" t="s">
        <v>97</v>
      </c>
      <c r="N79" s="148">
        <v>26820.739999999998</v>
      </c>
      <c r="O79" s="148">
        <v>4290.5</v>
      </c>
      <c r="P79" s="148">
        <f>'Ing y gtos'!BV80</f>
        <v>2796.48</v>
      </c>
    </row>
    <row r="80" spans="1:16">
      <c r="A80" s="143" t="s">
        <v>97</v>
      </c>
      <c r="B80" s="148">
        <v>2796.48</v>
      </c>
      <c r="D80" s="148">
        <f>'Ing y gtos'!BV80</f>
        <v>2796.48</v>
      </c>
      <c r="E80" s="541">
        <f t="shared" si="1"/>
        <v>0</v>
      </c>
      <c r="M80" s="143" t="s">
        <v>425</v>
      </c>
      <c r="N80" s="148">
        <v>0</v>
      </c>
      <c r="O80" s="148">
        <v>0</v>
      </c>
      <c r="P80" s="148">
        <f>'Ing y gtos'!BV81</f>
        <v>1847.26</v>
      </c>
    </row>
    <row r="81" spans="1:16">
      <c r="A81" s="143" t="s">
        <v>425</v>
      </c>
      <c r="B81" s="148">
        <v>1847.26</v>
      </c>
      <c r="D81" s="148">
        <f>'Ing y gtos'!BV81</f>
        <v>1847.26</v>
      </c>
      <c r="E81" s="541">
        <f>D81-B81</f>
        <v>0</v>
      </c>
      <c r="F81" t="s">
        <v>535</v>
      </c>
      <c r="M81" s="143" t="s">
        <v>426</v>
      </c>
      <c r="N81" s="148">
        <v>0</v>
      </c>
      <c r="O81" s="148">
        <v>13327.91</v>
      </c>
      <c r="P81" s="148">
        <f>'Ing y gtos'!BV82</f>
        <v>10972.34</v>
      </c>
    </row>
    <row r="82" spans="1:16">
      <c r="A82" s="143" t="s">
        <v>426</v>
      </c>
      <c r="B82" s="148">
        <v>10972.34</v>
      </c>
      <c r="D82" s="148">
        <f>'Ing y gtos'!BV82</f>
        <v>10972.34</v>
      </c>
      <c r="E82" s="511">
        <f t="shared" si="1"/>
        <v>0</v>
      </c>
      <c r="F82" t="s">
        <v>536</v>
      </c>
      <c r="M82" s="265" t="s">
        <v>432</v>
      </c>
      <c r="N82" s="148">
        <v>25321.399999999998</v>
      </c>
      <c r="O82" s="148">
        <v>33226.15</v>
      </c>
      <c r="P82" s="148">
        <f>'Ing y gtos'!BV83</f>
        <v>36786.369999999995</v>
      </c>
    </row>
    <row r="83" spans="1:16">
      <c r="A83" s="265" t="s">
        <v>432</v>
      </c>
      <c r="B83" s="148">
        <v>36786.369999999995</v>
      </c>
      <c r="D83" s="148">
        <f>'Ing y gtos'!BV83</f>
        <v>36786.369999999995</v>
      </c>
      <c r="E83" s="511">
        <f t="shared" si="1"/>
        <v>0</v>
      </c>
      <c r="M83" s="127" t="s">
        <v>427</v>
      </c>
      <c r="N83" s="148">
        <v>21429.48</v>
      </c>
      <c r="O83" s="148">
        <v>968</v>
      </c>
      <c r="P83" s="148">
        <f>'Ing y gtos'!BV84</f>
        <v>0</v>
      </c>
    </row>
    <row r="84" spans="1:16">
      <c r="A84" s="127" t="s">
        <v>427</v>
      </c>
      <c r="B84" s="148">
        <v>0</v>
      </c>
      <c r="D84" s="148">
        <f>'Ing y gtos'!BV84</f>
        <v>0</v>
      </c>
      <c r="E84" s="541">
        <f t="shared" si="1"/>
        <v>0</v>
      </c>
      <c r="M84" s="127" t="s">
        <v>438</v>
      </c>
      <c r="N84" s="148">
        <v>25119.5</v>
      </c>
      <c r="O84" s="148">
        <v>28626.02</v>
      </c>
      <c r="P84" s="148">
        <f>'Ing y gtos'!BV85</f>
        <v>54497.55</v>
      </c>
    </row>
    <row r="85" spans="1:16">
      <c r="A85" s="127" t="s">
        <v>438</v>
      </c>
      <c r="B85" s="148">
        <v>54497.55</v>
      </c>
      <c r="D85" s="148">
        <f>'Ing y gtos'!BV85</f>
        <v>54497.55</v>
      </c>
      <c r="E85" s="541">
        <f t="shared" si="1"/>
        <v>0</v>
      </c>
      <c r="F85" t="s">
        <v>537</v>
      </c>
      <c r="M85" s="127" t="s">
        <v>435</v>
      </c>
      <c r="N85" s="148">
        <v>0</v>
      </c>
      <c r="O85" s="148">
        <v>6776.15</v>
      </c>
      <c r="P85" s="148">
        <f>'Ing y gtos'!BV86</f>
        <v>15511.24</v>
      </c>
    </row>
    <row r="86" spans="1:16">
      <c r="A86" s="127" t="s">
        <v>435</v>
      </c>
      <c r="B86" s="148">
        <v>15511.24</v>
      </c>
      <c r="D86" s="148">
        <f>'Ing y gtos'!BV86</f>
        <v>15511.24</v>
      </c>
      <c r="E86" s="541">
        <f t="shared" si="1"/>
        <v>0</v>
      </c>
      <c r="M86" s="265"/>
      <c r="N86" s="148">
        <v>0</v>
      </c>
      <c r="O86" s="148">
        <v>0</v>
      </c>
      <c r="P86" s="148">
        <f>'Ing y gtos'!BV87</f>
        <v>0</v>
      </c>
    </row>
    <row r="87" spans="1:16">
      <c r="A87" s="265"/>
      <c r="B87" s="148">
        <v>0</v>
      </c>
      <c r="D87" s="148">
        <f>'Ing y gtos'!BV87</f>
        <v>0</v>
      </c>
      <c r="E87" s="541">
        <f t="shared" si="1"/>
        <v>0</v>
      </c>
      <c r="M87" s="308" t="s">
        <v>98</v>
      </c>
      <c r="N87" s="290">
        <v>36213.339999999997</v>
      </c>
      <c r="O87" s="290">
        <v>41502.409999999996</v>
      </c>
      <c r="P87" s="290">
        <f>'Ing y gtos'!BV88</f>
        <v>24610.090000000004</v>
      </c>
    </row>
    <row r="88" spans="1:16">
      <c r="A88" s="308" t="s">
        <v>98</v>
      </c>
      <c r="B88" s="290">
        <v>24610.090000000004</v>
      </c>
      <c r="D88" s="290">
        <f>'Ing y gtos'!BV88</f>
        <v>24610.090000000004</v>
      </c>
      <c r="E88" s="541">
        <f t="shared" si="1"/>
        <v>0</v>
      </c>
      <c r="M88" s="143" t="s">
        <v>99</v>
      </c>
      <c r="N88" s="148">
        <v>0</v>
      </c>
      <c r="O88" s="148">
        <v>0</v>
      </c>
      <c r="P88" s="148">
        <f>'Ing y gtos'!BV89</f>
        <v>1157.1799999999998</v>
      </c>
    </row>
    <row r="89" spans="1:16">
      <c r="A89" s="143" t="s">
        <v>99</v>
      </c>
      <c r="B89" s="148">
        <v>1157.1799999999998</v>
      </c>
      <c r="D89" s="148">
        <f>'Ing y gtos'!BV89</f>
        <v>1157.1799999999998</v>
      </c>
      <c r="E89" s="541">
        <f t="shared" si="1"/>
        <v>0</v>
      </c>
      <c r="M89" s="143" t="s">
        <v>100</v>
      </c>
      <c r="N89" s="148">
        <v>201.74</v>
      </c>
      <c r="O89" s="148">
        <v>672.85</v>
      </c>
      <c r="P89" s="148">
        <f>'Ing y gtos'!BV90</f>
        <v>890.19999999999993</v>
      </c>
    </row>
    <row r="90" spans="1:16">
      <c r="A90" s="143" t="s">
        <v>100</v>
      </c>
      <c r="B90" s="148">
        <v>532.39</v>
      </c>
      <c r="D90" s="148">
        <f>'Ing y gtos'!BV90</f>
        <v>890.19999999999993</v>
      </c>
      <c r="E90" s="541">
        <f t="shared" si="1"/>
        <v>357.80999999999995</v>
      </c>
      <c r="M90" s="143" t="s">
        <v>101</v>
      </c>
      <c r="N90" s="148">
        <v>0</v>
      </c>
      <c r="O90" s="148">
        <v>292.31</v>
      </c>
      <c r="P90" s="148">
        <f>'Ing y gtos'!BV91</f>
        <v>477.34000000000003</v>
      </c>
    </row>
    <row r="91" spans="1:16">
      <c r="A91" s="143" t="s">
        <v>101</v>
      </c>
      <c r="B91" s="148">
        <v>409.37</v>
      </c>
      <c r="D91" s="148">
        <f>'Ing y gtos'!BV91</f>
        <v>477.34000000000003</v>
      </c>
      <c r="E91" s="541">
        <f t="shared" si="1"/>
        <v>67.970000000000027</v>
      </c>
      <c r="M91" s="143" t="s">
        <v>102</v>
      </c>
      <c r="N91" s="148">
        <v>11842.18</v>
      </c>
      <c r="O91" s="148">
        <v>-6012.9000000000005</v>
      </c>
      <c r="P91" s="148">
        <f>'Ing y gtos'!BV92</f>
        <v>-11638.33</v>
      </c>
    </row>
    <row r="92" spans="1:16">
      <c r="A92" s="143" t="s">
        <v>102</v>
      </c>
      <c r="B92" s="148">
        <v>-10122.74</v>
      </c>
      <c r="D92" s="148">
        <f>'Ing y gtos'!BV92</f>
        <v>-11638.33</v>
      </c>
      <c r="E92" s="541">
        <f t="shared" si="1"/>
        <v>-1515.5900000000001</v>
      </c>
      <c r="F92" t="s">
        <v>509</v>
      </c>
      <c r="M92" s="143" t="s">
        <v>103</v>
      </c>
      <c r="N92" s="148">
        <v>897.31000000000006</v>
      </c>
      <c r="O92" s="148">
        <v>837.59999999999991</v>
      </c>
      <c r="P92" s="148">
        <f>'Ing y gtos'!BV93</f>
        <v>1523.77</v>
      </c>
    </row>
    <row r="93" spans="1:16">
      <c r="A93" s="143" t="s">
        <v>103</v>
      </c>
      <c r="B93" s="148">
        <v>1523.77</v>
      </c>
      <c r="D93" s="148">
        <f>'Ing y gtos'!BV93</f>
        <v>1523.77</v>
      </c>
      <c r="E93" s="541">
        <f t="shared" si="1"/>
        <v>0</v>
      </c>
      <c r="F93" t="s">
        <v>524</v>
      </c>
      <c r="M93" s="143" t="s">
        <v>104</v>
      </c>
      <c r="N93" s="148">
        <v>0</v>
      </c>
      <c r="O93" s="148">
        <v>6901.23</v>
      </c>
      <c r="P93" s="148">
        <f>'Ing y gtos'!BV94</f>
        <v>6236.59</v>
      </c>
    </row>
    <row r="94" spans="1:16">
      <c r="A94" s="143" t="s">
        <v>104</v>
      </c>
      <c r="B94" s="148">
        <v>7158.1900000000005</v>
      </c>
      <c r="D94" s="148">
        <f>'Ing y gtos'!BV94</f>
        <v>6236.59</v>
      </c>
      <c r="E94" s="541">
        <f t="shared" si="1"/>
        <v>-921.60000000000036</v>
      </c>
      <c r="F94" t="s">
        <v>525</v>
      </c>
      <c r="M94" s="143" t="s">
        <v>105</v>
      </c>
      <c r="N94" s="148">
        <v>44.18</v>
      </c>
      <c r="O94" s="148">
        <v>0</v>
      </c>
      <c r="P94" s="148">
        <f>'Ing y gtos'!BV95</f>
        <v>5995.59</v>
      </c>
    </row>
    <row r="95" spans="1:16">
      <c r="A95" s="143" t="s">
        <v>105</v>
      </c>
      <c r="B95" s="148">
        <v>0</v>
      </c>
      <c r="D95" s="148">
        <f>'Ing y gtos'!BV95</f>
        <v>5995.59</v>
      </c>
      <c r="E95" s="541">
        <f t="shared" si="1"/>
        <v>5995.59</v>
      </c>
      <c r="M95" s="143" t="s">
        <v>106</v>
      </c>
      <c r="N95" s="148">
        <v>13536.028199999999</v>
      </c>
      <c r="O95" s="148">
        <v>11586.250000000002</v>
      </c>
      <c r="P95" s="148">
        <f>'Ing y gtos'!BV96</f>
        <v>13517.46</v>
      </c>
    </row>
    <row r="96" spans="1:16">
      <c r="A96" s="143" t="s">
        <v>106</v>
      </c>
      <c r="B96" s="148">
        <v>12156.199999999999</v>
      </c>
      <c r="D96" s="148">
        <f>'Ing y gtos'!BV96</f>
        <v>13517.46</v>
      </c>
      <c r="E96" s="541">
        <f t="shared" si="1"/>
        <v>1361.2600000000002</v>
      </c>
      <c r="M96" s="143" t="s">
        <v>107</v>
      </c>
      <c r="N96" s="148">
        <v>6805.98</v>
      </c>
      <c r="O96" s="148">
        <v>8557.0400000000009</v>
      </c>
      <c r="P96" s="148">
        <f>'Ing y gtos'!BV97</f>
        <v>8105</v>
      </c>
    </row>
    <row r="97" spans="1:16">
      <c r="A97" s="143" t="s">
        <v>107</v>
      </c>
      <c r="B97" s="148">
        <v>8431</v>
      </c>
      <c r="D97" s="148">
        <f>'Ing y gtos'!BV97</f>
        <v>8105</v>
      </c>
      <c r="E97" s="541">
        <f t="shared" si="1"/>
        <v>-326</v>
      </c>
      <c r="M97" s="143" t="s">
        <v>444</v>
      </c>
      <c r="N97" s="148">
        <v>3490.7499999999995</v>
      </c>
      <c r="O97" s="148">
        <v>5340.39</v>
      </c>
      <c r="P97" s="148">
        <f>'Ing y gtos'!BV98</f>
        <v>4965.3600000000006</v>
      </c>
    </row>
    <row r="98" spans="1:16">
      <c r="A98" s="143" t="s">
        <v>444</v>
      </c>
      <c r="B98" s="148">
        <v>5333.42</v>
      </c>
      <c r="D98" s="148">
        <f>'Ing y gtos'!BV98</f>
        <v>4965.3600000000006</v>
      </c>
      <c r="E98" s="541">
        <f t="shared" si="1"/>
        <v>-368.05999999999949</v>
      </c>
      <c r="F98" t="s">
        <v>526</v>
      </c>
      <c r="M98" s="143" t="s">
        <v>108</v>
      </c>
      <c r="N98" s="148">
        <v>5415</v>
      </c>
      <c r="O98" s="148">
        <v>700</v>
      </c>
      <c r="P98" s="148">
        <f>'Ing y gtos'!BV99</f>
        <v>4450</v>
      </c>
    </row>
    <row r="99" spans="1:16">
      <c r="A99" s="143" t="s">
        <v>108</v>
      </c>
      <c r="B99" s="148">
        <v>4450</v>
      </c>
      <c r="D99" s="148">
        <f>'Ing y gtos'!BV99</f>
        <v>4450</v>
      </c>
      <c r="E99" s="541">
        <f t="shared" si="1"/>
        <v>0</v>
      </c>
      <c r="M99" s="143" t="s">
        <v>109</v>
      </c>
      <c r="N99" s="148">
        <v>1445</v>
      </c>
      <c r="O99" s="148">
        <v>1350</v>
      </c>
      <c r="P99" s="148">
        <f>'Ing y gtos'!BV100</f>
        <v>-2017.59</v>
      </c>
    </row>
    <row r="100" spans="1:16">
      <c r="A100" s="143" t="s">
        <v>109</v>
      </c>
      <c r="B100" s="148">
        <v>-2017.59</v>
      </c>
      <c r="D100" s="148">
        <f>'Ing y gtos'!BV100</f>
        <v>-2017.59</v>
      </c>
      <c r="E100" s="511">
        <f t="shared" si="1"/>
        <v>0</v>
      </c>
      <c r="F100" t="s">
        <v>527</v>
      </c>
      <c r="M100" s="143" t="s">
        <v>463</v>
      </c>
      <c r="N100" s="148">
        <v>3777.3199999999997</v>
      </c>
      <c r="O100" s="148">
        <v>4753.76</v>
      </c>
      <c r="P100" s="148">
        <f>'Ing y gtos'!BV101</f>
        <v>10367.720000000001</v>
      </c>
    </row>
    <row r="101" spans="1:16">
      <c r="A101" s="143" t="s">
        <v>463</v>
      </c>
      <c r="B101" s="148">
        <v>10387.720000000001</v>
      </c>
      <c r="D101" s="148">
        <f>'Ing y gtos'!BV101</f>
        <v>10367.720000000001</v>
      </c>
      <c r="E101" s="511">
        <f t="shared" si="1"/>
        <v>-20</v>
      </c>
      <c r="F101" t="s">
        <v>528</v>
      </c>
      <c r="M101" s="321" t="s">
        <v>408</v>
      </c>
      <c r="N101" s="148">
        <v>12174.339999999998</v>
      </c>
      <c r="O101" s="148">
        <v>14941.52</v>
      </c>
      <c r="P101" s="148">
        <f>'Ing y gtos'!BV102</f>
        <v>18001.580000000002</v>
      </c>
    </row>
    <row r="102" spans="1:16">
      <c r="A102" s="321" t="s">
        <v>408</v>
      </c>
      <c r="B102" s="148">
        <v>18001.580000000002</v>
      </c>
      <c r="D102" s="148">
        <f>'Ing y gtos'!BV102</f>
        <v>18001.580000000002</v>
      </c>
      <c r="E102" s="511">
        <f t="shared" si="1"/>
        <v>0</v>
      </c>
      <c r="F102" t="s">
        <v>529</v>
      </c>
      <c r="M102" s="143" t="s">
        <v>440</v>
      </c>
      <c r="N102" s="148">
        <v>14480.699999999999</v>
      </c>
      <c r="O102" s="148">
        <v>10623.71</v>
      </c>
      <c r="P102" s="148">
        <f>'Ing y gtos'!BV103</f>
        <v>16145.960000000001</v>
      </c>
    </row>
    <row r="103" spans="1:16">
      <c r="A103" s="143" t="s">
        <v>440</v>
      </c>
      <c r="B103" s="148">
        <v>16145.960000000001</v>
      </c>
      <c r="D103" s="148">
        <f>'Ing y gtos'!BV103</f>
        <v>16145.960000000001</v>
      </c>
      <c r="E103" s="511">
        <f t="shared" si="1"/>
        <v>0</v>
      </c>
      <c r="F103" t="s">
        <v>529</v>
      </c>
      <c r="M103" s="143" t="s">
        <v>462</v>
      </c>
      <c r="N103" s="148">
        <v>9007.2400000000016</v>
      </c>
      <c r="O103" s="148">
        <v>9380.6500000000015</v>
      </c>
      <c r="P103" s="148">
        <f>'Ing y gtos'!BV104</f>
        <v>2956.5</v>
      </c>
    </row>
    <row r="104" spans="1:16">
      <c r="A104" s="143" t="s">
        <v>499</v>
      </c>
      <c r="B104" s="148">
        <v>2956.5</v>
      </c>
      <c r="D104" s="148">
        <f>'Ing y gtos'!BV104</f>
        <v>2956.5</v>
      </c>
      <c r="E104" s="511">
        <f t="shared" si="1"/>
        <v>0</v>
      </c>
      <c r="F104" t="s">
        <v>529</v>
      </c>
      <c r="M104" s="143" t="s">
        <v>110</v>
      </c>
      <c r="N104" s="148">
        <v>500</v>
      </c>
      <c r="O104" s="148">
        <v>530</v>
      </c>
      <c r="P104" s="148">
        <f>'Ing y gtos'!BV105</f>
        <v>803</v>
      </c>
    </row>
    <row r="105" spans="1:16">
      <c r="A105" s="143" t="s">
        <v>110</v>
      </c>
      <c r="B105" s="148">
        <v>803</v>
      </c>
      <c r="D105" s="148">
        <f>'Ing y gtos'!BV105</f>
        <v>803</v>
      </c>
      <c r="E105" s="511">
        <f t="shared" si="1"/>
        <v>0</v>
      </c>
      <c r="M105" s="143" t="s">
        <v>111</v>
      </c>
      <c r="N105" s="148">
        <v>11722.54</v>
      </c>
      <c r="O105" s="148">
        <v>13219.069999999998</v>
      </c>
      <c r="P105" s="148">
        <f>'Ing y gtos'!BV106</f>
        <v>13612.260000000002</v>
      </c>
    </row>
    <row r="106" spans="1:16">
      <c r="A106" s="143" t="s">
        <v>111</v>
      </c>
      <c r="B106" s="148">
        <v>13107.29</v>
      </c>
      <c r="D106" s="148">
        <f>'Ing y gtos'!BV106</f>
        <v>13612.260000000002</v>
      </c>
      <c r="E106" s="511">
        <f t="shared" si="1"/>
        <v>504.97000000000116</v>
      </c>
      <c r="F106" t="s">
        <v>530</v>
      </c>
      <c r="M106" s="143" t="s">
        <v>112</v>
      </c>
      <c r="N106" s="148">
        <v>2539.2799999999997</v>
      </c>
      <c r="O106" s="148">
        <v>139.07</v>
      </c>
      <c r="P106" s="148">
        <f>'Ing y gtos'!BV107</f>
        <v>0</v>
      </c>
    </row>
    <row r="107" spans="1:16">
      <c r="A107" s="143" t="s">
        <v>112</v>
      </c>
      <c r="B107" s="148">
        <v>0</v>
      </c>
      <c r="D107" s="148">
        <f>'Ing y gtos'!BV107</f>
        <v>0</v>
      </c>
      <c r="E107" s="511">
        <f t="shared" si="1"/>
        <v>0</v>
      </c>
      <c r="M107" s="127" t="s">
        <v>113</v>
      </c>
      <c r="N107" s="148">
        <v>1119.83</v>
      </c>
      <c r="O107" s="148">
        <v>1302.0999999999999</v>
      </c>
      <c r="P107" s="148">
        <f>'Ing y gtos'!BV108</f>
        <v>1249.0300000000002</v>
      </c>
    </row>
    <row r="108" spans="1:16">
      <c r="A108" s="127" t="s">
        <v>113</v>
      </c>
      <c r="B108" s="148">
        <v>1249.0300000000002</v>
      </c>
      <c r="D108" s="148">
        <f>'Ing y gtos'!BV108</f>
        <v>1249.0300000000002</v>
      </c>
      <c r="E108" s="511">
        <f t="shared" si="1"/>
        <v>0</v>
      </c>
      <c r="F108" t="s">
        <v>491</v>
      </c>
      <c r="M108" s="127" t="s">
        <v>114</v>
      </c>
      <c r="N108" s="148">
        <v>1169.04</v>
      </c>
      <c r="O108" s="148">
        <v>1302.28</v>
      </c>
      <c r="P108" s="148">
        <f>'Ing y gtos'!BV109</f>
        <v>1297.18</v>
      </c>
    </row>
    <row r="109" spans="1:16">
      <c r="A109" s="127" t="s">
        <v>114</v>
      </c>
      <c r="B109" s="148">
        <v>1297.18</v>
      </c>
      <c r="D109" s="148">
        <f>'Ing y gtos'!BV109</f>
        <v>1297.18</v>
      </c>
      <c r="E109" s="511">
        <f t="shared" si="1"/>
        <v>0</v>
      </c>
      <c r="F109" t="s">
        <v>531</v>
      </c>
      <c r="M109" s="127" t="s">
        <v>115</v>
      </c>
      <c r="N109" s="148">
        <v>260.07</v>
      </c>
      <c r="O109" s="148">
        <v>416.8</v>
      </c>
      <c r="P109" s="148">
        <f>'Ing y gtos'!BV110</f>
        <v>355.49</v>
      </c>
    </row>
    <row r="110" spans="1:16">
      <c r="A110" s="127" t="s">
        <v>115</v>
      </c>
      <c r="B110" s="148">
        <v>355.49</v>
      </c>
      <c r="D110" s="148">
        <f>'Ing y gtos'!BV110</f>
        <v>355.49</v>
      </c>
      <c r="E110" s="511">
        <f t="shared" si="1"/>
        <v>0</v>
      </c>
      <c r="M110" s="127" t="s">
        <v>116</v>
      </c>
      <c r="N110" s="148">
        <v>0</v>
      </c>
      <c r="O110" s="148">
        <v>0</v>
      </c>
      <c r="P110" s="148">
        <f>'Ing y gtos'!BV111</f>
        <v>0</v>
      </c>
    </row>
    <row r="111" spans="1:16">
      <c r="A111" s="127" t="s">
        <v>116</v>
      </c>
      <c r="B111" s="148">
        <v>0</v>
      </c>
      <c r="D111" s="148">
        <f>'Ing y gtos'!BV111</f>
        <v>0</v>
      </c>
      <c r="E111" s="511">
        <f t="shared" si="1"/>
        <v>0</v>
      </c>
      <c r="M111" s="143" t="s">
        <v>117</v>
      </c>
      <c r="N111" s="148">
        <v>542.58000000000004</v>
      </c>
      <c r="O111" s="148">
        <v>550.71</v>
      </c>
      <c r="P111" s="148">
        <f>'Ing y gtos'!BV112</f>
        <v>567.24</v>
      </c>
    </row>
    <row r="112" spans="1:16">
      <c r="A112" s="143" t="s">
        <v>117</v>
      </c>
      <c r="B112" s="148">
        <v>567.24</v>
      </c>
      <c r="D112" s="148">
        <f>'Ing y gtos'!BV112</f>
        <v>567.24</v>
      </c>
      <c r="E112" s="511">
        <f t="shared" si="1"/>
        <v>0</v>
      </c>
      <c r="M112" s="143" t="s">
        <v>118</v>
      </c>
      <c r="N112" s="148">
        <v>0</v>
      </c>
      <c r="O112" s="148">
        <v>0</v>
      </c>
      <c r="P112" s="148">
        <f>'Ing y gtos'!BV113</f>
        <v>0</v>
      </c>
    </row>
    <row r="113" spans="1:16">
      <c r="A113" s="143" t="s">
        <v>118</v>
      </c>
      <c r="B113" s="148">
        <v>0</v>
      </c>
      <c r="D113" s="148">
        <f>'Ing y gtos'!BV113</f>
        <v>0</v>
      </c>
      <c r="E113" s="511">
        <f t="shared" si="1"/>
        <v>0</v>
      </c>
      <c r="M113" s="143" t="s">
        <v>119</v>
      </c>
      <c r="N113" s="148">
        <v>0</v>
      </c>
      <c r="O113" s="148">
        <v>0</v>
      </c>
      <c r="P113" s="148">
        <f>'Ing y gtos'!BV114</f>
        <v>-30.01</v>
      </c>
    </row>
    <row r="114" spans="1:16">
      <c r="A114" s="143" t="s">
        <v>119</v>
      </c>
      <c r="B114" s="148">
        <v>-30.01</v>
      </c>
      <c r="D114" s="148">
        <f>'Ing y gtos'!BV114</f>
        <v>-30.01</v>
      </c>
      <c r="E114" s="511">
        <f t="shared" si="1"/>
        <v>0</v>
      </c>
      <c r="M114" s="143" t="s">
        <v>120</v>
      </c>
      <c r="N114" s="148">
        <v>268.61</v>
      </c>
      <c r="O114" s="148">
        <v>0</v>
      </c>
      <c r="P114" s="148">
        <f>'Ing y gtos'!BV115</f>
        <v>0</v>
      </c>
    </row>
    <row r="115" spans="1:16">
      <c r="A115" s="143" t="s">
        <v>120</v>
      </c>
      <c r="B115" s="148">
        <v>0</v>
      </c>
      <c r="D115" s="148">
        <f>'Ing y gtos'!BV115</f>
        <v>0</v>
      </c>
      <c r="E115" s="511">
        <f t="shared" si="1"/>
        <v>0</v>
      </c>
      <c r="M115" s="143" t="s">
        <v>121</v>
      </c>
      <c r="N115" s="148">
        <v>6595.2899999999991</v>
      </c>
      <c r="O115" s="148">
        <v>7522.079999999999</v>
      </c>
      <c r="P115" s="148">
        <f>'Ing y gtos'!BV116</f>
        <v>4369.49</v>
      </c>
    </row>
    <row r="116" spans="1:16">
      <c r="A116" s="143" t="s">
        <v>121</v>
      </c>
      <c r="B116" s="148">
        <v>4698.33</v>
      </c>
      <c r="D116" s="148">
        <f>'Ing y gtos'!BV116</f>
        <v>4369.49</v>
      </c>
      <c r="E116" s="511">
        <f t="shared" si="1"/>
        <v>-328.84000000000015</v>
      </c>
      <c r="F116" t="s">
        <v>532</v>
      </c>
      <c r="M116" s="328" t="s">
        <v>122</v>
      </c>
      <c r="N116" s="202">
        <v>-1.0000000000005116E-2</v>
      </c>
      <c r="O116" s="202">
        <v>0</v>
      </c>
      <c r="P116" s="202">
        <f>'Ing y gtos'!BV117</f>
        <v>201.73000000000002</v>
      </c>
    </row>
    <row r="117" spans="1:16">
      <c r="A117" s="328" t="s">
        <v>122</v>
      </c>
      <c r="B117" s="159">
        <v>201.73000000000002</v>
      </c>
      <c r="D117" s="159">
        <f>'Ing y gtos'!BV117</f>
        <v>201.73000000000002</v>
      </c>
      <c r="E117" s="511">
        <f t="shared" si="1"/>
        <v>0</v>
      </c>
      <c r="M117" s="331" t="s">
        <v>464</v>
      </c>
      <c r="N117" s="249">
        <v>896.21</v>
      </c>
      <c r="O117" s="249">
        <v>315.89999999999998</v>
      </c>
      <c r="P117" s="249">
        <f>'Ing y gtos'!BV118</f>
        <v>1317</v>
      </c>
    </row>
    <row r="118" spans="1:16">
      <c r="A118" s="331" t="s">
        <v>464</v>
      </c>
      <c r="B118" s="159">
        <v>1317</v>
      </c>
      <c r="D118" s="159">
        <f>'Ing y gtos'!BV118</f>
        <v>1317</v>
      </c>
      <c r="E118" s="511">
        <f t="shared" si="1"/>
        <v>0</v>
      </c>
      <c r="M118" s="127" t="s">
        <v>123</v>
      </c>
      <c r="N118" s="148">
        <v>0</v>
      </c>
      <c r="O118" s="148">
        <v>0</v>
      </c>
      <c r="P118" s="148">
        <f>'Ing y gtos'!BV119</f>
        <v>0</v>
      </c>
    </row>
    <row r="119" spans="1:16">
      <c r="A119" s="127" t="s">
        <v>123</v>
      </c>
      <c r="B119" s="148">
        <v>0</v>
      </c>
      <c r="D119" s="148">
        <f>'Ing y gtos'!BV119</f>
        <v>0</v>
      </c>
      <c r="E119" s="511">
        <f t="shared" si="1"/>
        <v>0</v>
      </c>
      <c r="M119" s="127" t="s">
        <v>124</v>
      </c>
      <c r="N119" s="148">
        <v>0</v>
      </c>
      <c r="O119" s="148">
        <v>0</v>
      </c>
      <c r="P119" s="148">
        <f>'Ing y gtos'!BV120</f>
        <v>0</v>
      </c>
    </row>
    <row r="120" spans="1:16" ht="15.75">
      <c r="A120" s="127" t="s">
        <v>124</v>
      </c>
      <c r="B120" s="148">
        <v>0</v>
      </c>
      <c r="D120" s="148">
        <f>'Ing y gtos'!BV120</f>
        <v>0</v>
      </c>
      <c r="E120" s="511">
        <f>D120-B120</f>
        <v>0</v>
      </c>
      <c r="M120" s="273" t="s">
        <v>125</v>
      </c>
      <c r="N120" s="216">
        <v>283587.01819999999</v>
      </c>
      <c r="O120" s="216">
        <v>242468.59</v>
      </c>
      <c r="P120" s="216">
        <f>'Ing y gtos'!BV121</f>
        <v>291033.99</v>
      </c>
    </row>
    <row r="121" spans="1:16" ht="15.75">
      <c r="A121" s="273" t="s">
        <v>125</v>
      </c>
      <c r="B121" s="216">
        <v>286226.47999999992</v>
      </c>
      <c r="D121" s="216">
        <f>'Ing y gtos'!BV121</f>
        <v>291033.99</v>
      </c>
      <c r="E121" s="576">
        <f>D121-B121</f>
        <v>4807.5100000000675</v>
      </c>
      <c r="F121" s="503" t="s">
        <v>513</v>
      </c>
      <c r="M121" s="180" t="s">
        <v>31</v>
      </c>
      <c r="N121" s="183">
        <v>0</v>
      </c>
      <c r="O121" s="183">
        <v>0</v>
      </c>
      <c r="P121" s="183">
        <f>'Ing y gtos'!BV122</f>
        <v>0</v>
      </c>
    </row>
    <row r="122" spans="1:16" ht="15.75" thickBot="1">
      <c r="A122" s="180" t="s">
        <v>31</v>
      </c>
      <c r="B122" s="183">
        <v>0</v>
      </c>
      <c r="D122" s="183">
        <f>'Ing y gtos'!BV122</f>
        <v>0</v>
      </c>
      <c r="E122" s="511"/>
      <c r="M122" s="340"/>
      <c r="N122" s="342"/>
      <c r="O122" s="342"/>
      <c r="P122" s="342"/>
    </row>
    <row r="123" spans="1:16" ht="15.75" thickBot="1">
      <c r="A123" s="340"/>
      <c r="B123" s="342"/>
      <c r="D123" s="342"/>
      <c r="E123" s="511"/>
      <c r="M123" s="242" t="s">
        <v>35</v>
      </c>
      <c r="N123" s="148">
        <v>-6321.4000000000005</v>
      </c>
      <c r="O123" s="148">
        <v>18275.200299999968</v>
      </c>
      <c r="P123" s="148">
        <f>'Ing y gtos'!BV124</f>
        <v>-20994.949700000034</v>
      </c>
    </row>
    <row r="124" spans="1:16">
      <c r="A124" s="242" t="s">
        <v>35</v>
      </c>
      <c r="B124" s="148">
        <v>-20994.949700000034</v>
      </c>
      <c r="D124" s="148">
        <f>'Ing y gtos'!BV124</f>
        <v>-20994.949700000034</v>
      </c>
      <c r="E124" s="511">
        <f t="shared" si="1"/>
        <v>0</v>
      </c>
      <c r="F124" s="127"/>
      <c r="M124" s="242" t="s">
        <v>126</v>
      </c>
      <c r="N124" s="148">
        <v>374655.76</v>
      </c>
      <c r="O124" s="148">
        <v>267007.11</v>
      </c>
      <c r="P124" s="148">
        <f>'Ing y gtos'!BV125</f>
        <v>320883.75999999995</v>
      </c>
    </row>
    <row r="125" spans="1:16" ht="15.75" thickBot="1">
      <c r="A125" s="242" t="s">
        <v>126</v>
      </c>
      <c r="B125" s="148">
        <v>310395.94</v>
      </c>
      <c r="D125" s="148">
        <f>'Ing y gtos'!BV125</f>
        <v>320883.75999999995</v>
      </c>
      <c r="E125" s="511">
        <f>D125-B125</f>
        <v>10487.819999999949</v>
      </c>
      <c r="F125" s="127" t="s">
        <v>510</v>
      </c>
      <c r="M125" s="242" t="s">
        <v>127</v>
      </c>
      <c r="N125" s="148">
        <v>-350059.15970000002</v>
      </c>
      <c r="O125" s="148">
        <v>-300345.31000000006</v>
      </c>
      <c r="P125" s="148">
        <f>'Ing y gtos'!BV126</f>
        <v>-379890</v>
      </c>
    </row>
    <row r="126" spans="1:16" ht="16.5" thickBot="1">
      <c r="A126" s="242" t="s">
        <v>127</v>
      </c>
      <c r="B126" s="148">
        <v>-365701.11</v>
      </c>
      <c r="D126" s="148">
        <f>'Ing y gtos'!BV126</f>
        <v>-379890</v>
      </c>
      <c r="E126" s="511">
        <f>D126-B126</f>
        <v>-14188.890000000014</v>
      </c>
      <c r="F126" s="127" t="s">
        <v>511</v>
      </c>
      <c r="M126" s="275" t="s">
        <v>388</v>
      </c>
      <c r="N126" s="276">
        <v>18275.200299999968</v>
      </c>
      <c r="O126" s="276">
        <v>-15062.999700000102</v>
      </c>
      <c r="P126" s="276">
        <f>'Ing y gtos'!BV127</f>
        <v>-80001.189700000104</v>
      </c>
    </row>
    <row r="127" spans="1:16" ht="16.5" thickBot="1">
      <c r="A127" s="275" t="s">
        <v>388</v>
      </c>
      <c r="B127" s="276">
        <v>-76300.119700000039</v>
      </c>
      <c r="D127" s="276">
        <f>'Ing y gtos'!BV127</f>
        <v>-80001.189700000104</v>
      </c>
      <c r="E127" s="511">
        <f>D127-B127</f>
        <v>-3701.0700000000652</v>
      </c>
      <c r="F127" s="503" t="s">
        <v>512</v>
      </c>
      <c r="M127" s="265" t="s">
        <v>128</v>
      </c>
      <c r="N127" s="160"/>
      <c r="O127" s="160"/>
      <c r="P127" s="160"/>
    </row>
    <row r="128" spans="1:16">
      <c r="A128" s="265" t="s">
        <v>128</v>
      </c>
      <c r="B128" s="160"/>
      <c r="D128" s="160"/>
      <c r="E128" s="511"/>
      <c r="M128" s="265"/>
      <c r="N128" s="160"/>
      <c r="O128" s="160"/>
      <c r="P128" s="160"/>
    </row>
    <row r="129" spans="1:16">
      <c r="A129" s="265"/>
      <c r="B129" s="160"/>
      <c r="D129" s="160"/>
      <c r="E129" s="511"/>
      <c r="M129" s="349" t="s">
        <v>25</v>
      </c>
      <c r="N129" s="160"/>
      <c r="O129" s="160"/>
      <c r="P129" s="160"/>
    </row>
    <row r="130" spans="1:16">
      <c r="A130" s="349" t="s">
        <v>25</v>
      </c>
      <c r="B130" s="160"/>
      <c r="D130" s="160"/>
      <c r="E130" s="511"/>
      <c r="M130" s="193" t="s">
        <v>129</v>
      </c>
      <c r="N130" s="202">
        <v>10393.93</v>
      </c>
      <c r="O130" s="202">
        <v>1068.48</v>
      </c>
      <c r="P130" s="202">
        <f>'Ing y gtos'!BV131</f>
        <v>0</v>
      </c>
    </row>
    <row r="131" spans="1:16">
      <c r="A131" s="193" t="s">
        <v>129</v>
      </c>
      <c r="B131" s="202">
        <v>0</v>
      </c>
      <c r="D131" s="202">
        <f>'Ing y gtos'!BV131</f>
        <v>0</v>
      </c>
      <c r="E131" s="511">
        <f t="shared" si="1"/>
        <v>0</v>
      </c>
      <c r="M131" s="143" t="s">
        <v>130</v>
      </c>
      <c r="N131" s="148">
        <v>-2750</v>
      </c>
      <c r="O131" s="148">
        <v>-3950</v>
      </c>
      <c r="P131" s="148">
        <f>'Ing y gtos'!BV132</f>
        <v>-2475</v>
      </c>
    </row>
    <row r="132" spans="1:16">
      <c r="A132" s="143" t="s">
        <v>130</v>
      </c>
      <c r="B132" s="148">
        <v>-2475</v>
      </c>
      <c r="D132" s="148">
        <f>'Ing y gtos'!BV132</f>
        <v>-2475</v>
      </c>
      <c r="E132" s="511">
        <f t="shared" si="1"/>
        <v>0</v>
      </c>
      <c r="M132" s="127" t="s">
        <v>131</v>
      </c>
      <c r="N132" s="148">
        <v>7394.4750000000004</v>
      </c>
      <c r="O132" s="148">
        <v>-375.5</v>
      </c>
      <c r="P132" s="148">
        <f>'Ing y gtos'!BV133</f>
        <v>0</v>
      </c>
    </row>
    <row r="133" spans="1:16">
      <c r="A133" s="127" t="s">
        <v>131</v>
      </c>
      <c r="B133" s="148">
        <v>0</v>
      </c>
      <c r="D133" s="148">
        <f>'Ing y gtos'!BV133</f>
        <v>0</v>
      </c>
      <c r="E133" s="511">
        <f t="shared" ref="E133:E135" si="2">D133-B133</f>
        <v>0</v>
      </c>
      <c r="M133" s="127" t="s">
        <v>428</v>
      </c>
      <c r="N133" s="148">
        <v>0</v>
      </c>
      <c r="O133" s="148">
        <v>-420</v>
      </c>
      <c r="P133" s="148">
        <f>'Ing y gtos'!BV134</f>
        <v>0</v>
      </c>
    </row>
    <row r="134" spans="1:16">
      <c r="A134" s="127" t="s">
        <v>428</v>
      </c>
      <c r="B134" s="148">
        <v>0</v>
      </c>
      <c r="D134" s="148">
        <f>'Ing y gtos'!BV134</f>
        <v>0</v>
      </c>
      <c r="E134" s="511">
        <f t="shared" si="2"/>
        <v>0</v>
      </c>
      <c r="M134" s="127" t="s">
        <v>132</v>
      </c>
      <c r="N134" s="148">
        <v>1752.08</v>
      </c>
      <c r="O134" s="148">
        <v>0</v>
      </c>
      <c r="P134" s="148">
        <f>'Ing y gtos'!BV135</f>
        <v>0</v>
      </c>
    </row>
    <row r="135" spans="1:16">
      <c r="A135" s="127" t="s">
        <v>132</v>
      </c>
      <c r="B135" s="148">
        <v>0</v>
      </c>
      <c r="D135" s="148">
        <f>'Ing y gtos'!BV135</f>
        <v>0</v>
      </c>
      <c r="E135" s="511">
        <f t="shared" si="2"/>
        <v>0</v>
      </c>
      <c r="M135" s="127" t="s">
        <v>133</v>
      </c>
      <c r="N135" s="148">
        <v>0</v>
      </c>
      <c r="O135" s="148">
        <v>0</v>
      </c>
      <c r="P135" s="148">
        <f>'Ing y gtos'!BV136</f>
        <v>0</v>
      </c>
    </row>
    <row r="136" spans="1:16" ht="15.75">
      <c r="A136" s="127" t="s">
        <v>133</v>
      </c>
      <c r="B136" s="148">
        <v>0</v>
      </c>
      <c r="D136" s="148">
        <f>'Ing y gtos'!BV136</f>
        <v>0</v>
      </c>
      <c r="E136" s="511">
        <f>D136-B136</f>
        <v>0</v>
      </c>
      <c r="M136" s="352" t="s">
        <v>134</v>
      </c>
      <c r="N136" s="173">
        <v>16790.485000000001</v>
      </c>
      <c r="O136" s="173">
        <v>13113.465</v>
      </c>
      <c r="P136" s="173">
        <f>'Ing y gtos'!BV137</f>
        <v>10638.465</v>
      </c>
    </row>
    <row r="137" spans="1:16" ht="15.75">
      <c r="A137" s="352" t="s">
        <v>134</v>
      </c>
      <c r="B137" s="173">
        <v>10638.465</v>
      </c>
      <c r="D137" s="173">
        <f>'Ing y gtos'!BV137</f>
        <v>10638.465</v>
      </c>
      <c r="E137" s="511">
        <f>D137-B137</f>
        <v>0</v>
      </c>
      <c r="M137" s="265"/>
      <c r="N137" s="160"/>
      <c r="O137" s="160"/>
      <c r="P137" s="160"/>
    </row>
    <row r="138" spans="1:16">
      <c r="A138" s="265"/>
      <c r="B138" s="160"/>
      <c r="D138" s="160"/>
      <c r="E138" s="511"/>
      <c r="M138" s="349" t="s">
        <v>135</v>
      </c>
      <c r="N138" s="160"/>
      <c r="O138" s="160"/>
      <c r="P138" s="160"/>
    </row>
    <row r="139" spans="1:16">
      <c r="A139" s="349" t="s">
        <v>135</v>
      </c>
      <c r="B139" s="160"/>
      <c r="D139" s="160"/>
      <c r="E139" s="511"/>
      <c r="M139" s="361" t="s">
        <v>136</v>
      </c>
      <c r="N139" s="202"/>
      <c r="O139" s="202"/>
      <c r="P139" s="202">
        <f>'Ing y gtos'!BV140</f>
        <v>0</v>
      </c>
    </row>
    <row r="140" spans="1:16">
      <c r="A140" s="361" t="s">
        <v>136</v>
      </c>
      <c r="B140" s="202">
        <v>0</v>
      </c>
      <c r="D140" s="202">
        <f>'Ing y gtos'!BV140</f>
        <v>0</v>
      </c>
      <c r="E140" s="511">
        <f t="shared" ref="E140:E153" si="3">D140-B140</f>
        <v>0</v>
      </c>
      <c r="M140" s="242" t="s">
        <v>137</v>
      </c>
      <c r="N140" s="362"/>
      <c r="O140" s="362"/>
      <c r="P140" s="362">
        <f>'Ing y gtos'!BV141</f>
        <v>0</v>
      </c>
    </row>
    <row r="141" spans="1:16">
      <c r="A141" s="242" t="s">
        <v>137</v>
      </c>
      <c r="B141" s="362">
        <v>0</v>
      </c>
      <c r="D141" s="362">
        <f>'Ing y gtos'!BV141</f>
        <v>0</v>
      </c>
      <c r="E141" s="511">
        <f t="shared" si="3"/>
        <v>0</v>
      </c>
      <c r="M141" s="364" t="s">
        <v>138</v>
      </c>
      <c r="N141" s="365">
        <v>0</v>
      </c>
      <c r="O141" s="365">
        <v>0</v>
      </c>
      <c r="P141" s="365">
        <f>'Ing y gtos'!BV142</f>
        <v>0</v>
      </c>
    </row>
    <row r="142" spans="1:16" ht="15.75">
      <c r="A142" s="364" t="s">
        <v>138</v>
      </c>
      <c r="B142" s="365">
        <v>0</v>
      </c>
      <c r="D142" s="365">
        <f>'Ing y gtos'!BV142</f>
        <v>0</v>
      </c>
      <c r="E142" s="511">
        <f t="shared" si="3"/>
        <v>0</v>
      </c>
      <c r="M142" s="352" t="s">
        <v>139</v>
      </c>
      <c r="N142" s="173">
        <v>0</v>
      </c>
      <c r="O142" s="173">
        <v>0</v>
      </c>
      <c r="P142" s="173">
        <f>'Ing y gtos'!BV143</f>
        <v>0</v>
      </c>
    </row>
    <row r="143" spans="1:16" ht="15.75">
      <c r="A143" s="352" t="s">
        <v>139</v>
      </c>
      <c r="B143" s="173">
        <v>0</v>
      </c>
      <c r="D143" s="173">
        <f>'Ing y gtos'!BV143</f>
        <v>0</v>
      </c>
      <c r="E143" s="511">
        <f>D143-B143</f>
        <v>0</v>
      </c>
      <c r="M143" s="265"/>
      <c r="N143" s="160"/>
      <c r="O143" s="160"/>
      <c r="P143" s="160"/>
    </row>
    <row r="144" spans="1:16">
      <c r="A144" s="265"/>
      <c r="B144" s="160"/>
      <c r="D144" s="160"/>
      <c r="E144" s="511"/>
      <c r="M144" s="349" t="s">
        <v>140</v>
      </c>
      <c r="N144" s="160"/>
      <c r="O144" s="160"/>
      <c r="P144" s="160"/>
    </row>
    <row r="145" spans="1:16">
      <c r="A145" s="349" t="s">
        <v>140</v>
      </c>
      <c r="B145" s="160"/>
      <c r="D145" s="160"/>
      <c r="E145" s="511"/>
      <c r="M145" s="361" t="s">
        <v>141</v>
      </c>
      <c r="N145" s="202"/>
      <c r="O145" s="202"/>
      <c r="P145" s="202">
        <f>'Ing y gtos'!BV146</f>
        <v>0</v>
      </c>
    </row>
    <row r="146" spans="1:16">
      <c r="A146" s="361" t="s">
        <v>141</v>
      </c>
      <c r="B146" s="202">
        <v>0</v>
      </c>
      <c r="D146" s="202">
        <f>'Ing y gtos'!BV146</f>
        <v>0</v>
      </c>
      <c r="E146" s="511">
        <f t="shared" si="3"/>
        <v>0</v>
      </c>
      <c r="M146" s="242" t="s">
        <v>137</v>
      </c>
      <c r="N146" s="369"/>
      <c r="O146" s="369"/>
      <c r="P146" s="369">
        <f>'Ing y gtos'!BV147</f>
        <v>0</v>
      </c>
    </row>
    <row r="147" spans="1:16">
      <c r="A147" s="242" t="s">
        <v>137</v>
      </c>
      <c r="B147" s="369">
        <v>0</v>
      </c>
      <c r="D147" s="369">
        <f>'Ing y gtos'!BV147</f>
        <v>0</v>
      </c>
      <c r="E147" s="511">
        <f t="shared" si="3"/>
        <v>0</v>
      </c>
      <c r="M147" s="242" t="s">
        <v>142</v>
      </c>
      <c r="N147" s="148">
        <v>0</v>
      </c>
      <c r="O147" s="148">
        <v>0</v>
      </c>
      <c r="P147" s="148">
        <f>'Ing y gtos'!BV148</f>
        <v>0</v>
      </c>
    </row>
    <row r="148" spans="1:16">
      <c r="A148" s="242" t="s">
        <v>142</v>
      </c>
      <c r="B148" s="148">
        <v>0</v>
      </c>
      <c r="D148" s="148">
        <f>'Ing y gtos'!BV148</f>
        <v>0</v>
      </c>
      <c r="E148" s="511">
        <f t="shared" si="3"/>
        <v>0</v>
      </c>
      <c r="M148" s="361" t="s">
        <v>143</v>
      </c>
      <c r="N148" s="202"/>
      <c r="O148" s="202"/>
      <c r="P148" s="202">
        <f>'Ing y gtos'!BV149</f>
        <v>0</v>
      </c>
    </row>
    <row r="149" spans="1:16">
      <c r="A149" s="361" t="s">
        <v>143</v>
      </c>
      <c r="B149" s="202">
        <v>0</v>
      </c>
      <c r="D149" s="202">
        <f>'Ing y gtos'!BV149</f>
        <v>0</v>
      </c>
      <c r="E149" s="511">
        <f t="shared" si="3"/>
        <v>0</v>
      </c>
      <c r="M149" s="242" t="s">
        <v>137</v>
      </c>
      <c r="N149" s="369"/>
      <c r="O149" s="369">
        <v>46500</v>
      </c>
      <c r="P149" s="369">
        <f>'Ing y gtos'!BV150</f>
        <v>0</v>
      </c>
    </row>
    <row r="150" spans="1:16">
      <c r="A150" s="242" t="s">
        <v>137</v>
      </c>
      <c r="B150" s="369">
        <v>0</v>
      </c>
      <c r="D150" s="369">
        <f>'Ing y gtos'!BV150</f>
        <v>0</v>
      </c>
      <c r="E150" s="511">
        <f t="shared" si="3"/>
        <v>0</v>
      </c>
      <c r="M150" s="364" t="s">
        <v>142</v>
      </c>
      <c r="N150" s="249">
        <v>21500</v>
      </c>
      <c r="O150" s="249">
        <v>68000</v>
      </c>
      <c r="P150" s="249">
        <f>'Ing y gtos'!BV151</f>
        <v>118000</v>
      </c>
    </row>
    <row r="151" spans="1:16">
      <c r="A151" s="364" t="s">
        <v>142</v>
      </c>
      <c r="B151" s="249">
        <v>100000</v>
      </c>
      <c r="D151" s="249">
        <f>'Ing y gtos'!BV151</f>
        <v>118000</v>
      </c>
      <c r="E151" s="511">
        <f t="shared" si="3"/>
        <v>18000</v>
      </c>
      <c r="F151" t="s">
        <v>538</v>
      </c>
      <c r="M151" s="361" t="s">
        <v>144</v>
      </c>
      <c r="N151" s="202"/>
      <c r="O151" s="202"/>
      <c r="P151" s="202">
        <f>'Ing y gtos'!BV152</f>
        <v>0</v>
      </c>
    </row>
    <row r="152" spans="1:16">
      <c r="A152" s="361" t="s">
        <v>144</v>
      </c>
      <c r="B152" s="202">
        <v>0</v>
      </c>
      <c r="D152" s="202">
        <f>'Ing y gtos'!BV152</f>
        <v>0</v>
      </c>
      <c r="E152" s="511">
        <f t="shared" si="3"/>
        <v>0</v>
      </c>
      <c r="M152" s="242" t="s">
        <v>137</v>
      </c>
      <c r="N152" s="369"/>
      <c r="O152" s="369"/>
      <c r="P152" s="369">
        <f>'Ing y gtos'!BV153</f>
        <v>0</v>
      </c>
    </row>
    <row r="153" spans="1:16">
      <c r="A153" s="242" t="s">
        <v>137</v>
      </c>
      <c r="B153" s="369">
        <v>0</v>
      </c>
      <c r="D153" s="369">
        <f>'Ing y gtos'!BV153</f>
        <v>0</v>
      </c>
      <c r="E153" s="511">
        <f t="shared" si="3"/>
        <v>0</v>
      </c>
      <c r="M153" s="376" t="s">
        <v>145</v>
      </c>
      <c r="N153" s="249">
        <v>-4256.9500000000007</v>
      </c>
      <c r="O153" s="249">
        <v>-4256.9500000000007</v>
      </c>
      <c r="P153" s="249">
        <f>'Ing y gtos'!BV154</f>
        <v>0</v>
      </c>
    </row>
    <row r="154" spans="1:16">
      <c r="A154" s="376" t="s">
        <v>145</v>
      </c>
      <c r="B154" s="249">
        <v>0</v>
      </c>
      <c r="D154" s="249">
        <f>'Ing y gtos'!BV154</f>
        <v>0</v>
      </c>
      <c r="E154" s="511">
        <f>D154-B154</f>
        <v>0</v>
      </c>
      <c r="M154" s="265"/>
      <c r="N154" s="160"/>
      <c r="O154" s="160"/>
      <c r="P154" s="160"/>
    </row>
    <row r="155" spans="1:16">
      <c r="A155" s="265"/>
      <c r="B155" s="160"/>
      <c r="D155" s="160"/>
      <c r="E155" s="511"/>
      <c r="M155" s="378" t="s">
        <v>31</v>
      </c>
      <c r="N155" s="160"/>
      <c r="O155" s="160"/>
      <c r="P155" s="160"/>
    </row>
    <row r="156" spans="1:16" ht="15.75">
      <c r="A156" s="378" t="s">
        <v>31</v>
      </c>
      <c r="B156" s="160"/>
      <c r="D156" s="160"/>
      <c r="E156" s="508"/>
      <c r="G156" s="511"/>
      <c r="M156" s="379" t="s">
        <v>146</v>
      </c>
      <c r="N156" s="173">
        <v>18727.765299999966</v>
      </c>
      <c r="O156" s="173">
        <v>35566.585299999948</v>
      </c>
      <c r="P156" s="173">
        <f>'Ing y gtos'!BV157</f>
        <v>27360.345299999986</v>
      </c>
    </row>
    <row r="157" spans="1:16" ht="15.75">
      <c r="A157" s="379" t="s">
        <v>146</v>
      </c>
      <c r="B157" s="173">
        <v>28061.415299999979</v>
      </c>
      <c r="D157" s="173">
        <f>'Ing y gtos'!BV157</f>
        <v>27360.345299999986</v>
      </c>
      <c r="E157" s="511"/>
      <c r="M157" s="265" t="s">
        <v>147</v>
      </c>
      <c r="N157" s="456"/>
      <c r="O157" s="456"/>
      <c r="P157" s="456">
        <f>'Ing y gtos'!BV158</f>
        <v>0</v>
      </c>
    </row>
    <row r="158" spans="1:16">
      <c r="A158" s="265" t="s">
        <v>147</v>
      </c>
      <c r="B158" s="387">
        <v>0</v>
      </c>
      <c r="D158" s="387">
        <f>'Ing y gtos'!BV158</f>
        <v>0</v>
      </c>
      <c r="E158" s="511"/>
      <c r="M158" s="265" t="s">
        <v>148</v>
      </c>
      <c r="N158" s="208"/>
      <c r="O158" s="208"/>
      <c r="P158" s="208">
        <f>'Ing y gtos'!BV159</f>
        <v>0</v>
      </c>
    </row>
    <row r="159" spans="1:16">
      <c r="A159" s="265" t="s">
        <v>148</v>
      </c>
      <c r="B159" s="390">
        <v>0</v>
      </c>
      <c r="D159" s="390">
        <f>'Ing y gtos'!BV159</f>
        <v>0</v>
      </c>
      <c r="E159" s="511"/>
      <c r="M159" s="265" t="s">
        <v>149</v>
      </c>
      <c r="N159" s="166"/>
      <c r="O159" s="166"/>
      <c r="P159" s="166">
        <f>'Ing y gtos'!BV160</f>
        <v>0</v>
      </c>
    </row>
    <row r="160" spans="1:16">
      <c r="A160" s="265" t="s">
        <v>149</v>
      </c>
      <c r="B160" s="390">
        <v>0</v>
      </c>
      <c r="D160" s="390">
        <f>'Ing y gtos'!BV160</f>
        <v>0</v>
      </c>
      <c r="E160" s="511"/>
      <c r="M160" s="265" t="s">
        <v>150</v>
      </c>
      <c r="N160" s="388"/>
      <c r="O160" s="388"/>
      <c r="P160" s="388"/>
    </row>
    <row r="161" spans="1:16">
      <c r="A161" s="265" t="s">
        <v>150</v>
      </c>
      <c r="B161" s="394">
        <v>0</v>
      </c>
      <c r="D161" s="394">
        <f>'Ing y gtos'!BV161</f>
        <v>0</v>
      </c>
      <c r="E161" s="511"/>
      <c r="M161" s="293" t="s">
        <v>31</v>
      </c>
      <c r="N161" s="395"/>
      <c r="O161" s="395"/>
      <c r="P161" s="395"/>
    </row>
    <row r="162" spans="1:16">
      <c r="A162" s="293" t="s">
        <v>31</v>
      </c>
      <c r="B162" s="395"/>
      <c r="D162" s="395">
        <f>'Ing y gtos'!BV162</f>
        <v>0</v>
      </c>
      <c r="E162" s="511"/>
      <c r="M162" s="265"/>
      <c r="N162" s="160"/>
      <c r="O162" s="160"/>
      <c r="P162" s="160"/>
    </row>
    <row r="163" spans="1:16">
      <c r="A163" s="265"/>
      <c r="E163" s="511"/>
      <c r="M163" s="265"/>
      <c r="N163" s="160"/>
      <c r="O163" s="160"/>
      <c r="P163" s="160"/>
    </row>
    <row r="164" spans="1:16">
      <c r="A164" s="265"/>
      <c r="E164" s="511"/>
      <c r="M164" s="265"/>
      <c r="N164" s="160"/>
      <c r="O164" s="160"/>
      <c r="P164" s="160"/>
    </row>
    <row r="165" spans="1:16">
      <c r="A165" s="265"/>
      <c r="M165" s="265"/>
      <c r="N165" s="160"/>
      <c r="O165" s="160"/>
      <c r="P165" s="160"/>
    </row>
    <row r="166" spans="1:16">
      <c r="A166" s="265"/>
      <c r="M166" s="265"/>
      <c r="N166" s="160"/>
      <c r="O166" s="160"/>
      <c r="P166" s="160"/>
    </row>
    <row r="167" spans="1:16">
      <c r="A167" s="265"/>
      <c r="M167" s="265"/>
    </row>
    <row r="168" spans="1:16">
      <c r="A168" s="265"/>
      <c r="M168" s="265"/>
    </row>
    <row r="169" spans="1:16">
      <c r="A169" s="265"/>
      <c r="M169" s="265"/>
    </row>
  </sheetData>
  <phoneticPr fontId="64"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DC181"/>
  <sheetViews>
    <sheetView showGridLines="0" tabSelected="1" zoomScaleNormal="100" workbookViewId="0">
      <pane xSplit="2" ySplit="2" topLeftCell="BP35" activePane="bottomRight" state="frozen"/>
      <selection pane="topRight" activeCell="C1" sqref="C1"/>
      <selection pane="bottomLeft" activeCell="A3" sqref="A3"/>
      <selection pane="bottomRight" activeCell="BS48" sqref="BS48"/>
    </sheetView>
  </sheetViews>
  <sheetFormatPr baseColWidth="10" defaultColWidth="11.42578125" defaultRowHeight="15"/>
  <cols>
    <col min="1" max="1" width="1.42578125" style="127" customWidth="1"/>
    <col min="2" max="2" width="40.42578125" style="127" customWidth="1"/>
    <col min="3" max="3" width="17.42578125" style="127" customWidth="1"/>
    <col min="4" max="4" width="15.42578125" style="127" bestFit="1" customWidth="1"/>
    <col min="5" max="5" width="15.28515625" style="127" customWidth="1"/>
    <col min="6" max="6" width="16.85546875" style="127" bestFit="1" customWidth="1"/>
    <col min="7" max="7" width="16.5703125" style="127" bestFit="1" customWidth="1"/>
    <col min="8" max="8" width="17.140625" style="127" customWidth="1"/>
    <col min="9" max="9" width="17.5703125" style="127" bestFit="1" customWidth="1"/>
    <col min="10" max="10" width="16.5703125" style="127" bestFit="1" customWidth="1"/>
    <col min="11" max="11" width="16.42578125" style="127" bestFit="1" customWidth="1"/>
    <col min="12" max="12" width="16.5703125" style="127" bestFit="1" customWidth="1"/>
    <col min="13" max="13" width="16.85546875" style="127" bestFit="1" customWidth="1"/>
    <col min="14" max="15" width="16.42578125" style="127" bestFit="1" customWidth="1"/>
    <col min="16" max="17" width="16.5703125" style="127" bestFit="1" customWidth="1"/>
    <col min="18" max="18" width="16.140625" style="127" bestFit="1" customWidth="1"/>
    <col min="19" max="23" width="15.5703125" style="127" bestFit="1" customWidth="1"/>
    <col min="24" max="24" width="16.5703125" style="127" bestFit="1" customWidth="1"/>
    <col min="25" max="27" width="15.5703125" style="127" bestFit="1" customWidth="1"/>
    <col min="28" max="28" width="16" style="127" bestFit="1" customWidth="1"/>
    <col min="29" max="29" width="11.42578125" style="127"/>
    <col min="30" max="30" width="11.5703125" style="127" bestFit="1" customWidth="1"/>
    <col min="31" max="31" width="13.42578125" style="127" customWidth="1"/>
    <col min="32" max="32" width="14.7109375" style="127" customWidth="1"/>
    <col min="33" max="33" width="14.28515625" style="127" bestFit="1" customWidth="1"/>
    <col min="34" max="34" width="14.85546875" style="127" customWidth="1"/>
    <col min="35" max="35" width="14.5703125" style="127" bestFit="1" customWidth="1"/>
    <col min="36" max="37" width="14.28515625" style="127" bestFit="1" customWidth="1"/>
    <col min="38" max="38" width="16" style="127" customWidth="1"/>
    <col min="39" max="39" width="14.42578125" style="127" customWidth="1"/>
    <col min="40" max="40" width="15.140625" style="127" customWidth="1"/>
    <col min="41" max="41" width="16.85546875" style="127" customWidth="1"/>
    <col min="42" max="42" width="14.85546875" style="127" customWidth="1"/>
    <col min="43" max="43" width="15.5703125" style="127" customWidth="1"/>
    <col min="44" max="44" width="5.28515625" style="127" customWidth="1"/>
    <col min="45" max="45" width="11.42578125" style="129"/>
    <col min="46" max="46" width="4.85546875" style="127" customWidth="1"/>
    <col min="47" max="47" width="14.7109375" style="127" customWidth="1"/>
    <col min="48" max="48" width="15" style="127" customWidth="1"/>
    <col min="49" max="49" width="15.5703125" style="127" bestFit="1" customWidth="1"/>
    <col min="50" max="50" width="15.140625" style="127" customWidth="1"/>
    <col min="51" max="52" width="14.140625" style="127" bestFit="1" customWidth="1"/>
    <col min="53" max="53" width="14.28515625" style="127" bestFit="1" customWidth="1"/>
    <col min="54" max="58" width="14.7109375" style="127" bestFit="1" customWidth="1"/>
    <col min="59" max="59" width="15.5703125" style="127" bestFit="1" customWidth="1"/>
    <col min="60" max="60" width="6.85546875" style="127" customWidth="1"/>
    <col min="61" max="61" width="6.7109375" customWidth="1"/>
    <col min="62" max="62" width="12.85546875" style="127" bestFit="1" customWidth="1"/>
    <col min="63" max="63" width="13.7109375" style="127" bestFit="1" customWidth="1"/>
    <col min="64" max="64" width="11.42578125" style="127"/>
    <col min="65" max="65" width="12" style="127" bestFit="1" customWidth="1"/>
    <col min="66" max="67" width="12.5703125" style="127" bestFit="1" customWidth="1"/>
    <col min="68" max="72" width="12" style="127" bestFit="1" customWidth="1"/>
    <col min="73" max="73" width="11.42578125" style="127"/>
    <col min="74" max="74" width="13.5703125" style="127" customWidth="1"/>
    <col min="75" max="75" width="9.140625" style="127" bestFit="1" customWidth="1"/>
    <col min="76" max="76" width="4.5703125" style="127" customWidth="1"/>
    <col min="77" max="77" width="12.85546875" style="127" bestFit="1" customWidth="1"/>
    <col min="78" max="80" width="11.42578125" style="127"/>
    <col min="81" max="81" width="12.140625" style="127" customWidth="1"/>
    <col min="82" max="84" width="11.42578125" style="127"/>
    <col min="85" max="88" width="11.85546875" style="127" bestFit="1" customWidth="1"/>
    <col min="89" max="89" width="13.5703125" style="127" customWidth="1"/>
    <col min="90" max="90" width="9.85546875" style="127" bestFit="1" customWidth="1"/>
    <col min="91" max="91" width="4.5703125" style="127" customWidth="1"/>
    <col min="92" max="92" width="12.85546875" style="127" bestFit="1" customWidth="1"/>
    <col min="93" max="103" width="11.85546875" style="127" bestFit="1" customWidth="1"/>
    <col min="104" max="104" width="13.5703125" style="127" customWidth="1"/>
    <col min="105" max="105" width="11.42578125" style="127"/>
    <col min="106" max="106" width="11.5703125" style="127" bestFit="1" customWidth="1"/>
    <col min="107" max="107" width="12.85546875" style="127" bestFit="1" customWidth="1"/>
    <col min="108" max="16384" width="11.42578125" style="127"/>
  </cols>
  <sheetData>
    <row r="1" spans="2:107" ht="8.25" customHeight="1" thickBot="1">
      <c r="C1" s="128">
        <v>30</v>
      </c>
      <c r="D1" s="128">
        <v>31</v>
      </c>
      <c r="E1" s="128">
        <v>30</v>
      </c>
      <c r="F1" s="128">
        <v>31</v>
      </c>
      <c r="G1" s="128">
        <v>31</v>
      </c>
      <c r="H1" s="128">
        <v>28</v>
      </c>
      <c r="I1" s="128">
        <v>31</v>
      </c>
      <c r="J1" s="128">
        <v>30</v>
      </c>
      <c r="K1" s="128">
        <v>31</v>
      </c>
      <c r="L1" s="128">
        <v>30</v>
      </c>
      <c r="M1" s="128">
        <v>31</v>
      </c>
      <c r="N1" s="128">
        <v>31</v>
      </c>
      <c r="O1" s="128"/>
      <c r="P1" s="128">
        <v>30</v>
      </c>
      <c r="Q1" s="128">
        <v>31</v>
      </c>
      <c r="R1" s="128">
        <v>30</v>
      </c>
      <c r="S1" s="128">
        <v>31</v>
      </c>
      <c r="T1" s="128">
        <v>31</v>
      </c>
      <c r="U1" s="128">
        <v>28</v>
      </c>
      <c r="V1" s="128">
        <v>31</v>
      </c>
      <c r="W1" s="128">
        <v>30</v>
      </c>
      <c r="X1" s="128">
        <v>31</v>
      </c>
      <c r="Y1" s="128">
        <v>30</v>
      </c>
      <c r="Z1" s="128">
        <v>31</v>
      </c>
      <c r="AA1" s="128">
        <v>31</v>
      </c>
      <c r="AB1" s="128"/>
      <c r="AE1" s="128">
        <v>30</v>
      </c>
      <c r="AF1" s="128">
        <v>31</v>
      </c>
      <c r="AG1" s="128">
        <v>30</v>
      </c>
      <c r="AH1" s="128">
        <v>31</v>
      </c>
      <c r="AI1" s="128">
        <v>31</v>
      </c>
      <c r="AJ1" s="128">
        <v>28</v>
      </c>
      <c r="AK1" s="128">
        <v>31</v>
      </c>
      <c r="AL1" s="128">
        <v>30</v>
      </c>
      <c r="AM1" s="128">
        <v>31</v>
      </c>
      <c r="AN1" s="128">
        <v>30</v>
      </c>
      <c r="AO1" s="128">
        <v>31</v>
      </c>
      <c r="AP1" s="128">
        <v>31</v>
      </c>
      <c r="AQ1" s="128"/>
    </row>
    <row r="2" spans="2:107" ht="15.75" thickBot="1">
      <c r="B2" s="130"/>
      <c r="C2" s="131">
        <v>44469</v>
      </c>
      <c r="D2" s="131">
        <f t="shared" ref="D2:N2" si="0">+C2+D1</f>
        <v>44500</v>
      </c>
      <c r="E2" s="131">
        <f t="shared" si="0"/>
        <v>44530</v>
      </c>
      <c r="F2" s="131">
        <f t="shared" si="0"/>
        <v>44561</v>
      </c>
      <c r="G2" s="131">
        <f t="shared" si="0"/>
        <v>44592</v>
      </c>
      <c r="H2" s="131">
        <f t="shared" si="0"/>
        <v>44620</v>
      </c>
      <c r="I2" s="131">
        <f t="shared" si="0"/>
        <v>44651</v>
      </c>
      <c r="J2" s="131">
        <f t="shared" si="0"/>
        <v>44681</v>
      </c>
      <c r="K2" s="131">
        <f t="shared" si="0"/>
        <v>44712</v>
      </c>
      <c r="L2" s="131">
        <f t="shared" si="0"/>
        <v>44742</v>
      </c>
      <c r="M2" s="131">
        <f t="shared" si="0"/>
        <v>44773</v>
      </c>
      <c r="N2" s="131">
        <f t="shared" si="0"/>
        <v>44804</v>
      </c>
      <c r="O2" s="132" t="s">
        <v>14</v>
      </c>
      <c r="P2" s="131">
        <f>N2+P1</f>
        <v>44834</v>
      </c>
      <c r="Q2" s="131">
        <f t="shared" ref="Q2:AA2" si="1">+P2+Q1</f>
        <v>44865</v>
      </c>
      <c r="R2" s="131">
        <f t="shared" si="1"/>
        <v>44895</v>
      </c>
      <c r="S2" s="131">
        <f t="shared" si="1"/>
        <v>44926</v>
      </c>
      <c r="T2" s="131">
        <f t="shared" si="1"/>
        <v>44957</v>
      </c>
      <c r="U2" s="131">
        <f t="shared" si="1"/>
        <v>44985</v>
      </c>
      <c r="V2" s="131">
        <f t="shared" si="1"/>
        <v>45016</v>
      </c>
      <c r="W2" s="131">
        <f t="shared" si="1"/>
        <v>45046</v>
      </c>
      <c r="X2" s="131">
        <f t="shared" si="1"/>
        <v>45077</v>
      </c>
      <c r="Y2" s="131">
        <f t="shared" si="1"/>
        <v>45107</v>
      </c>
      <c r="Z2" s="131">
        <f t="shared" si="1"/>
        <v>45138</v>
      </c>
      <c r="AA2" s="131">
        <f t="shared" si="1"/>
        <v>45169</v>
      </c>
      <c r="AB2" s="132" t="s">
        <v>14</v>
      </c>
      <c r="AE2" s="131">
        <v>45199</v>
      </c>
      <c r="AF2" s="131">
        <v>45230</v>
      </c>
      <c r="AG2" s="131">
        <v>45260</v>
      </c>
      <c r="AH2" s="131">
        <v>45291</v>
      </c>
      <c r="AI2" s="131">
        <v>45322</v>
      </c>
      <c r="AJ2" s="131">
        <v>45350</v>
      </c>
      <c r="AK2" s="131">
        <v>45382</v>
      </c>
      <c r="AL2" s="131">
        <v>45412</v>
      </c>
      <c r="AM2" s="131">
        <v>45443</v>
      </c>
      <c r="AN2" s="131">
        <v>45473</v>
      </c>
      <c r="AO2" s="131">
        <v>45504</v>
      </c>
      <c r="AP2" s="131">
        <v>45535</v>
      </c>
      <c r="AQ2" s="132" t="s">
        <v>14</v>
      </c>
      <c r="AU2" s="133">
        <v>45565</v>
      </c>
      <c r="AV2" s="133">
        <v>45596</v>
      </c>
      <c r="AW2" s="133">
        <v>45626</v>
      </c>
      <c r="AX2" s="133">
        <v>45657</v>
      </c>
      <c r="AY2" s="133">
        <v>45688</v>
      </c>
      <c r="AZ2" s="133">
        <v>45716</v>
      </c>
      <c r="BA2" s="133">
        <v>45747</v>
      </c>
      <c r="BB2" s="133">
        <v>45777</v>
      </c>
      <c r="BC2" s="133">
        <v>45808</v>
      </c>
      <c r="BD2" s="133">
        <v>45838</v>
      </c>
      <c r="BE2" s="133">
        <v>45869</v>
      </c>
      <c r="BF2" s="133">
        <v>45900</v>
      </c>
      <c r="BG2" s="134" t="s">
        <v>43</v>
      </c>
      <c r="BJ2" s="133">
        <v>45930</v>
      </c>
      <c r="BK2" s="133">
        <v>45961</v>
      </c>
      <c r="BL2" s="133">
        <v>45991</v>
      </c>
      <c r="BM2" s="133">
        <v>46022</v>
      </c>
      <c r="BN2" s="133">
        <v>46053</v>
      </c>
      <c r="BO2" s="133">
        <v>46081</v>
      </c>
      <c r="BP2" s="133">
        <v>46112</v>
      </c>
      <c r="BQ2" s="133">
        <v>46142</v>
      </c>
      <c r="BR2" s="133">
        <v>46173</v>
      </c>
      <c r="BS2" s="133">
        <v>46203</v>
      </c>
      <c r="BT2" s="133">
        <v>46234</v>
      </c>
      <c r="BU2" s="133">
        <v>46265</v>
      </c>
      <c r="BY2" s="133">
        <v>46295</v>
      </c>
      <c r="BZ2" s="133">
        <v>46326</v>
      </c>
      <c r="CA2" s="133">
        <v>46356</v>
      </c>
      <c r="CB2" s="133">
        <v>46387</v>
      </c>
      <c r="CC2" s="133">
        <v>46053</v>
      </c>
      <c r="CD2" s="133">
        <v>46446</v>
      </c>
      <c r="CE2" s="133">
        <v>46477</v>
      </c>
      <c r="CF2" s="133">
        <v>46507</v>
      </c>
      <c r="CG2" s="133">
        <v>46538</v>
      </c>
      <c r="CH2" s="133">
        <v>46568</v>
      </c>
      <c r="CI2" s="133">
        <v>46599</v>
      </c>
      <c r="CJ2" s="133">
        <v>46630</v>
      </c>
      <c r="CN2" s="133">
        <v>46660</v>
      </c>
      <c r="CO2" s="133">
        <v>46691</v>
      </c>
      <c r="CP2" s="133">
        <v>46721</v>
      </c>
      <c r="CQ2" s="133">
        <v>46752</v>
      </c>
      <c r="CR2" s="133">
        <v>46783</v>
      </c>
      <c r="CS2" s="133">
        <v>46811</v>
      </c>
      <c r="CT2" s="133">
        <v>46843</v>
      </c>
      <c r="CU2" s="133">
        <v>46873</v>
      </c>
      <c r="CV2" s="133">
        <v>46904</v>
      </c>
      <c r="CW2" s="133">
        <v>46934</v>
      </c>
      <c r="CX2" s="133">
        <v>46965</v>
      </c>
      <c r="CY2" s="133">
        <v>46996</v>
      </c>
      <c r="DB2" s="135" t="s">
        <v>44</v>
      </c>
      <c r="DC2" s="136" t="s">
        <v>45</v>
      </c>
    </row>
    <row r="3" spans="2:107">
      <c r="B3" s="137" t="s">
        <v>46</v>
      </c>
      <c r="C3" s="138"/>
      <c r="D3" s="138"/>
      <c r="E3" s="138"/>
      <c r="F3" s="138"/>
      <c r="G3" s="138"/>
      <c r="H3" s="138"/>
      <c r="I3" s="138"/>
      <c r="J3" s="138"/>
      <c r="K3" s="138"/>
      <c r="L3" s="138"/>
      <c r="M3" s="138"/>
      <c r="N3" s="138"/>
      <c r="O3" s="139"/>
      <c r="AB3" s="139"/>
      <c r="AE3" s="140"/>
      <c r="AF3" s="140"/>
      <c r="AG3" s="140"/>
      <c r="AH3" s="140"/>
      <c r="AI3" s="140"/>
      <c r="AJ3" s="140"/>
      <c r="AK3" s="140"/>
      <c r="AL3" s="140"/>
      <c r="AM3" s="140"/>
      <c r="AN3" s="140"/>
      <c r="AO3" s="140"/>
      <c r="AP3" s="140"/>
      <c r="AQ3" s="139"/>
      <c r="BG3" s="139"/>
      <c r="BH3" s="141"/>
      <c r="BV3" s="139"/>
      <c r="CK3" s="139"/>
      <c r="CZ3" s="139"/>
      <c r="DB3" s="142"/>
      <c r="DC3" s="143"/>
    </row>
    <row r="4" spans="2:107">
      <c r="B4" s="143" t="s">
        <v>47</v>
      </c>
      <c r="C4" s="144"/>
      <c r="D4" s="145"/>
      <c r="E4" s="140"/>
      <c r="F4" s="140"/>
      <c r="G4" s="144"/>
      <c r="H4" s="146"/>
      <c r="I4" s="146"/>
      <c r="J4" s="146"/>
      <c r="K4" s="146"/>
      <c r="L4" s="144"/>
      <c r="M4" s="147"/>
      <c r="N4" s="147"/>
      <c r="O4" s="148">
        <f t="shared" ref="O4" si="2">SUM(C4:N4)</f>
        <v>0</v>
      </c>
      <c r="P4" s="149"/>
      <c r="Q4" s="150"/>
      <c r="R4" s="151"/>
      <c r="S4" s="151"/>
      <c r="T4" s="151"/>
      <c r="U4" s="151"/>
      <c r="V4" s="151"/>
      <c r="W4" s="151"/>
      <c r="X4" s="151"/>
      <c r="Y4" s="150"/>
      <c r="Z4" s="150"/>
      <c r="AA4" s="152"/>
      <c r="AB4" s="148">
        <f t="shared" ref="AB4:AB5" si="3">SUM(P4:AA4)</f>
        <v>0</v>
      </c>
      <c r="AE4" s="153"/>
      <c r="AF4" s="154">
        <v>33077.51</v>
      </c>
      <c r="AG4" s="154">
        <v>50600</v>
      </c>
      <c r="AH4" s="150"/>
      <c r="AI4" s="155">
        <f>28971.32+3000+(5112.56)</f>
        <v>37083.879999999997</v>
      </c>
      <c r="AJ4" s="150"/>
      <c r="AK4" s="150"/>
      <c r="AL4" s="154">
        <f>17578.74</f>
        <v>17578.740000000002</v>
      </c>
      <c r="AM4" s="155">
        <v>980</v>
      </c>
      <c r="AN4" s="154">
        <f>17671.47</f>
        <v>17671.47</v>
      </c>
      <c r="AO4" s="154">
        <v>0</v>
      </c>
      <c r="AP4" s="477">
        <f>10727.95</f>
        <v>10727.95</v>
      </c>
      <c r="AQ4" s="148">
        <f>SUM(AE4:AP4)</f>
        <v>167719.55000000002</v>
      </c>
      <c r="AU4" s="493">
        <f>19401.76</f>
        <v>19401.759999999998</v>
      </c>
      <c r="AV4" s="154">
        <f>SUM('Alimento y ventas'!P305:P309)</f>
        <v>0</v>
      </c>
      <c r="AW4" s="154">
        <f>SUM('Alimento y ventas'!Q305:Q309)</f>
        <v>0</v>
      </c>
      <c r="AX4" s="154">
        <f>SUM('Alimento y ventas'!R305:R309)*0+3000</f>
        <v>3000</v>
      </c>
      <c r="AY4" s="154">
        <f>SUM('Alimento y ventas'!S305:S309)*0+444.77+7493.05</f>
        <v>7937.82</v>
      </c>
      <c r="AZ4" s="154">
        <f>SUM('Alimento y ventas'!T305:T309)*0</f>
        <v>0</v>
      </c>
      <c r="BA4" s="154">
        <f>SUM('Alimento y ventas'!U305:U309)*0+9666.11</f>
        <v>9666.11</v>
      </c>
      <c r="BB4" s="154">
        <f>SUM('Alimento y ventas'!V305:V309)*0+9762.07</f>
        <v>9762.07</v>
      </c>
      <c r="BC4" s="282">
        <f>SUM('Alimento y ventas'!W305:W309)*0</f>
        <v>0</v>
      </c>
      <c r="BD4" s="282">
        <f>SUM('Alimento y ventas'!X305:X309)</f>
        <v>0</v>
      </c>
      <c r="BE4" s="282">
        <f>SUM('Alimento y ventas'!Y305:Y309)</f>
        <v>0</v>
      </c>
      <c r="BF4" s="154">
        <f>SUM('Alimento y ventas'!Z305:Z309)*0+24228.6</f>
        <v>24228.6</v>
      </c>
      <c r="BG4" s="148">
        <f t="shared" ref="BG4" si="4">SUM(AU4:BF4)</f>
        <v>73996.36</v>
      </c>
      <c r="BH4" s="160"/>
      <c r="BJ4" s="295">
        <f>SUM('Alimento y ventas'!AA305:AA309)</f>
        <v>0</v>
      </c>
      <c r="BK4" s="154">
        <f>SUM('Alimento y ventas'!AB305:AB309)*0+10566.74</f>
        <v>10566.74</v>
      </c>
      <c r="BL4" s="195">
        <f>SUM('Alimento y ventas'!AC305:AC309)*0+31111.52</f>
        <v>31111.52</v>
      </c>
      <c r="BM4" s="154">
        <f>SUM('Alimento y ventas'!AD305:AD309)*0</f>
        <v>0</v>
      </c>
      <c r="BN4" s="154">
        <f>SUM('Alimento y ventas'!AE305:AE309)+8798.9</f>
        <v>8798.9</v>
      </c>
      <c r="BO4" s="154">
        <f>SUM('Alimento y ventas'!AF305:AF309)*0</f>
        <v>0</v>
      </c>
      <c r="BP4" s="282">
        <f>SUM('Alimento y ventas'!AG305:AG309)*0</f>
        <v>0</v>
      </c>
      <c r="BQ4" s="282">
        <f>SUM('Alimento y ventas'!AH305:AH309)</f>
        <v>0</v>
      </c>
      <c r="BR4" s="282">
        <f>SUM('Alimento y ventas'!AI305:AI309)</f>
        <v>0</v>
      </c>
      <c r="BS4" s="157">
        <f>SUM('Alimento y ventas'!AJ305:AJ309)</f>
        <v>14225.999999999998</v>
      </c>
      <c r="BT4" s="157">
        <f>SUM('Alimento y ventas'!AK305:AK309)</f>
        <v>20153.499999999996</v>
      </c>
      <c r="BU4" s="157">
        <f>SUM('Alimento y ventas'!AL305:AL309)</f>
        <v>28490.25</v>
      </c>
      <c r="BV4" s="148">
        <f>SUM(BJ4:BU4)</f>
        <v>113346.91</v>
      </c>
      <c r="BY4" s="156">
        <f>SUM('Alimento y ventas'!AM305:AM309)</f>
        <v>5927.4999999999991</v>
      </c>
      <c r="BZ4" s="157">
        <f>SUM('Alimento y ventas'!AN305:AN309)</f>
        <v>17782.499999999996</v>
      </c>
      <c r="CA4" s="157">
        <f>SUM('Alimento y ventas'!AO305:AO309)</f>
        <v>16596.999999999996</v>
      </c>
      <c r="CB4" s="157">
        <f>SUM('Alimento y ventas'!AP305:AP309)</f>
        <v>15411.499999999998</v>
      </c>
      <c r="CC4" s="157">
        <f>SUM('Alimento y ventas'!AQ305:AQ309)</f>
        <v>1185.4999999999998</v>
      </c>
      <c r="CD4" s="157">
        <f>SUM('Alimento y ventas'!AR305:AR309)</f>
        <v>5927.4999999999991</v>
      </c>
      <c r="CE4" s="157">
        <f>SUM('Alimento y ventas'!AS305:AS309)</f>
        <v>4741.9999999999991</v>
      </c>
      <c r="CF4" s="157">
        <f>SUM('Alimento y ventas'!AT305:AT309)</f>
        <v>2370.9999999999995</v>
      </c>
      <c r="CG4" s="157">
        <f>SUM('Alimento y ventas'!AU305:AU309)</f>
        <v>18967.999999999996</v>
      </c>
      <c r="CH4" s="157">
        <f>SUM('Alimento y ventas'!AV305:AV309)</f>
        <v>14225.999999999998</v>
      </c>
      <c r="CI4" s="157">
        <f>SUM('Alimento y ventas'!AW305:AW309)</f>
        <v>29874.599999999995</v>
      </c>
      <c r="CJ4" s="157">
        <f>SUM('Alimento y ventas'!AX305:AX309)</f>
        <v>35517.58</v>
      </c>
      <c r="CK4" s="148">
        <f t="shared" ref="CK4:CK5" si="5">SUM(BY4:CJ4)</f>
        <v>168530.68</v>
      </c>
      <c r="CN4" s="156">
        <f>SUM('Alimento y ventas'!AY305:AY309)</f>
        <v>29722.333333333336</v>
      </c>
      <c r="CO4" s="157">
        <f>SUM('Alimento y ventas'!AZ305:AZ309)</f>
        <v>35582.250000000007</v>
      </c>
      <c r="CP4" s="157">
        <f>SUM('Alimento y ventas'!BA305:BA309)</f>
        <v>30280.679999999997</v>
      </c>
      <c r="CQ4" s="157">
        <f>SUM('Alimento y ventas'!BB305:BB309)</f>
        <v>7570.1699999999992</v>
      </c>
      <c r="CR4" s="157">
        <f>SUM('Alimento y ventas'!BC305:BC309)</f>
        <v>5046.78</v>
      </c>
      <c r="CS4" s="157">
        <f>SUM('Alimento y ventas'!BD305:BD309)</f>
        <v>7353.3238636363631</v>
      </c>
      <c r="CT4" s="157">
        <f>SUM('Alimento y ventas'!BE305:BE309)</f>
        <v>5563.2000000000007</v>
      </c>
      <c r="CU4" s="157">
        <f>SUM('Alimento y ventas'!BF305:BF309)</f>
        <v>2952.6000000000004</v>
      </c>
      <c r="CV4" s="157">
        <f>SUM('Alimento y ventas'!BG305:BG309)</f>
        <v>23894.400000000001</v>
      </c>
      <c r="CW4" s="157">
        <f>SUM('Alimento y ventas'!BH305:BH309)</f>
        <v>16449.043478260872</v>
      </c>
      <c r="CX4" s="157">
        <f>SUM('Alimento y ventas'!BI305:BI309)</f>
        <v>34049.519999999997</v>
      </c>
      <c r="CY4" s="157">
        <f>SUM('Alimento y ventas'!BJ305:BJ309)</f>
        <v>39724.44000000001</v>
      </c>
      <c r="CZ4" s="148">
        <f t="shared" ref="CZ4:CZ5" si="6">SUM(CN4:CY4)</f>
        <v>238188.74067523057</v>
      </c>
      <c r="DB4" s="142"/>
      <c r="DC4" s="143"/>
    </row>
    <row r="5" spans="2:107">
      <c r="B5" s="143" t="s">
        <v>48</v>
      </c>
      <c r="C5" s="144"/>
      <c r="D5" s="145"/>
      <c r="E5" s="140"/>
      <c r="F5" s="140"/>
      <c r="G5" s="144"/>
      <c r="H5" s="146"/>
      <c r="I5" s="146"/>
      <c r="J5" s="146"/>
      <c r="K5" s="146"/>
      <c r="L5" s="144"/>
      <c r="M5" s="147"/>
      <c r="N5" s="161"/>
      <c r="O5" s="159">
        <f t="shared" ref="O5" si="7">SUM(C5:N5)</f>
        <v>0</v>
      </c>
      <c r="P5" s="150"/>
      <c r="Q5" s="150"/>
      <c r="R5" s="151"/>
      <c r="S5" s="151"/>
      <c r="T5" s="151"/>
      <c r="U5" s="151"/>
      <c r="V5" s="151"/>
      <c r="W5" s="151"/>
      <c r="X5" s="151"/>
      <c r="Y5" s="150"/>
      <c r="Z5" s="150"/>
      <c r="AA5" s="150"/>
      <c r="AB5" s="148">
        <f t="shared" si="3"/>
        <v>0</v>
      </c>
      <c r="AE5" s="162">
        <v>556.29999999999995</v>
      </c>
      <c r="AF5" s="163"/>
      <c r="AG5" s="164">
        <f>705.32</f>
        <v>705.32</v>
      </c>
      <c r="AH5" s="165"/>
      <c r="AI5" s="164">
        <f>169.79</f>
        <v>169.79</v>
      </c>
      <c r="AJ5" s="164"/>
      <c r="AK5" s="165"/>
      <c r="AL5" s="164">
        <f>438.02+32.34+189.42+961.62+378.41+5328.65</f>
        <v>7328.46</v>
      </c>
      <c r="AM5" s="164">
        <f>199.71+168.63+109.89+369.6+168.58+2100.87+84.92</f>
        <v>3202.2</v>
      </c>
      <c r="AN5" s="164">
        <f>199.65+178.2</f>
        <v>377.85</v>
      </c>
      <c r="AO5" s="164">
        <f>58+72.1+144.77</f>
        <v>274.87</v>
      </c>
      <c r="AP5" s="164">
        <f>400.71+92.2+83.2+66.4+87.4</f>
        <v>729.91</v>
      </c>
      <c r="AQ5" s="148">
        <f>SUM(AE5:AP5)</f>
        <v>13344.7</v>
      </c>
      <c r="AU5" s="370">
        <f>52</f>
        <v>52</v>
      </c>
      <c r="AV5" s="144">
        <f>395.48+315+204.6+1961.67</f>
        <v>2876.75</v>
      </c>
      <c r="AW5" s="480">
        <v>315</v>
      </c>
      <c r="AX5" s="338">
        <f>1860.9+114.32+187.11</f>
        <v>2162.33</v>
      </c>
      <c r="AY5" s="164">
        <f>51.71</f>
        <v>51.71</v>
      </c>
      <c r="AZ5" s="165"/>
      <c r="BA5" s="164">
        <f>355.95+139.13+113.08+136.4</f>
        <v>744.56</v>
      </c>
      <c r="BB5" s="144">
        <f>366.63+102.27+94.6</f>
        <v>563.5</v>
      </c>
      <c r="BC5" s="164">
        <f>1045.59+171.6+242.66</f>
        <v>1459.85</v>
      </c>
      <c r="BD5" s="164">
        <f>247.43+102.52</f>
        <v>349.95</v>
      </c>
      <c r="BE5" s="164">
        <f>89.76+92.4</f>
        <v>182.16000000000003</v>
      </c>
      <c r="BF5" s="144">
        <f>107.36</f>
        <v>107.36</v>
      </c>
      <c r="BG5" s="148">
        <f>SUM(AU5:BF5)</f>
        <v>8865.1700000000019</v>
      </c>
      <c r="BH5" s="160"/>
      <c r="BJ5" s="162">
        <f>1500*5*0+6795.66+1297.17</f>
        <v>8092.83</v>
      </c>
      <c r="BK5" s="144">
        <f>175.56+139.92+215.82</f>
        <v>531.29999999999995</v>
      </c>
      <c r="BL5" s="537">
        <f>93.39</f>
        <v>93.39</v>
      </c>
      <c r="BM5" s="144">
        <f>194.7+68.75+101.2</f>
        <v>364.65</v>
      </c>
      <c r="BN5" s="211"/>
      <c r="BO5" s="211"/>
      <c r="BP5" s="144">
        <f>2282.98</f>
        <v>2282.98</v>
      </c>
      <c r="BQ5" s="144">
        <f>276.39</f>
        <v>276.39</v>
      </c>
      <c r="BR5" s="144">
        <f>3147.68+75.9</f>
        <v>3223.58</v>
      </c>
      <c r="BS5" s="230">
        <f>280.5+744.55+463.79+188.19+442.86+150.68+187.11+233.84+55.84+314.58+1045.59+171.6+242.66-1297.17+170.28</f>
        <v>3394.9</v>
      </c>
      <c r="BT5" s="169"/>
      <c r="BU5" s="170"/>
      <c r="BV5" s="148">
        <f>SUM(BJ5:BU5)</f>
        <v>18260.019999999997</v>
      </c>
      <c r="BY5" s="167"/>
      <c r="BZ5" s="168"/>
      <c r="CA5" s="169"/>
      <c r="CB5" s="169"/>
      <c r="CC5" s="169"/>
      <c r="CD5" s="169"/>
      <c r="CE5" s="169"/>
      <c r="CF5" s="169"/>
      <c r="CG5" s="169"/>
      <c r="CH5" s="169"/>
      <c r="CI5" s="169"/>
      <c r="CJ5" s="170"/>
      <c r="CK5" s="148">
        <f t="shared" si="5"/>
        <v>0</v>
      </c>
      <c r="CN5" s="167"/>
      <c r="CO5" s="168"/>
      <c r="CP5" s="169"/>
      <c r="CQ5" s="169"/>
      <c r="CR5" s="169"/>
      <c r="CS5" s="169"/>
      <c r="CT5" s="169"/>
      <c r="CU5" s="169"/>
      <c r="CV5" s="169"/>
      <c r="CW5" s="169"/>
      <c r="CX5" s="169"/>
      <c r="CY5" s="170"/>
      <c r="CZ5" s="148">
        <f t="shared" si="6"/>
        <v>0</v>
      </c>
      <c r="DB5" s="142"/>
      <c r="DC5" s="143"/>
    </row>
    <row r="6" spans="2:107" ht="15.75">
      <c r="B6" s="171" t="s">
        <v>49</v>
      </c>
      <c r="C6" s="172">
        <f t="shared" ref="C6:AB6" si="8">SUM(C4:C4)</f>
        <v>0</v>
      </c>
      <c r="D6" s="172">
        <f t="shared" si="8"/>
        <v>0</v>
      </c>
      <c r="E6" s="172">
        <f t="shared" si="8"/>
        <v>0</v>
      </c>
      <c r="F6" s="172">
        <f t="shared" si="8"/>
        <v>0</v>
      </c>
      <c r="G6" s="172">
        <f t="shared" si="8"/>
        <v>0</v>
      </c>
      <c r="H6" s="172">
        <f t="shared" si="8"/>
        <v>0</v>
      </c>
      <c r="I6" s="172">
        <f t="shared" si="8"/>
        <v>0</v>
      </c>
      <c r="J6" s="172">
        <f t="shared" si="8"/>
        <v>0</v>
      </c>
      <c r="K6" s="172">
        <f t="shared" si="8"/>
        <v>0</v>
      </c>
      <c r="L6" s="172">
        <f t="shared" si="8"/>
        <v>0</v>
      </c>
      <c r="M6" s="172">
        <f t="shared" si="8"/>
        <v>0</v>
      </c>
      <c r="N6" s="172">
        <f t="shared" si="8"/>
        <v>0</v>
      </c>
      <c r="O6" s="173">
        <f t="shared" si="8"/>
        <v>0</v>
      </c>
      <c r="P6" s="174">
        <f t="shared" si="8"/>
        <v>0</v>
      </c>
      <c r="Q6" s="172">
        <f t="shared" si="8"/>
        <v>0</v>
      </c>
      <c r="R6" s="172">
        <f t="shared" si="8"/>
        <v>0</v>
      </c>
      <c r="S6" s="172">
        <f t="shared" si="8"/>
        <v>0</v>
      </c>
      <c r="T6" s="172">
        <f t="shared" si="8"/>
        <v>0</v>
      </c>
      <c r="U6" s="172">
        <f t="shared" si="8"/>
        <v>0</v>
      </c>
      <c r="V6" s="172">
        <f t="shared" si="8"/>
        <v>0</v>
      </c>
      <c r="W6" s="172">
        <f t="shared" si="8"/>
        <v>0</v>
      </c>
      <c r="X6" s="172">
        <f t="shared" si="8"/>
        <v>0</v>
      </c>
      <c r="Y6" s="172">
        <f t="shared" si="8"/>
        <v>0</v>
      </c>
      <c r="Z6" s="172">
        <f t="shared" si="8"/>
        <v>0</v>
      </c>
      <c r="AA6" s="172">
        <f t="shared" si="8"/>
        <v>0</v>
      </c>
      <c r="AB6" s="173">
        <f t="shared" si="8"/>
        <v>0</v>
      </c>
      <c r="AE6" s="175">
        <f>SUM(AE4:AE5)</f>
        <v>556.29999999999995</v>
      </c>
      <c r="AF6" s="176">
        <f t="shared" ref="AF6:AO6" si="9">SUM(AF4:AF5)</f>
        <v>33077.51</v>
      </c>
      <c r="AG6" s="176">
        <f t="shared" si="9"/>
        <v>51305.32</v>
      </c>
      <c r="AH6" s="176">
        <f t="shared" si="9"/>
        <v>0</v>
      </c>
      <c r="AI6" s="176">
        <f t="shared" si="9"/>
        <v>37253.67</v>
      </c>
      <c r="AJ6" s="176">
        <f>SUM(AJ4:AJ5)</f>
        <v>0</v>
      </c>
      <c r="AK6" s="176">
        <f>SUM(AK4:AK5)</f>
        <v>0</v>
      </c>
      <c r="AL6" s="176">
        <f t="shared" si="9"/>
        <v>24907.200000000001</v>
      </c>
      <c r="AM6" s="176">
        <f t="shared" si="9"/>
        <v>4182.2</v>
      </c>
      <c r="AN6" s="176">
        <f t="shared" si="9"/>
        <v>18049.32</v>
      </c>
      <c r="AO6" s="176">
        <f t="shared" si="9"/>
        <v>274.87</v>
      </c>
      <c r="AP6" s="172">
        <f>SUM(AP4:AP5)</f>
        <v>11457.86</v>
      </c>
      <c r="AQ6" s="173">
        <f>SUM(AQ4:AQ5)</f>
        <v>181064.25000000003</v>
      </c>
      <c r="AU6" s="174">
        <f>SUM(AU4:AU5)</f>
        <v>19453.759999999998</v>
      </c>
      <c r="AV6" s="172">
        <f>SUM(AV4:AV5)</f>
        <v>2876.75</v>
      </c>
      <c r="AW6" s="172">
        <f>SUM(AW4:AW5)</f>
        <v>315</v>
      </c>
      <c r="AX6" s="172">
        <f>SUM(AX4:AX5)</f>
        <v>5162.33</v>
      </c>
      <c r="AY6" s="172">
        <f t="shared" ref="AY6:BF6" si="10">SUM(AY4:AY5)</f>
        <v>7989.53</v>
      </c>
      <c r="AZ6" s="172">
        <f t="shared" si="10"/>
        <v>0</v>
      </c>
      <c r="BA6" s="172">
        <f t="shared" si="10"/>
        <v>10410.67</v>
      </c>
      <c r="BB6" s="172">
        <f t="shared" si="10"/>
        <v>10325.57</v>
      </c>
      <c r="BC6" s="172">
        <f t="shared" si="10"/>
        <v>1459.85</v>
      </c>
      <c r="BD6" s="172">
        <f t="shared" si="10"/>
        <v>349.95</v>
      </c>
      <c r="BE6" s="172">
        <f t="shared" si="10"/>
        <v>182.16000000000003</v>
      </c>
      <c r="BF6" s="172">
        <f t="shared" si="10"/>
        <v>24335.96</v>
      </c>
      <c r="BG6" s="173">
        <f>SUM(BG4:BG5)</f>
        <v>82861.53</v>
      </c>
      <c r="BH6" s="179"/>
      <c r="BJ6" s="174">
        <f>SUM(BJ4:BJ5)</f>
        <v>8092.83</v>
      </c>
      <c r="BK6" s="172">
        <f>SUM(BK4:BK5)</f>
        <v>11098.039999999999</v>
      </c>
      <c r="BL6" s="172">
        <f>SUM(BL4:BL5)</f>
        <v>31204.91</v>
      </c>
      <c r="BM6" s="172">
        <f t="shared" ref="BM6:BU6" si="11">SUM(BM4:BM5)</f>
        <v>364.65</v>
      </c>
      <c r="BN6" s="172">
        <f t="shared" si="11"/>
        <v>8798.9</v>
      </c>
      <c r="BO6" s="172">
        <f t="shared" si="11"/>
        <v>0</v>
      </c>
      <c r="BP6" s="172">
        <f t="shared" si="11"/>
        <v>2282.98</v>
      </c>
      <c r="BQ6" s="172">
        <f t="shared" si="11"/>
        <v>276.39</v>
      </c>
      <c r="BR6" s="172">
        <f t="shared" si="11"/>
        <v>3223.58</v>
      </c>
      <c r="BS6" s="177">
        <f t="shared" si="11"/>
        <v>17620.899999999998</v>
      </c>
      <c r="BT6" s="177">
        <f t="shared" si="11"/>
        <v>20153.499999999996</v>
      </c>
      <c r="BU6" s="177">
        <f t="shared" si="11"/>
        <v>28490.25</v>
      </c>
      <c r="BV6" s="173">
        <f>SUM(BV4:BV5)</f>
        <v>131606.93</v>
      </c>
      <c r="BY6" s="178">
        <f t="shared" ref="BY6:CK6" si="12">SUM(BY4:BY4)</f>
        <v>5927.4999999999991</v>
      </c>
      <c r="BZ6" s="177">
        <f t="shared" si="12"/>
        <v>17782.499999999996</v>
      </c>
      <c r="CA6" s="177">
        <f t="shared" si="12"/>
        <v>16596.999999999996</v>
      </c>
      <c r="CB6" s="177">
        <f t="shared" si="12"/>
        <v>15411.499999999998</v>
      </c>
      <c r="CC6" s="177">
        <f t="shared" si="12"/>
        <v>1185.4999999999998</v>
      </c>
      <c r="CD6" s="177">
        <f t="shared" si="12"/>
        <v>5927.4999999999991</v>
      </c>
      <c r="CE6" s="177">
        <f t="shared" si="12"/>
        <v>4741.9999999999991</v>
      </c>
      <c r="CF6" s="177">
        <f t="shared" si="12"/>
        <v>2370.9999999999995</v>
      </c>
      <c r="CG6" s="177">
        <f t="shared" si="12"/>
        <v>18967.999999999996</v>
      </c>
      <c r="CH6" s="177">
        <f t="shared" si="12"/>
        <v>14225.999999999998</v>
      </c>
      <c r="CI6" s="177">
        <f t="shared" si="12"/>
        <v>29874.599999999995</v>
      </c>
      <c r="CJ6" s="177">
        <f t="shared" si="12"/>
        <v>35517.58</v>
      </c>
      <c r="CK6" s="173">
        <f t="shared" si="12"/>
        <v>168530.68</v>
      </c>
      <c r="CN6" s="178">
        <f t="shared" ref="CN6:CZ6" si="13">SUM(CN4:CN4)</f>
        <v>29722.333333333336</v>
      </c>
      <c r="CO6" s="177">
        <f t="shared" si="13"/>
        <v>35582.250000000007</v>
      </c>
      <c r="CP6" s="177">
        <f t="shared" si="13"/>
        <v>30280.679999999997</v>
      </c>
      <c r="CQ6" s="177">
        <f t="shared" si="13"/>
        <v>7570.1699999999992</v>
      </c>
      <c r="CR6" s="177">
        <f t="shared" si="13"/>
        <v>5046.78</v>
      </c>
      <c r="CS6" s="177">
        <f t="shared" si="13"/>
        <v>7353.3238636363631</v>
      </c>
      <c r="CT6" s="177">
        <f t="shared" si="13"/>
        <v>5563.2000000000007</v>
      </c>
      <c r="CU6" s="177">
        <f t="shared" si="13"/>
        <v>2952.6000000000004</v>
      </c>
      <c r="CV6" s="177">
        <f t="shared" si="13"/>
        <v>23894.400000000001</v>
      </c>
      <c r="CW6" s="177">
        <f t="shared" si="13"/>
        <v>16449.043478260872</v>
      </c>
      <c r="CX6" s="177">
        <f t="shared" si="13"/>
        <v>34049.519999999997</v>
      </c>
      <c r="CY6" s="177">
        <f t="shared" si="13"/>
        <v>39724.44000000001</v>
      </c>
      <c r="CZ6" s="173">
        <f t="shared" si="13"/>
        <v>238188.74067523057</v>
      </c>
      <c r="DB6" s="142"/>
      <c r="DC6" s="143"/>
    </row>
    <row r="7" spans="2:107" s="185" customFormat="1" ht="12">
      <c r="B7" s="180" t="s">
        <v>31</v>
      </c>
      <c r="C7" s="181"/>
      <c r="D7" s="182"/>
      <c r="E7" s="182"/>
      <c r="F7" s="182"/>
      <c r="G7" s="182"/>
      <c r="H7" s="182"/>
      <c r="I7" s="182"/>
      <c r="J7" s="182"/>
      <c r="K7" s="182"/>
      <c r="L7" s="182"/>
      <c r="M7" s="182"/>
      <c r="N7" s="182"/>
      <c r="O7" s="183">
        <f>O6-SUM(C6:N6)</f>
        <v>0</v>
      </c>
      <c r="P7" s="184"/>
      <c r="Q7" s="182"/>
      <c r="R7" s="182"/>
      <c r="S7" s="182"/>
      <c r="T7" s="182"/>
      <c r="U7" s="182"/>
      <c r="V7" s="182"/>
      <c r="W7" s="182"/>
      <c r="X7" s="182"/>
      <c r="Y7" s="182"/>
      <c r="Z7" s="182"/>
      <c r="AA7" s="182"/>
      <c r="AB7" s="183">
        <f>AB6-SUM(P6:AA6)</f>
        <v>0</v>
      </c>
      <c r="AE7" s="184"/>
      <c r="AF7" s="182"/>
      <c r="AG7" s="182"/>
      <c r="AH7" s="182"/>
      <c r="AI7" s="182"/>
      <c r="AJ7" s="182"/>
      <c r="AK7" s="182"/>
      <c r="AL7" s="182"/>
      <c r="AM7" s="182"/>
      <c r="AN7" s="182"/>
      <c r="AO7" s="182"/>
      <c r="AP7" s="182"/>
      <c r="AQ7" s="183">
        <f>AQ6-SUM(AE6:AP6)</f>
        <v>0</v>
      </c>
      <c r="AS7" s="187"/>
      <c r="AU7" s="184"/>
      <c r="AV7" s="182"/>
      <c r="AW7" s="182"/>
      <c r="AX7" s="182"/>
      <c r="AY7" s="182"/>
      <c r="AZ7" s="182"/>
      <c r="BA7" s="182"/>
      <c r="BB7" s="182"/>
      <c r="BC7" s="182"/>
      <c r="BD7" s="182"/>
      <c r="BE7" s="182"/>
      <c r="BF7" s="182"/>
      <c r="BG7" s="183">
        <f>BG6-SUM(AU6:BF6)</f>
        <v>0</v>
      </c>
      <c r="BH7" s="189"/>
      <c r="BJ7" s="184"/>
      <c r="BK7" s="182"/>
      <c r="BL7" s="182"/>
      <c r="BM7" s="182"/>
      <c r="BN7" s="182"/>
      <c r="BO7" s="182"/>
      <c r="BP7" s="182"/>
      <c r="BQ7" s="182"/>
      <c r="BR7" s="182"/>
      <c r="BS7" s="186"/>
      <c r="BT7" s="186"/>
      <c r="BU7" s="186"/>
      <c r="BV7" s="183">
        <f>BV6-SUM(BJ6:BU6)</f>
        <v>0</v>
      </c>
      <c r="BY7" s="188"/>
      <c r="BZ7" s="186"/>
      <c r="CA7" s="186"/>
      <c r="CB7" s="186"/>
      <c r="CC7" s="186"/>
      <c r="CD7" s="186"/>
      <c r="CE7" s="186"/>
      <c r="CF7" s="186"/>
      <c r="CG7" s="186"/>
      <c r="CH7" s="186"/>
      <c r="CI7" s="186"/>
      <c r="CJ7" s="186"/>
      <c r="CK7" s="183">
        <f>CK6-SUM(BY6:CJ6)</f>
        <v>0</v>
      </c>
      <c r="CN7" s="188"/>
      <c r="CO7" s="186"/>
      <c r="CP7" s="186"/>
      <c r="CQ7" s="186"/>
      <c r="CR7" s="186"/>
      <c r="CS7" s="186"/>
      <c r="CT7" s="186"/>
      <c r="CU7" s="186"/>
      <c r="CV7" s="186"/>
      <c r="CW7" s="186"/>
      <c r="CX7" s="186"/>
      <c r="CY7" s="186"/>
      <c r="CZ7" s="183">
        <f>CZ6-SUM(CN6:CY6)</f>
        <v>0</v>
      </c>
      <c r="DB7" s="190"/>
      <c r="DC7" s="191"/>
    </row>
    <row r="8" spans="2:107">
      <c r="C8" s="140"/>
      <c r="D8" s="140"/>
      <c r="E8" s="140"/>
      <c r="F8" s="140"/>
      <c r="G8" s="192"/>
      <c r="H8" s="140"/>
      <c r="I8" s="140"/>
      <c r="J8" s="140"/>
      <c r="K8" s="140"/>
      <c r="L8" s="140"/>
      <c r="M8" s="140"/>
      <c r="N8" s="140"/>
      <c r="O8" s="160"/>
      <c r="P8" s="146"/>
      <c r="Q8" s="146"/>
      <c r="R8" s="146"/>
      <c r="S8" s="146"/>
      <c r="T8" s="146"/>
      <c r="U8" s="146"/>
      <c r="V8" s="146"/>
      <c r="W8" s="146"/>
      <c r="X8" s="146"/>
      <c r="Y8" s="146"/>
      <c r="Z8" s="146"/>
      <c r="AA8" s="146"/>
      <c r="AB8" s="160"/>
      <c r="AE8" s="146"/>
      <c r="AF8" s="146"/>
      <c r="AG8" s="146"/>
      <c r="AH8" s="146"/>
      <c r="AI8" s="146"/>
      <c r="AJ8" s="146"/>
      <c r="AK8" s="146"/>
      <c r="AL8" s="146"/>
      <c r="AM8" s="146"/>
      <c r="AN8" s="146"/>
      <c r="AO8" s="146"/>
      <c r="AP8" s="146"/>
      <c r="AQ8" s="160"/>
      <c r="AU8" s="146"/>
      <c r="AV8" s="146"/>
      <c r="AW8" s="146"/>
      <c r="AX8" s="146"/>
      <c r="AY8" s="146"/>
      <c r="AZ8" s="146"/>
      <c r="BA8" s="146"/>
      <c r="BB8" s="146"/>
      <c r="BC8" s="146"/>
      <c r="BD8" s="146"/>
      <c r="BE8" s="146"/>
      <c r="BF8" s="146"/>
      <c r="BG8" s="160"/>
      <c r="BH8" s="160"/>
      <c r="BJ8" s="146"/>
      <c r="BK8" s="146"/>
      <c r="BL8" s="146"/>
      <c r="BM8" s="146"/>
      <c r="BN8" s="146"/>
      <c r="BO8" s="146"/>
      <c r="BP8" s="146"/>
      <c r="BQ8" s="146"/>
      <c r="BR8" s="146"/>
      <c r="BS8" s="160"/>
      <c r="BT8" s="160"/>
      <c r="BU8" s="160"/>
      <c r="BV8" s="160"/>
      <c r="BY8" s="160"/>
      <c r="BZ8" s="160"/>
      <c r="CA8" s="160"/>
      <c r="CB8" s="160"/>
      <c r="CC8" s="160"/>
      <c r="CD8" s="160"/>
      <c r="CE8" s="160"/>
      <c r="CF8" s="160"/>
      <c r="CG8" s="160"/>
      <c r="CH8" s="160"/>
      <c r="CI8" s="160"/>
      <c r="CJ8" s="160"/>
      <c r="CK8" s="160"/>
      <c r="CN8" s="160"/>
      <c r="CO8" s="160"/>
      <c r="CP8" s="160"/>
      <c r="CQ8" s="160"/>
      <c r="CR8" s="160"/>
      <c r="CS8" s="160"/>
      <c r="CT8" s="160"/>
      <c r="CU8" s="160"/>
      <c r="CV8" s="160"/>
      <c r="CW8" s="160"/>
      <c r="CX8" s="160"/>
      <c r="CY8" s="160"/>
      <c r="CZ8" s="160"/>
      <c r="DB8" s="142"/>
      <c r="DC8" s="143"/>
    </row>
    <row r="9" spans="2:107">
      <c r="B9" s="193" t="s">
        <v>50</v>
      </c>
      <c r="C9" s="194"/>
      <c r="D9" s="195"/>
      <c r="E9" s="194"/>
      <c r="F9" s="195"/>
      <c r="G9" s="140"/>
      <c r="H9" s="150"/>
      <c r="I9" s="194"/>
      <c r="J9" s="194"/>
      <c r="K9" s="194"/>
      <c r="L9" s="196"/>
      <c r="M9" s="194"/>
      <c r="N9" s="197"/>
      <c r="O9" s="198">
        <f t="shared" ref="O9:O14" si="14">SUM(C9:N9)</f>
        <v>0</v>
      </c>
      <c r="P9" s="199"/>
      <c r="Q9" s="150"/>
      <c r="R9" s="200"/>
      <c r="S9" s="150"/>
      <c r="T9" s="151"/>
      <c r="U9" s="151"/>
      <c r="V9" s="151"/>
      <c r="W9" s="151"/>
      <c r="X9" s="151"/>
      <c r="Y9" s="151"/>
      <c r="Z9" s="151"/>
      <c r="AA9" s="201"/>
      <c r="AB9" s="202">
        <f t="shared" ref="AB9:AB14" si="15">SUM(P9:AA9)</f>
        <v>0</v>
      </c>
      <c r="AE9" s="149"/>
      <c r="AF9" s="150"/>
      <c r="AG9" s="150"/>
      <c r="AH9" s="150"/>
      <c r="AI9" s="150"/>
      <c r="AJ9" s="150"/>
      <c r="AK9" s="150"/>
      <c r="AL9" s="150"/>
      <c r="AM9" s="154">
        <v>11490.68</v>
      </c>
      <c r="AN9" s="154">
        <v>1276.74</v>
      </c>
      <c r="AO9" s="531"/>
      <c r="AP9" s="531"/>
      <c r="AQ9" s="202">
        <f t="shared" ref="AQ9:AQ14" si="16">SUM(AE9:AP9)</f>
        <v>12767.42</v>
      </c>
      <c r="AU9" s="243"/>
      <c r="AV9" s="532">
        <v>8664.27</v>
      </c>
      <c r="AW9" s="282"/>
      <c r="AX9" s="532">
        <v>2475.5</v>
      </c>
      <c r="AY9" s="150"/>
      <c r="AZ9" s="150"/>
      <c r="BA9" s="150"/>
      <c r="BB9" s="150"/>
      <c r="BC9" s="150"/>
      <c r="BD9" s="150"/>
      <c r="BE9" s="150"/>
      <c r="BF9" s="152"/>
      <c r="BG9" s="202">
        <f t="shared" ref="BG9:BG14" si="17">SUM(AU9:BF9)</f>
        <v>11139.77</v>
      </c>
      <c r="BH9" s="160"/>
      <c r="BJ9" s="149"/>
      <c r="BK9" s="195">
        <f>9030.3</f>
        <v>9030.2999999999993</v>
      </c>
      <c r="BL9" s="150"/>
      <c r="BM9" s="154">
        <v>2580.09</v>
      </c>
      <c r="BN9" s="150"/>
      <c r="BO9" s="150"/>
      <c r="BP9" s="150"/>
      <c r="BQ9" s="150"/>
      <c r="BR9" s="150"/>
      <c r="BS9" s="157"/>
      <c r="BT9" s="157"/>
      <c r="BU9" s="158"/>
      <c r="BV9" s="202">
        <f t="shared" ref="BV9:BV15" si="18">SUM(BJ9:BU9)</f>
        <v>11610.39</v>
      </c>
      <c r="BY9" s="156"/>
      <c r="BZ9" s="157">
        <v>9000</v>
      </c>
      <c r="CA9" s="157"/>
      <c r="CB9" s="157">
        <v>2000</v>
      </c>
      <c r="CC9" s="157"/>
      <c r="CD9" s="157"/>
      <c r="CE9" s="157"/>
      <c r="CF9" s="157"/>
      <c r="CG9" s="157"/>
      <c r="CH9" s="157"/>
      <c r="CI9" s="157"/>
      <c r="CJ9" s="158"/>
      <c r="CK9" s="202">
        <f t="shared" ref="CK9:CK14" si="19">SUM(BY9:CJ9)</f>
        <v>11000</v>
      </c>
      <c r="CN9" s="156"/>
      <c r="CO9" s="157">
        <v>9000</v>
      </c>
      <c r="CP9" s="157"/>
      <c r="CQ9" s="157">
        <v>2000</v>
      </c>
      <c r="CR9" s="157"/>
      <c r="CS9" s="157"/>
      <c r="CT9" s="157"/>
      <c r="CU9" s="157"/>
      <c r="CV9" s="157"/>
      <c r="CW9" s="157"/>
      <c r="CX9" s="157"/>
      <c r="CY9" s="158"/>
      <c r="CZ9" s="202">
        <f t="shared" ref="CZ9:CZ14" si="20">SUM(CN9:CY9)</f>
        <v>11000</v>
      </c>
      <c r="DB9" s="142"/>
      <c r="DC9" s="143"/>
    </row>
    <row r="10" spans="2:107">
      <c r="B10" s="143" t="s">
        <v>51</v>
      </c>
      <c r="C10" s="140"/>
      <c r="D10" s="203"/>
      <c r="E10" s="140"/>
      <c r="F10" s="203"/>
      <c r="G10" s="140"/>
      <c r="H10" s="147"/>
      <c r="I10" s="140"/>
      <c r="J10" s="140"/>
      <c r="K10" s="140"/>
      <c r="L10" s="140"/>
      <c r="M10" s="147"/>
      <c r="N10" s="161"/>
      <c r="O10" s="159">
        <f t="shared" si="14"/>
        <v>0</v>
      </c>
      <c r="P10" s="204"/>
      <c r="Q10" s="146"/>
      <c r="R10" s="146"/>
      <c r="S10" s="146"/>
      <c r="T10" s="146"/>
      <c r="U10" s="146"/>
      <c r="V10" s="146"/>
      <c r="W10" s="146"/>
      <c r="X10" s="146"/>
      <c r="Y10" s="146"/>
      <c r="Z10" s="146"/>
      <c r="AA10" s="205"/>
      <c r="AB10" s="148">
        <f t="shared" si="15"/>
        <v>0</v>
      </c>
      <c r="AE10" s="206"/>
      <c r="AF10" s="147"/>
      <c r="AG10" s="147"/>
      <c r="AH10" s="140"/>
      <c r="AI10" s="147"/>
      <c r="AJ10" s="147"/>
      <c r="AK10" s="147"/>
      <c r="AL10" s="147"/>
      <c r="AM10" s="207"/>
      <c r="AN10" s="207"/>
      <c r="AO10" s="207"/>
      <c r="AP10" s="144">
        <f>10321.7*0</f>
        <v>0</v>
      </c>
      <c r="AQ10" s="148">
        <f t="shared" si="16"/>
        <v>0</v>
      </c>
      <c r="AU10" s="294"/>
      <c r="AV10" s="147"/>
      <c r="AW10" s="147"/>
      <c r="AX10" s="147"/>
      <c r="AY10" s="147"/>
      <c r="AZ10" s="147"/>
      <c r="BA10" s="147"/>
      <c r="BB10" s="147"/>
      <c r="BC10" s="147"/>
      <c r="BD10" s="147"/>
      <c r="BE10" s="211">
        <f>10321.7*0</f>
        <v>0</v>
      </c>
      <c r="BF10" s="229"/>
      <c r="BG10" s="148">
        <f t="shared" si="17"/>
        <v>0</v>
      </c>
      <c r="BH10" s="160"/>
      <c r="BJ10" s="206"/>
      <c r="BK10" s="147"/>
      <c r="BL10" s="147"/>
      <c r="BM10" s="147"/>
      <c r="BN10" s="147"/>
      <c r="BO10" s="147"/>
      <c r="BP10" s="147"/>
      <c r="BQ10" s="147"/>
      <c r="BR10" s="147"/>
      <c r="BS10" s="169"/>
      <c r="BT10" s="169">
        <f>10321.7*0</f>
        <v>0</v>
      </c>
      <c r="BU10" s="170"/>
      <c r="BV10" s="148">
        <f t="shared" si="18"/>
        <v>0</v>
      </c>
      <c r="BY10" s="209"/>
      <c r="BZ10" s="169"/>
      <c r="CA10" s="169"/>
      <c r="CB10" s="169"/>
      <c r="CC10" s="169"/>
      <c r="CD10" s="169"/>
      <c r="CE10" s="169"/>
      <c r="CF10" s="169"/>
      <c r="CG10" s="169"/>
      <c r="CH10" s="169"/>
      <c r="CI10" s="169">
        <f>10321.7*0</f>
        <v>0</v>
      </c>
      <c r="CJ10" s="170"/>
      <c r="CK10" s="148">
        <f t="shared" si="19"/>
        <v>0</v>
      </c>
      <c r="CN10" s="209"/>
      <c r="CO10" s="169"/>
      <c r="CP10" s="169"/>
      <c r="CQ10" s="169"/>
      <c r="CR10" s="169"/>
      <c r="CS10" s="169"/>
      <c r="CT10" s="169"/>
      <c r="CU10" s="169"/>
      <c r="CV10" s="169"/>
      <c r="CW10" s="169"/>
      <c r="CX10" s="169">
        <f>10321.7*0</f>
        <v>0</v>
      </c>
      <c r="CY10" s="170"/>
      <c r="CZ10" s="148">
        <f t="shared" si="20"/>
        <v>0</v>
      </c>
      <c r="DB10" s="142"/>
      <c r="DC10" s="143"/>
    </row>
    <row r="11" spans="2:107">
      <c r="B11" s="143" t="s">
        <v>52</v>
      </c>
      <c r="C11" s="140"/>
      <c r="D11" s="140"/>
      <c r="E11" s="140"/>
      <c r="F11" s="203"/>
      <c r="G11" s="210"/>
      <c r="H11" s="140"/>
      <c r="I11" s="140"/>
      <c r="J11" s="140"/>
      <c r="K11" s="140"/>
      <c r="L11" s="140"/>
      <c r="M11" s="140"/>
      <c r="N11" s="161"/>
      <c r="O11" s="159">
        <f t="shared" si="14"/>
        <v>0</v>
      </c>
      <c r="P11" s="204"/>
      <c r="Q11" s="146"/>
      <c r="R11" s="146"/>
      <c r="S11" s="147"/>
      <c r="T11" s="146"/>
      <c r="U11" s="146"/>
      <c r="V11" s="146"/>
      <c r="W11" s="146"/>
      <c r="X11" s="146"/>
      <c r="Y11" s="146"/>
      <c r="Z11" s="146"/>
      <c r="AA11" s="205"/>
      <c r="AB11" s="148">
        <f t="shared" si="15"/>
        <v>0</v>
      </c>
      <c r="AE11" s="206"/>
      <c r="AF11" s="147"/>
      <c r="AG11" s="147"/>
      <c r="AH11" s="140"/>
      <c r="AI11" s="147"/>
      <c r="AJ11" s="147"/>
      <c r="AK11" s="147"/>
      <c r="AL11" s="147"/>
      <c r="AM11" s="144">
        <f>4562.34+2688.59</f>
        <v>7250.93</v>
      </c>
      <c r="AN11" s="144"/>
      <c r="AO11" s="144">
        <f>805.67</f>
        <v>805.67</v>
      </c>
      <c r="AP11" s="144">
        <v>5725.81</v>
      </c>
      <c r="AQ11" s="148">
        <f t="shared" si="16"/>
        <v>13782.41</v>
      </c>
      <c r="AU11" s="294">
        <v>559.67999999999995</v>
      </c>
      <c r="AV11" s="533">
        <v>9635.7999999999993</v>
      </c>
      <c r="AW11" s="140"/>
      <c r="AX11" s="533">
        <v>2753.08</v>
      </c>
      <c r="AY11" s="147"/>
      <c r="AZ11" s="147"/>
      <c r="BA11" s="147"/>
      <c r="BB11" s="533">
        <f>327.16+981.48</f>
        <v>1308.6400000000001</v>
      </c>
      <c r="BC11" s="147"/>
      <c r="BD11" s="533">
        <f>1484.87+1509.13+1583.58</f>
        <v>4577.58</v>
      </c>
      <c r="BE11" s="140"/>
      <c r="BF11" s="147"/>
      <c r="BG11" s="148">
        <f>SUM(AU11:BF11)</f>
        <v>18834.78</v>
      </c>
      <c r="BH11" s="160"/>
      <c r="BJ11" s="206"/>
      <c r="BK11" s="144">
        <f>445.15+8993.12</f>
        <v>9438.27</v>
      </c>
      <c r="BL11" s="140"/>
      <c r="BM11" s="144">
        <v>2569.4899999999998</v>
      </c>
      <c r="BN11" s="147"/>
      <c r="BO11" s="147"/>
      <c r="BP11" s="144"/>
      <c r="BQ11" s="147"/>
      <c r="BR11" s="147"/>
      <c r="BS11" s="169"/>
      <c r="BT11" s="169">
        <v>6430.51</v>
      </c>
      <c r="BU11" s="170"/>
      <c r="BV11" s="148">
        <f t="shared" si="18"/>
        <v>18438.27</v>
      </c>
      <c r="BY11" s="209"/>
      <c r="BZ11" s="169">
        <v>9500</v>
      </c>
      <c r="CA11" s="169"/>
      <c r="CB11" s="169">
        <v>9000</v>
      </c>
      <c r="CC11" s="169"/>
      <c r="CD11" s="169"/>
      <c r="CE11" s="169"/>
      <c r="CF11" s="169"/>
      <c r="CG11" s="169"/>
      <c r="CH11" s="169"/>
      <c r="CI11" s="169"/>
      <c r="CJ11" s="170"/>
      <c r="CK11" s="148">
        <f t="shared" si="19"/>
        <v>18500</v>
      </c>
      <c r="CN11" s="209"/>
      <c r="CO11" s="169">
        <v>9500</v>
      </c>
      <c r="CP11" s="169"/>
      <c r="CQ11" s="169">
        <v>9000</v>
      </c>
      <c r="CR11" s="169"/>
      <c r="CS11" s="169"/>
      <c r="CT11" s="169"/>
      <c r="CU11" s="169"/>
      <c r="CV11" s="169"/>
      <c r="CW11" s="169"/>
      <c r="CX11" s="169"/>
      <c r="CY11" s="170"/>
      <c r="CZ11" s="148">
        <f t="shared" si="20"/>
        <v>18500</v>
      </c>
      <c r="DB11" s="142"/>
      <c r="DC11" s="143"/>
    </row>
    <row r="12" spans="2:107">
      <c r="B12" s="143" t="s">
        <v>53</v>
      </c>
      <c r="C12" s="140"/>
      <c r="D12" s="140"/>
      <c r="E12" s="140"/>
      <c r="F12" s="140"/>
      <c r="G12" s="212"/>
      <c r="H12" s="140"/>
      <c r="I12" s="212"/>
      <c r="J12" s="212"/>
      <c r="K12" s="212"/>
      <c r="L12" s="140"/>
      <c r="M12" s="147"/>
      <c r="N12" s="161"/>
      <c r="O12" s="159">
        <f t="shared" si="14"/>
        <v>0</v>
      </c>
      <c r="P12" s="206"/>
      <c r="Q12" s="147"/>
      <c r="R12" s="147"/>
      <c r="S12" s="147"/>
      <c r="T12" s="147"/>
      <c r="U12" s="147"/>
      <c r="V12" s="146"/>
      <c r="W12" s="146"/>
      <c r="X12" s="146"/>
      <c r="Y12" s="146"/>
      <c r="Z12" s="146"/>
      <c r="AA12" s="205"/>
      <c r="AB12" s="148">
        <f t="shared" si="15"/>
        <v>0</v>
      </c>
      <c r="AE12" s="206"/>
      <c r="AF12" s="147"/>
      <c r="AG12" s="147"/>
      <c r="AH12" s="140"/>
      <c r="AI12" s="147"/>
      <c r="AJ12" s="147"/>
      <c r="AK12" s="147"/>
      <c r="AL12" s="147"/>
      <c r="AM12" s="144">
        <v>9879.39</v>
      </c>
      <c r="AN12" s="144"/>
      <c r="AO12" s="144">
        <f>1093.63</f>
        <v>1093.6300000000001</v>
      </c>
      <c r="AP12" s="207"/>
      <c r="AQ12" s="148">
        <f t="shared" si="16"/>
        <v>10973.02</v>
      </c>
      <c r="AU12" s="294"/>
      <c r="AV12" s="533">
        <v>5772.24</v>
      </c>
      <c r="AW12" s="211"/>
      <c r="AX12" s="533">
        <v>2075.4</v>
      </c>
      <c r="AY12" s="147"/>
      <c r="AZ12" s="147"/>
      <c r="BA12" s="147"/>
      <c r="BB12" s="147"/>
      <c r="BC12" s="147"/>
      <c r="BD12" s="147"/>
      <c r="BE12" s="147"/>
      <c r="BF12" s="229"/>
      <c r="BG12" s="148">
        <f t="shared" si="17"/>
        <v>7847.6399999999994</v>
      </c>
      <c r="BH12" s="160"/>
      <c r="BJ12" s="206"/>
      <c r="BK12" s="147"/>
      <c r="BL12" s="144">
        <v>2590.12</v>
      </c>
      <c r="BM12" s="147"/>
      <c r="BN12" s="147"/>
      <c r="BO12" s="147"/>
      <c r="BP12" s="147"/>
      <c r="BQ12" s="147"/>
      <c r="BR12" s="147"/>
      <c r="BS12" s="169"/>
      <c r="BT12" s="169">
        <v>5000</v>
      </c>
      <c r="BU12" s="170"/>
      <c r="BV12" s="148">
        <f t="shared" si="18"/>
        <v>7590.12</v>
      </c>
      <c r="BY12" s="209"/>
      <c r="BZ12" s="169"/>
      <c r="CA12" s="169">
        <v>2500</v>
      </c>
      <c r="CB12" s="169">
        <v>5000</v>
      </c>
      <c r="CC12" s="169"/>
      <c r="CD12" s="169"/>
      <c r="CE12" s="169"/>
      <c r="CF12" s="169"/>
      <c r="CG12" s="169"/>
      <c r="CH12" s="169"/>
      <c r="CI12" s="169"/>
      <c r="CJ12" s="170"/>
      <c r="CK12" s="148">
        <f t="shared" si="19"/>
        <v>7500</v>
      </c>
      <c r="CN12" s="209"/>
      <c r="CO12" s="169"/>
      <c r="CP12" s="169">
        <v>2500</v>
      </c>
      <c r="CQ12" s="169">
        <v>5000</v>
      </c>
      <c r="CR12" s="169"/>
      <c r="CS12" s="169"/>
      <c r="CT12" s="169"/>
      <c r="CU12" s="169"/>
      <c r="CV12" s="169"/>
      <c r="CW12" s="169"/>
      <c r="CX12" s="169"/>
      <c r="CY12" s="170"/>
      <c r="CZ12" s="148">
        <f t="shared" si="20"/>
        <v>7500</v>
      </c>
      <c r="DB12" s="142"/>
      <c r="DC12" s="143"/>
    </row>
    <row r="13" spans="2:107">
      <c r="B13" s="143" t="s">
        <v>54</v>
      </c>
      <c r="C13" s="140"/>
      <c r="D13" s="203"/>
      <c r="E13" s="140"/>
      <c r="F13" s="144"/>
      <c r="G13" s="147"/>
      <c r="H13" s="140"/>
      <c r="I13" s="144"/>
      <c r="J13" s="140"/>
      <c r="K13" s="140"/>
      <c r="L13" s="140"/>
      <c r="M13" s="146"/>
      <c r="N13" s="161"/>
      <c r="O13" s="159">
        <f t="shared" si="14"/>
        <v>0</v>
      </c>
      <c r="P13" s="204"/>
      <c r="Q13" s="147"/>
      <c r="R13" s="147"/>
      <c r="S13" s="147"/>
      <c r="T13" s="146"/>
      <c r="U13" s="146"/>
      <c r="V13" s="147"/>
      <c r="W13" s="146"/>
      <c r="X13" s="146"/>
      <c r="Y13" s="146"/>
      <c r="Z13" s="146"/>
      <c r="AA13" s="205"/>
      <c r="AB13" s="148">
        <f t="shared" si="15"/>
        <v>0</v>
      </c>
      <c r="AE13" s="206"/>
      <c r="AF13" s="147"/>
      <c r="AG13" s="147"/>
      <c r="AH13" s="147"/>
      <c r="AI13" s="147"/>
      <c r="AJ13" s="147"/>
      <c r="AK13" s="147"/>
      <c r="AL13" s="147"/>
      <c r="AM13" s="207"/>
      <c r="AN13" s="207"/>
      <c r="AO13" s="207"/>
      <c r="AP13" s="207"/>
      <c r="AQ13" s="148">
        <f t="shared" si="16"/>
        <v>0</v>
      </c>
      <c r="AU13" s="294"/>
      <c r="AV13" s="147"/>
      <c r="AW13" s="147"/>
      <c r="AX13" s="501"/>
      <c r="AY13" s="147"/>
      <c r="AZ13" s="147"/>
      <c r="BA13" s="147"/>
      <c r="BB13" s="147"/>
      <c r="BC13" s="147"/>
      <c r="BD13" s="147"/>
      <c r="BE13" s="147"/>
      <c r="BF13" s="229"/>
      <c r="BG13" s="148">
        <f t="shared" si="17"/>
        <v>0</v>
      </c>
      <c r="BH13" s="160"/>
      <c r="BJ13" s="206"/>
      <c r="BK13" s="147"/>
      <c r="BL13" s="147"/>
      <c r="BM13" s="147"/>
      <c r="BN13" s="147"/>
      <c r="BO13" s="147"/>
      <c r="BP13" s="147"/>
      <c r="BQ13" s="147"/>
      <c r="BR13" s="147"/>
      <c r="BS13" s="169"/>
      <c r="BT13" s="169"/>
      <c r="BU13" s="170"/>
      <c r="BV13" s="148">
        <f t="shared" si="18"/>
        <v>0</v>
      </c>
      <c r="BY13" s="209"/>
      <c r="BZ13" s="169"/>
      <c r="CA13" s="169"/>
      <c r="CB13" s="169"/>
      <c r="CC13" s="169"/>
      <c r="CD13" s="169"/>
      <c r="CE13" s="169"/>
      <c r="CF13" s="169"/>
      <c r="CG13" s="169"/>
      <c r="CH13" s="169"/>
      <c r="CI13" s="169"/>
      <c r="CJ13" s="170"/>
      <c r="CK13" s="148">
        <f t="shared" si="19"/>
        <v>0</v>
      </c>
      <c r="CN13" s="209"/>
      <c r="CO13" s="169"/>
      <c r="CP13" s="169"/>
      <c r="CQ13" s="169"/>
      <c r="CR13" s="169"/>
      <c r="CS13" s="169"/>
      <c r="CT13" s="169"/>
      <c r="CU13" s="169"/>
      <c r="CV13" s="169"/>
      <c r="CW13" s="169"/>
      <c r="CX13" s="169"/>
      <c r="CY13" s="170"/>
      <c r="CZ13" s="148">
        <f t="shared" si="20"/>
        <v>0</v>
      </c>
      <c r="DB13" s="142"/>
      <c r="DC13" s="143"/>
    </row>
    <row r="14" spans="2:107">
      <c r="B14" s="213" t="s">
        <v>55</v>
      </c>
      <c r="C14" s="140"/>
      <c r="D14" s="203"/>
      <c r="E14" s="140"/>
      <c r="F14" s="146"/>
      <c r="G14" s="140"/>
      <c r="H14" s="140"/>
      <c r="I14" s="140"/>
      <c r="J14" s="140"/>
      <c r="K14" s="140"/>
      <c r="L14" s="140"/>
      <c r="M14" s="147"/>
      <c r="N14" s="161"/>
      <c r="O14" s="159">
        <f t="shared" si="14"/>
        <v>0</v>
      </c>
      <c r="P14" s="204"/>
      <c r="Q14" s="146"/>
      <c r="R14" s="146"/>
      <c r="S14" s="146"/>
      <c r="T14" s="146"/>
      <c r="U14" s="146"/>
      <c r="V14" s="146"/>
      <c r="W14" s="146"/>
      <c r="X14" s="146"/>
      <c r="Y14" s="146"/>
      <c r="Z14" s="146"/>
      <c r="AA14" s="205"/>
      <c r="AB14" s="148">
        <f t="shared" si="15"/>
        <v>0</v>
      </c>
      <c r="AE14" s="206"/>
      <c r="AF14" s="147"/>
      <c r="AG14" s="147"/>
      <c r="AH14" s="147"/>
      <c r="AI14" s="147"/>
      <c r="AJ14" s="147"/>
      <c r="AK14" s="147"/>
      <c r="AL14" s="147"/>
      <c r="AM14" s="207"/>
      <c r="AN14" s="207"/>
      <c r="AO14" s="207"/>
      <c r="AP14" s="144">
        <v>0</v>
      </c>
      <c r="AQ14" s="148">
        <f t="shared" si="16"/>
        <v>0</v>
      </c>
      <c r="AU14" s="246"/>
      <c r="AV14" s="147"/>
      <c r="AW14" s="147"/>
      <c r="AX14" s="147"/>
      <c r="AY14" s="147"/>
      <c r="AZ14" s="147"/>
      <c r="BA14" s="147"/>
      <c r="BB14" s="147"/>
      <c r="BC14" s="147"/>
      <c r="BD14" s="147"/>
      <c r="BE14" s="147"/>
      <c r="BF14" s="147"/>
      <c r="BG14" s="148">
        <f t="shared" si="17"/>
        <v>0</v>
      </c>
      <c r="BH14" s="160"/>
      <c r="BJ14" s="206"/>
      <c r="BK14" s="147"/>
      <c r="BL14" s="144">
        <v>1711.8</v>
      </c>
      <c r="BM14" s="147"/>
      <c r="BN14" s="147"/>
      <c r="BO14" s="147"/>
      <c r="BP14" s="147"/>
      <c r="BQ14" s="147"/>
      <c r="BR14" s="147"/>
      <c r="BS14" s="169"/>
      <c r="BT14" s="169"/>
      <c r="BU14" s="169"/>
      <c r="BV14" s="148">
        <f t="shared" si="18"/>
        <v>1711.8</v>
      </c>
      <c r="BY14" s="209"/>
      <c r="BZ14" s="169"/>
      <c r="CA14" s="169">
        <v>2000</v>
      </c>
      <c r="CB14" s="169"/>
      <c r="CC14" s="169"/>
      <c r="CD14" s="169"/>
      <c r="CE14" s="169"/>
      <c r="CF14" s="169"/>
      <c r="CG14" s="169"/>
      <c r="CH14" s="169"/>
      <c r="CI14" s="169"/>
      <c r="CJ14" s="169"/>
      <c r="CK14" s="148">
        <f t="shared" si="19"/>
        <v>2000</v>
      </c>
      <c r="CN14" s="209"/>
      <c r="CO14" s="169"/>
      <c r="CP14" s="169">
        <v>2000</v>
      </c>
      <c r="CQ14" s="169"/>
      <c r="CR14" s="169"/>
      <c r="CS14" s="169"/>
      <c r="CT14" s="169"/>
      <c r="CU14" s="169"/>
      <c r="CV14" s="169"/>
      <c r="CW14" s="169"/>
      <c r="CX14" s="169"/>
      <c r="CY14" s="169"/>
      <c r="CZ14" s="148">
        <f t="shared" si="20"/>
        <v>2000</v>
      </c>
      <c r="DB14" s="142"/>
      <c r="DC14" s="143"/>
    </row>
    <row r="15" spans="2:107">
      <c r="B15" s="213" t="s">
        <v>504</v>
      </c>
      <c r="C15" s="140"/>
      <c r="D15" s="203"/>
      <c r="E15" s="140"/>
      <c r="F15" s="146"/>
      <c r="G15" s="140"/>
      <c r="H15" s="140"/>
      <c r="I15" s="140"/>
      <c r="J15" s="140"/>
      <c r="K15" s="140"/>
      <c r="L15" s="140"/>
      <c r="M15" s="147"/>
      <c r="N15" s="140"/>
      <c r="O15" s="159"/>
      <c r="P15" s="146"/>
      <c r="Q15" s="146"/>
      <c r="R15" s="146"/>
      <c r="S15" s="146"/>
      <c r="T15" s="146"/>
      <c r="U15" s="146"/>
      <c r="V15" s="146"/>
      <c r="W15" s="146"/>
      <c r="X15" s="146"/>
      <c r="Y15" s="146"/>
      <c r="Z15" s="146"/>
      <c r="AA15" s="146"/>
      <c r="AB15" s="148"/>
      <c r="AE15" s="206"/>
      <c r="AF15" s="147"/>
      <c r="AG15" s="147"/>
      <c r="AH15" s="147"/>
      <c r="AI15" s="147"/>
      <c r="AJ15" s="147"/>
      <c r="AK15" s="147"/>
      <c r="AL15" s="147"/>
      <c r="AM15" s="207"/>
      <c r="AN15" s="207"/>
      <c r="AO15" s="207"/>
      <c r="AP15" s="144"/>
      <c r="AQ15" s="148"/>
      <c r="AU15" s="146"/>
      <c r="AV15" s="147"/>
      <c r="AW15" s="147"/>
      <c r="AX15" s="147"/>
      <c r="AY15" s="147"/>
      <c r="AZ15" s="147"/>
      <c r="BA15" s="147"/>
      <c r="BB15" s="147"/>
      <c r="BC15" s="147"/>
      <c r="BD15" s="147"/>
      <c r="BE15" s="147"/>
      <c r="BF15" s="147"/>
      <c r="BG15" s="148"/>
      <c r="BH15" s="160"/>
      <c r="BJ15" s="147"/>
      <c r="BK15" s="147"/>
      <c r="BL15" s="144"/>
      <c r="BM15" s="147"/>
      <c r="BN15" s="147"/>
      <c r="BO15" s="147"/>
      <c r="BP15" s="144">
        <v>5337.45</v>
      </c>
      <c r="BQ15" s="147"/>
      <c r="BR15" s="147"/>
      <c r="BS15" s="169"/>
      <c r="BT15" s="169"/>
      <c r="BU15" s="169"/>
      <c r="BV15" s="148">
        <f t="shared" si="18"/>
        <v>5337.45</v>
      </c>
      <c r="BY15" s="169"/>
      <c r="BZ15" s="169"/>
      <c r="CA15" s="169"/>
      <c r="CB15" s="169"/>
      <c r="CC15" s="169"/>
      <c r="CD15" s="169"/>
      <c r="CE15" s="169"/>
      <c r="CF15" s="169"/>
      <c r="CG15" s="169"/>
      <c r="CH15" s="169"/>
      <c r="CI15" s="169"/>
      <c r="CJ15" s="169"/>
      <c r="CK15" s="148"/>
      <c r="CN15" s="169"/>
      <c r="CO15" s="169"/>
      <c r="CP15" s="169"/>
      <c r="CQ15" s="169"/>
      <c r="CR15" s="169"/>
      <c r="CS15" s="169"/>
      <c r="CT15" s="169"/>
      <c r="CU15" s="169"/>
      <c r="CV15" s="169"/>
      <c r="CW15" s="169"/>
      <c r="CX15" s="169"/>
      <c r="CY15" s="169"/>
      <c r="CZ15" s="148"/>
      <c r="DB15" s="142"/>
      <c r="DC15" s="143"/>
    </row>
    <row r="16" spans="2:107" s="217" customFormat="1" ht="15.75">
      <c r="B16" s="171" t="s">
        <v>56</v>
      </c>
      <c r="C16" s="215">
        <f>SUM(C9:C14)+C6</f>
        <v>0</v>
      </c>
      <c r="D16" s="172">
        <f>SUM(D9:D14)+D6</f>
        <v>0</v>
      </c>
      <c r="E16" s="172">
        <f>SUM(E9:E14)+E6</f>
        <v>0</v>
      </c>
      <c r="F16" s="172">
        <f>SUM(F9:F14)+F6</f>
        <v>0</v>
      </c>
      <c r="G16" s="172">
        <f>SUM(G11:G14)+G6</f>
        <v>0</v>
      </c>
      <c r="H16" s="172">
        <f t="shared" ref="H16:AB16" si="21">SUM(H9:H14)+H6</f>
        <v>0</v>
      </c>
      <c r="I16" s="172">
        <f t="shared" si="21"/>
        <v>0</v>
      </c>
      <c r="J16" s="172">
        <f t="shared" si="21"/>
        <v>0</v>
      </c>
      <c r="K16" s="172">
        <f t="shared" si="21"/>
        <v>0</v>
      </c>
      <c r="L16" s="172">
        <f t="shared" si="21"/>
        <v>0</v>
      </c>
      <c r="M16" s="172">
        <f t="shared" si="21"/>
        <v>0</v>
      </c>
      <c r="N16" s="172">
        <f t="shared" si="21"/>
        <v>0</v>
      </c>
      <c r="O16" s="216">
        <f t="shared" si="21"/>
        <v>0</v>
      </c>
      <c r="P16" s="215">
        <f t="shared" si="21"/>
        <v>0</v>
      </c>
      <c r="Q16" s="172">
        <f t="shared" si="21"/>
        <v>0</v>
      </c>
      <c r="R16" s="172">
        <f t="shared" si="21"/>
        <v>0</v>
      </c>
      <c r="S16" s="172">
        <f t="shared" si="21"/>
        <v>0</v>
      </c>
      <c r="T16" s="172">
        <f t="shared" si="21"/>
        <v>0</v>
      </c>
      <c r="U16" s="172">
        <f t="shared" si="21"/>
        <v>0</v>
      </c>
      <c r="V16" s="172">
        <f t="shared" si="21"/>
        <v>0</v>
      </c>
      <c r="W16" s="172">
        <f t="shared" si="21"/>
        <v>0</v>
      </c>
      <c r="X16" s="172">
        <f t="shared" si="21"/>
        <v>0</v>
      </c>
      <c r="Y16" s="172">
        <f t="shared" si="21"/>
        <v>0</v>
      </c>
      <c r="Z16" s="172">
        <f t="shared" si="21"/>
        <v>0</v>
      </c>
      <c r="AA16" s="172">
        <f t="shared" si="21"/>
        <v>0</v>
      </c>
      <c r="AB16" s="216">
        <f t="shared" si="21"/>
        <v>0</v>
      </c>
      <c r="AE16" s="175">
        <f>SUM(AE9:AE14)+AE6</f>
        <v>556.29999999999995</v>
      </c>
      <c r="AF16" s="172">
        <f t="shared" ref="AF16:AJ16" si="22">SUM(AF9:AF14)+AF6</f>
        <v>33077.51</v>
      </c>
      <c r="AG16" s="172">
        <f t="shared" si="22"/>
        <v>51305.32</v>
      </c>
      <c r="AH16" s="172">
        <f>SUM(AH9:AH14)+AH6</f>
        <v>0</v>
      </c>
      <c r="AI16" s="172">
        <f t="shared" si="22"/>
        <v>37253.67</v>
      </c>
      <c r="AJ16" s="172">
        <f t="shared" si="22"/>
        <v>0</v>
      </c>
      <c r="AK16" s="172">
        <f t="shared" ref="AK16:AQ16" si="23">SUM(AK9:AK14)+AK6</f>
        <v>0</v>
      </c>
      <c r="AL16" s="172">
        <f t="shared" si="23"/>
        <v>24907.200000000001</v>
      </c>
      <c r="AM16" s="172">
        <f t="shared" si="23"/>
        <v>32803.199999999997</v>
      </c>
      <c r="AN16" s="172">
        <f t="shared" si="23"/>
        <v>19326.060000000001</v>
      </c>
      <c r="AO16" s="172">
        <f>SUM(AO9:AO14)+AO6</f>
        <v>2174.17</v>
      </c>
      <c r="AP16" s="172">
        <f t="shared" si="23"/>
        <v>17183.670000000002</v>
      </c>
      <c r="AQ16" s="216">
        <f t="shared" si="23"/>
        <v>218587.10000000003</v>
      </c>
      <c r="AS16" s="218"/>
      <c r="AT16" s="219"/>
      <c r="AU16" s="215">
        <f t="shared" ref="AU16:BF16" si="24">SUM(AU9:AU14)+AU6</f>
        <v>20013.439999999999</v>
      </c>
      <c r="AV16" s="172">
        <f>SUM(AV9:AV14)+AV6</f>
        <v>26949.059999999998</v>
      </c>
      <c r="AW16" s="172">
        <f t="shared" si="24"/>
        <v>315</v>
      </c>
      <c r="AX16" s="172">
        <f t="shared" si="24"/>
        <v>12466.31</v>
      </c>
      <c r="AY16" s="172">
        <f t="shared" si="24"/>
        <v>7989.53</v>
      </c>
      <c r="AZ16" s="172">
        <f t="shared" si="24"/>
        <v>0</v>
      </c>
      <c r="BA16" s="172">
        <f t="shared" si="24"/>
        <v>10410.67</v>
      </c>
      <c r="BB16" s="172">
        <f t="shared" si="24"/>
        <v>11634.21</v>
      </c>
      <c r="BC16" s="172">
        <f t="shared" si="24"/>
        <v>1459.85</v>
      </c>
      <c r="BD16" s="172">
        <f t="shared" si="24"/>
        <v>4927.53</v>
      </c>
      <c r="BE16" s="172">
        <f t="shared" si="24"/>
        <v>182.16000000000003</v>
      </c>
      <c r="BF16" s="172">
        <f t="shared" si="24"/>
        <v>24335.96</v>
      </c>
      <c r="BG16" s="216">
        <f>SUM(BG9:BG14)+BG6</f>
        <v>120683.72</v>
      </c>
      <c r="BH16" s="221"/>
      <c r="BJ16" s="215">
        <f>SUM(BJ9:BJ15)+BJ6</f>
        <v>8092.83</v>
      </c>
      <c r="BK16" s="172">
        <f>SUM(BK9:BK15)+BK6</f>
        <v>29566.61</v>
      </c>
      <c r="BL16" s="172">
        <f t="shared" ref="BL16:BU16" si="25">SUM(BL9:BL15)+BL6</f>
        <v>35506.83</v>
      </c>
      <c r="BM16" s="172">
        <f t="shared" si="25"/>
        <v>5514.23</v>
      </c>
      <c r="BN16" s="172">
        <f t="shared" si="25"/>
        <v>8798.9</v>
      </c>
      <c r="BO16" s="172">
        <f t="shared" si="25"/>
        <v>0</v>
      </c>
      <c r="BP16" s="172">
        <f t="shared" si="25"/>
        <v>7620.43</v>
      </c>
      <c r="BQ16" s="172">
        <f t="shared" si="25"/>
        <v>276.39</v>
      </c>
      <c r="BR16" s="172">
        <f t="shared" si="25"/>
        <v>3223.58</v>
      </c>
      <c r="BS16" s="172">
        <f t="shared" si="25"/>
        <v>17620.899999999998</v>
      </c>
      <c r="BT16" s="172">
        <f t="shared" si="25"/>
        <v>31584.009999999995</v>
      </c>
      <c r="BU16" s="172">
        <f t="shared" si="25"/>
        <v>28490.25</v>
      </c>
      <c r="BV16" s="216">
        <f>SUM(BV9:BV15)+BV6</f>
        <v>176294.96</v>
      </c>
      <c r="BY16" s="220">
        <f t="shared" ref="BY16:CK16" si="26">SUM(BY9:BY14)+BY6</f>
        <v>5927.4999999999991</v>
      </c>
      <c r="BZ16" s="177">
        <f t="shared" si="26"/>
        <v>36282.5</v>
      </c>
      <c r="CA16" s="177">
        <f t="shared" si="26"/>
        <v>21096.999999999996</v>
      </c>
      <c r="CB16" s="177">
        <f t="shared" si="26"/>
        <v>31411.5</v>
      </c>
      <c r="CC16" s="177">
        <f t="shared" si="26"/>
        <v>1185.4999999999998</v>
      </c>
      <c r="CD16" s="177">
        <f t="shared" si="26"/>
        <v>5927.4999999999991</v>
      </c>
      <c r="CE16" s="177">
        <f t="shared" si="26"/>
        <v>4741.9999999999991</v>
      </c>
      <c r="CF16" s="177">
        <f t="shared" si="26"/>
        <v>2370.9999999999995</v>
      </c>
      <c r="CG16" s="177">
        <f t="shared" si="26"/>
        <v>18967.999999999996</v>
      </c>
      <c r="CH16" s="177">
        <f t="shared" si="26"/>
        <v>14225.999999999998</v>
      </c>
      <c r="CI16" s="177">
        <f t="shared" si="26"/>
        <v>29874.599999999995</v>
      </c>
      <c r="CJ16" s="177">
        <f t="shared" si="26"/>
        <v>35517.58</v>
      </c>
      <c r="CK16" s="216">
        <f t="shared" si="26"/>
        <v>207530.68</v>
      </c>
      <c r="CN16" s="220">
        <f t="shared" ref="CN16:CZ16" si="27">SUM(CN9:CN14)+CN6</f>
        <v>29722.333333333336</v>
      </c>
      <c r="CO16" s="177">
        <f t="shared" si="27"/>
        <v>54082.250000000007</v>
      </c>
      <c r="CP16" s="177">
        <f t="shared" si="27"/>
        <v>34780.679999999993</v>
      </c>
      <c r="CQ16" s="177">
        <f t="shared" si="27"/>
        <v>23570.17</v>
      </c>
      <c r="CR16" s="177">
        <f t="shared" si="27"/>
        <v>5046.78</v>
      </c>
      <c r="CS16" s="177">
        <f t="shared" si="27"/>
        <v>7353.3238636363631</v>
      </c>
      <c r="CT16" s="177">
        <f t="shared" si="27"/>
        <v>5563.2000000000007</v>
      </c>
      <c r="CU16" s="177">
        <f t="shared" si="27"/>
        <v>2952.6000000000004</v>
      </c>
      <c r="CV16" s="177">
        <f t="shared" si="27"/>
        <v>23894.400000000001</v>
      </c>
      <c r="CW16" s="177">
        <f t="shared" si="27"/>
        <v>16449.043478260872</v>
      </c>
      <c r="CX16" s="177">
        <f t="shared" si="27"/>
        <v>34049.519999999997</v>
      </c>
      <c r="CY16" s="177">
        <f t="shared" si="27"/>
        <v>39724.44000000001</v>
      </c>
      <c r="CZ16" s="216">
        <f t="shared" si="27"/>
        <v>277188.74067523057</v>
      </c>
      <c r="DB16" s="219"/>
      <c r="DC16" s="222"/>
    </row>
    <row r="17" spans="2:107" ht="15" customHeight="1">
      <c r="B17" s="180" t="s">
        <v>31</v>
      </c>
      <c r="C17" s="146"/>
      <c r="D17" s="146"/>
      <c r="E17" s="146"/>
      <c r="F17" s="146"/>
      <c r="G17" s="146"/>
      <c r="H17" s="146"/>
      <c r="I17" s="146"/>
      <c r="J17" s="146"/>
      <c r="K17" s="146"/>
      <c r="L17" s="146"/>
      <c r="M17" s="146"/>
      <c r="N17" s="146"/>
      <c r="O17" s="183">
        <f>O16-SUM(C16:N16)</f>
        <v>0</v>
      </c>
      <c r="P17" s="146"/>
      <c r="Q17" s="146"/>
      <c r="R17" s="146"/>
      <c r="S17" s="146"/>
      <c r="T17" s="146"/>
      <c r="U17" s="146"/>
      <c r="V17" s="146"/>
      <c r="W17" s="146"/>
      <c r="X17" s="146"/>
      <c r="Y17" s="146"/>
      <c r="Z17" s="146"/>
      <c r="AA17" s="146"/>
      <c r="AB17" s="183">
        <f>AB16-SUM(P16:AA16)</f>
        <v>0</v>
      </c>
      <c r="AE17" s="146"/>
      <c r="AF17" s="146"/>
      <c r="AG17" s="146"/>
      <c r="AH17" s="146"/>
      <c r="AI17" s="146"/>
      <c r="AJ17" s="146"/>
      <c r="AK17" s="146"/>
      <c r="AL17" s="146"/>
      <c r="AM17" s="146"/>
      <c r="AN17" s="146"/>
      <c r="AO17" s="146"/>
      <c r="AP17" s="146"/>
      <c r="AQ17" s="183">
        <f>AQ16-SUM(AE16:AP16)</f>
        <v>0</v>
      </c>
      <c r="AU17" s="146"/>
      <c r="AV17" s="146"/>
      <c r="AW17" s="146"/>
      <c r="AX17" s="146"/>
      <c r="AY17" s="146"/>
      <c r="AZ17" s="146"/>
      <c r="BA17" s="146"/>
      <c r="BB17" s="146"/>
      <c r="BC17" s="146"/>
      <c r="BD17" s="146"/>
      <c r="BE17" s="146"/>
      <c r="BF17" s="146"/>
      <c r="BG17" s="183">
        <f>BG16-SUM(AU16:BF16)</f>
        <v>0</v>
      </c>
      <c r="BH17" s="189"/>
      <c r="BJ17" s="146"/>
      <c r="BK17" s="146"/>
      <c r="BL17" s="146"/>
      <c r="BM17" s="146"/>
      <c r="BN17" s="146"/>
      <c r="BO17" s="146"/>
      <c r="BP17" s="146"/>
      <c r="BQ17" s="146"/>
      <c r="BR17" s="146"/>
      <c r="BS17" s="160"/>
      <c r="BT17" s="160"/>
      <c r="BU17" s="160"/>
      <c r="BV17" s="183">
        <f>BV16-SUM(BJ16:BU16)</f>
        <v>0</v>
      </c>
      <c r="BY17" s="160"/>
      <c r="BZ17" s="160"/>
      <c r="CA17" s="160"/>
      <c r="CB17" s="160"/>
      <c r="CC17" s="160"/>
      <c r="CD17" s="160"/>
      <c r="CE17" s="160"/>
      <c r="CF17" s="160"/>
      <c r="CG17" s="160"/>
      <c r="CH17" s="160"/>
      <c r="CI17" s="160"/>
      <c r="CJ17" s="160"/>
      <c r="CK17" s="183">
        <f>CK16-SUM(BY16:CJ16)</f>
        <v>0</v>
      </c>
      <c r="CN17" s="160"/>
      <c r="CO17" s="160"/>
      <c r="CP17" s="160"/>
      <c r="CQ17" s="160"/>
      <c r="CR17" s="160"/>
      <c r="CS17" s="160"/>
      <c r="CT17" s="160"/>
      <c r="CU17" s="160"/>
      <c r="CV17" s="160"/>
      <c r="CW17" s="160"/>
      <c r="CX17" s="160"/>
      <c r="CY17" s="160"/>
      <c r="CZ17" s="183">
        <f>CZ16-SUM(CN16:CY16)</f>
        <v>0</v>
      </c>
      <c r="DB17" s="142"/>
      <c r="DC17" s="143"/>
    </row>
    <row r="18" spans="2:107">
      <c r="B18" s="130" t="s">
        <v>57</v>
      </c>
      <c r="C18" s="164"/>
      <c r="D18" s="164"/>
      <c r="E18" s="164"/>
      <c r="F18" s="164"/>
      <c r="G18" s="164"/>
      <c r="H18" s="164"/>
      <c r="I18" s="164"/>
      <c r="J18" s="164"/>
      <c r="K18" s="164"/>
      <c r="L18" s="164"/>
      <c r="M18" s="164"/>
      <c r="N18" s="164"/>
      <c r="O18" s="223"/>
      <c r="P18" s="164"/>
      <c r="Q18" s="164"/>
      <c r="R18" s="164"/>
      <c r="S18" s="164"/>
      <c r="T18" s="164"/>
      <c r="U18" s="164"/>
      <c r="V18" s="164"/>
      <c r="W18" s="164"/>
      <c r="X18" s="164"/>
      <c r="Y18" s="164"/>
      <c r="Z18" s="164"/>
      <c r="AA18" s="164"/>
      <c r="AB18" s="223"/>
      <c r="AE18" s="164"/>
      <c r="AF18" s="164"/>
      <c r="AG18" s="164"/>
      <c r="AH18" s="164"/>
      <c r="AI18" s="164"/>
      <c r="AJ18" s="164"/>
      <c r="AK18" s="164"/>
      <c r="AL18" s="164"/>
      <c r="AM18" s="164"/>
      <c r="AN18" s="164"/>
      <c r="AO18" s="164"/>
      <c r="AP18" s="164"/>
      <c r="AQ18" s="223"/>
      <c r="AU18" s="164"/>
      <c r="AV18" s="164"/>
      <c r="AW18" s="164"/>
      <c r="AX18" s="164"/>
      <c r="AY18" s="164"/>
      <c r="AZ18" s="164"/>
      <c r="BA18" s="164"/>
      <c r="BB18" s="164"/>
      <c r="BC18" s="164"/>
      <c r="BD18" s="164"/>
      <c r="BE18" s="164"/>
      <c r="BF18" s="164"/>
      <c r="BG18" s="223"/>
      <c r="BH18" s="224"/>
      <c r="BJ18" s="164"/>
      <c r="BK18" s="164"/>
      <c r="BL18" s="164"/>
      <c r="BM18" s="164"/>
      <c r="BN18" s="164"/>
      <c r="BO18" s="164"/>
      <c r="BP18" s="164"/>
      <c r="BQ18" s="164"/>
      <c r="BR18" s="164"/>
      <c r="BS18" s="166"/>
      <c r="BT18" s="166"/>
      <c r="BU18" s="166"/>
      <c r="BV18" s="223"/>
      <c r="BY18" s="166"/>
      <c r="BZ18" s="166"/>
      <c r="CA18" s="166"/>
      <c r="CB18" s="166"/>
      <c r="CC18" s="166"/>
      <c r="CD18" s="166"/>
      <c r="CE18" s="166"/>
      <c r="CF18" s="166"/>
      <c r="CG18" s="166"/>
      <c r="CH18" s="166"/>
      <c r="CI18" s="166"/>
      <c r="CJ18" s="166"/>
      <c r="CK18" s="223"/>
      <c r="CN18" s="166"/>
      <c r="CO18" s="166"/>
      <c r="CP18" s="166"/>
      <c r="CQ18" s="166"/>
      <c r="CR18" s="166"/>
      <c r="CS18" s="166"/>
      <c r="CT18" s="166"/>
      <c r="CU18" s="166"/>
      <c r="CV18" s="166"/>
      <c r="CW18" s="166"/>
      <c r="CX18" s="166"/>
      <c r="CY18" s="166"/>
      <c r="CZ18" s="223"/>
      <c r="DB18" s="142"/>
      <c r="DC18" s="143"/>
    </row>
    <row r="19" spans="2:107">
      <c r="B19" s="143" t="s">
        <v>58</v>
      </c>
      <c r="C19" s="203"/>
      <c r="D19" s="146"/>
      <c r="E19" s="146"/>
      <c r="F19" s="146"/>
      <c r="G19" s="146"/>
      <c r="H19" s="146"/>
      <c r="I19" s="146"/>
      <c r="J19" s="146"/>
      <c r="K19" s="146"/>
      <c r="L19" s="146"/>
      <c r="M19" s="146"/>
      <c r="N19" s="146"/>
      <c r="O19" s="148">
        <f t="shared" ref="O19:O28" si="28">SUM(C19:N19)</f>
        <v>0</v>
      </c>
      <c r="P19" s="225"/>
      <c r="Q19" s="147"/>
      <c r="R19" s="147"/>
      <c r="S19" s="147"/>
      <c r="T19" s="147"/>
      <c r="U19" s="147"/>
      <c r="V19" s="147"/>
      <c r="W19" s="147"/>
      <c r="X19" s="147"/>
      <c r="Y19" s="147"/>
      <c r="Z19" s="147"/>
      <c r="AA19" s="147"/>
      <c r="AB19" s="148">
        <f t="shared" ref="AB19:AB32" si="29">SUM(P19:AA19)</f>
        <v>0</v>
      </c>
      <c r="AE19" s="206"/>
      <c r="AF19" s="146"/>
      <c r="AG19" s="146"/>
      <c r="AH19" s="146"/>
      <c r="AI19" s="146"/>
      <c r="AJ19" s="146"/>
      <c r="AK19" s="146"/>
      <c r="AL19" s="146"/>
      <c r="AM19" s="146"/>
      <c r="AN19" s="146"/>
      <c r="AO19" s="146"/>
      <c r="AP19" s="146"/>
      <c r="AQ19" s="148">
        <f t="shared" ref="AQ19:AQ32" si="30">SUM(AE19:AP19)</f>
        <v>0</v>
      </c>
      <c r="AU19" s="246"/>
      <c r="AV19" s="146"/>
      <c r="AW19" s="146"/>
      <c r="AX19" s="146"/>
      <c r="AY19" s="146"/>
      <c r="AZ19" s="146"/>
      <c r="BA19" s="146"/>
      <c r="BB19" s="146"/>
      <c r="BC19" s="146"/>
      <c r="BD19" s="146"/>
      <c r="BE19" s="146"/>
      <c r="BF19" s="146"/>
      <c r="BG19" s="148">
        <f t="shared" ref="BG19:BG32" si="31">SUM(AU19:BF19)</f>
        <v>0</v>
      </c>
      <c r="BH19" s="160"/>
      <c r="BJ19" s="246"/>
      <c r="BK19" s="146"/>
      <c r="BL19" s="146"/>
      <c r="BM19" s="146"/>
      <c r="BN19" s="146"/>
      <c r="BO19" s="146"/>
      <c r="BP19" s="146"/>
      <c r="BQ19" s="146"/>
      <c r="BR19" s="146"/>
      <c r="BS19" s="160"/>
      <c r="BT19" s="160"/>
      <c r="BU19" s="160"/>
      <c r="BV19" s="148">
        <f t="shared" ref="BV19:BV32" si="32">SUM(BJ19:BU19)</f>
        <v>0</v>
      </c>
      <c r="BY19" s="226"/>
      <c r="BZ19" s="160"/>
      <c r="CA19" s="160"/>
      <c r="CB19" s="160"/>
      <c r="CC19" s="160"/>
      <c r="CD19" s="160"/>
      <c r="CE19" s="160"/>
      <c r="CF19" s="160"/>
      <c r="CG19" s="160"/>
      <c r="CH19" s="160"/>
      <c r="CI19" s="160"/>
      <c r="CJ19" s="160"/>
      <c r="CK19" s="148">
        <f t="shared" ref="CK19:CK32" si="33">SUM(BY19:CJ19)</f>
        <v>0</v>
      </c>
      <c r="CN19" s="226"/>
      <c r="CO19" s="160"/>
      <c r="CP19" s="160"/>
      <c r="CQ19" s="160"/>
      <c r="CR19" s="160"/>
      <c r="CS19" s="160"/>
      <c r="CT19" s="160"/>
      <c r="CU19" s="160"/>
      <c r="CV19" s="160"/>
      <c r="CW19" s="160"/>
      <c r="CX19" s="160"/>
      <c r="CY19" s="160"/>
      <c r="CZ19" s="148">
        <f t="shared" ref="CZ19:CZ32" si="34">SUM(CN19:CY19)</f>
        <v>0</v>
      </c>
      <c r="DB19" s="142"/>
      <c r="DC19" s="143"/>
    </row>
    <row r="20" spans="2:107">
      <c r="B20" s="143" t="s">
        <v>59</v>
      </c>
      <c r="C20" s="212"/>
      <c r="D20" s="203"/>
      <c r="E20" s="140"/>
      <c r="F20" s="227"/>
      <c r="G20" s="203"/>
      <c r="H20" s="144"/>
      <c r="I20" s="144"/>
      <c r="J20" s="144"/>
      <c r="K20" s="144"/>
      <c r="L20" s="203"/>
      <c r="M20" s="146"/>
      <c r="N20" s="146"/>
      <c r="O20" s="148">
        <f t="shared" si="28"/>
        <v>0</v>
      </c>
      <c r="P20" s="225"/>
      <c r="Q20" s="147"/>
      <c r="R20" s="147"/>
      <c r="S20" s="147"/>
      <c r="T20" s="147"/>
      <c r="U20" s="147"/>
      <c r="V20" s="147"/>
      <c r="W20" s="147"/>
      <c r="X20" s="147"/>
      <c r="Y20" s="147"/>
      <c r="Z20" s="147"/>
      <c r="AA20" s="147"/>
      <c r="AB20" s="148">
        <f t="shared" si="29"/>
        <v>0</v>
      </c>
      <c r="AE20" s="206"/>
      <c r="AF20" s="147"/>
      <c r="AG20" s="144">
        <f>20.37+32.39+108.93+2148.89</f>
        <v>2310.58</v>
      </c>
      <c r="AH20" s="144">
        <f>126.5+292.6+0.7+371.8+0.7+43.76</f>
        <v>836.06000000000006</v>
      </c>
      <c r="AI20" s="144">
        <f>1490.3+72.2</f>
        <v>1562.5</v>
      </c>
      <c r="AJ20" s="144">
        <f>16.5</f>
        <v>16.5</v>
      </c>
      <c r="AK20" s="211"/>
      <c r="AL20" s="144">
        <f>590+165+163.32+60.5+101.48+49.5</f>
        <v>1129.8</v>
      </c>
      <c r="AM20" s="144">
        <f>282.72+186*1.1+154.01</f>
        <v>641.33000000000004</v>
      </c>
      <c r="AN20" s="144">
        <f>152.86+413.17+27.23</f>
        <v>593.26</v>
      </c>
      <c r="AO20" s="144">
        <f>181.5+165.54+(134.2+134.2)+898.3</f>
        <v>1513.7399999999998</v>
      </c>
      <c r="AP20" s="144">
        <f>272+100.79+14.76</f>
        <v>387.55</v>
      </c>
      <c r="AQ20" s="148">
        <f>SUM(AE20:AP20)</f>
        <v>8991.32</v>
      </c>
      <c r="AU20" s="294">
        <f>388+7.82+90.26+137.78+21.78+60</f>
        <v>705.64</v>
      </c>
      <c r="AV20" s="144">
        <f>587.4+1275.54+5.01</f>
        <v>1867.95</v>
      </c>
      <c r="AW20" s="144">
        <f>5.6+101.6+184.84+17.67</f>
        <v>309.70999999999998</v>
      </c>
      <c r="AX20" s="144">
        <f>280.24+848.47+59.4+22+162.8+64.68+101.6+46.46</f>
        <v>1585.65</v>
      </c>
      <c r="AY20" s="144">
        <f>68.2+32.87</f>
        <v>101.07</v>
      </c>
      <c r="AZ20" s="147"/>
      <c r="BA20" s="144">
        <v>175.23</v>
      </c>
      <c r="BB20" s="144">
        <f>206*0+744.52+134.2+98.53+66+147.13+46.46</f>
        <v>1236.8400000000001</v>
      </c>
      <c r="BC20" s="144">
        <f>296*0+91.78+156.2+81.08+24.71+101.6+3.74</f>
        <v>459.11</v>
      </c>
      <c r="BD20" s="144">
        <f>217.33+149.05+94.6+457.47</f>
        <v>918.45</v>
      </c>
      <c r="BE20" s="144">
        <f>293.3+225.72+89.18+2.53+9.08+194.48+10.1+181.5</f>
        <v>1005.8900000000001</v>
      </c>
      <c r="BF20" s="144">
        <f>1366.95+170.49+138.6+71.5+217.29+183.21+124.18+119.94+30.01</f>
        <v>2422.17</v>
      </c>
      <c r="BG20" s="148">
        <f t="shared" si="31"/>
        <v>10787.71</v>
      </c>
      <c r="BH20" s="160"/>
      <c r="BJ20" s="294">
        <v>8.93</v>
      </c>
      <c r="BK20" s="144">
        <f>791.78+75.63+10.1+18.22</f>
        <v>895.73</v>
      </c>
      <c r="BL20" s="144">
        <f>281.65+1550.38+50.58+56.75</f>
        <v>1939.3600000000001</v>
      </c>
      <c r="BM20" s="144">
        <f>539.66</f>
        <v>539.66</v>
      </c>
      <c r="BN20" s="203">
        <f>920.08</f>
        <v>920.08</v>
      </c>
      <c r="BO20" s="211"/>
      <c r="BP20" s="144">
        <f>564.5+215.52+33+121</f>
        <v>934.02</v>
      </c>
      <c r="BQ20" s="144">
        <f>358.05+82.5+118.55+11.06</f>
        <v>570.16</v>
      </c>
      <c r="BR20" s="144">
        <f>187+50.58+178+181.5+280.34-707</f>
        <v>170.41999999999985</v>
      </c>
      <c r="BS20" s="230">
        <f>2546.12+416.86+51.63+48.2+9.81+105.61+5.2</f>
        <v>3183.43</v>
      </c>
      <c r="BT20" s="169">
        <f t="shared" ref="BT20:BU20" si="35">6000/10</f>
        <v>600</v>
      </c>
      <c r="BU20" s="169">
        <f t="shared" si="35"/>
        <v>600</v>
      </c>
      <c r="BV20" s="148">
        <f t="shared" si="32"/>
        <v>10361.790000000001</v>
      </c>
      <c r="BY20" s="228">
        <f t="shared" ref="BY20:CJ20" si="36">6000/10</f>
        <v>600</v>
      </c>
      <c r="BZ20" s="169">
        <f t="shared" si="36"/>
        <v>600</v>
      </c>
      <c r="CA20" s="169">
        <f t="shared" si="36"/>
        <v>600</v>
      </c>
      <c r="CB20" s="169">
        <f t="shared" si="36"/>
        <v>600</v>
      </c>
      <c r="CC20" s="169">
        <f t="shared" si="36"/>
        <v>600</v>
      </c>
      <c r="CD20" s="169">
        <f t="shared" si="36"/>
        <v>600</v>
      </c>
      <c r="CE20" s="169">
        <f t="shared" si="36"/>
        <v>600</v>
      </c>
      <c r="CF20" s="169">
        <f t="shared" si="36"/>
        <v>600</v>
      </c>
      <c r="CG20" s="169">
        <f t="shared" si="36"/>
        <v>600</v>
      </c>
      <c r="CH20" s="169">
        <f t="shared" si="36"/>
        <v>600</v>
      </c>
      <c r="CI20" s="169">
        <f t="shared" si="36"/>
        <v>600</v>
      </c>
      <c r="CJ20" s="169">
        <f t="shared" si="36"/>
        <v>600</v>
      </c>
      <c r="CK20" s="148">
        <f t="shared" si="33"/>
        <v>7200</v>
      </c>
      <c r="CN20" s="228">
        <f t="shared" ref="CN20:CY20" si="37">6000/10</f>
        <v>600</v>
      </c>
      <c r="CO20" s="169">
        <f t="shared" si="37"/>
        <v>600</v>
      </c>
      <c r="CP20" s="169">
        <f t="shared" si="37"/>
        <v>600</v>
      </c>
      <c r="CQ20" s="169">
        <f t="shared" si="37"/>
        <v>600</v>
      </c>
      <c r="CR20" s="169">
        <f t="shared" si="37"/>
        <v>600</v>
      </c>
      <c r="CS20" s="169">
        <f t="shared" si="37"/>
        <v>600</v>
      </c>
      <c r="CT20" s="169">
        <f t="shared" si="37"/>
        <v>600</v>
      </c>
      <c r="CU20" s="169">
        <f t="shared" si="37"/>
        <v>600</v>
      </c>
      <c r="CV20" s="169">
        <f t="shared" si="37"/>
        <v>600</v>
      </c>
      <c r="CW20" s="169">
        <f t="shared" si="37"/>
        <v>600</v>
      </c>
      <c r="CX20" s="169">
        <f t="shared" si="37"/>
        <v>600</v>
      </c>
      <c r="CY20" s="169">
        <f t="shared" si="37"/>
        <v>600</v>
      </c>
      <c r="CZ20" s="148">
        <f t="shared" si="34"/>
        <v>7200</v>
      </c>
      <c r="DB20" s="142"/>
      <c r="DC20" s="143"/>
    </row>
    <row r="21" spans="2:107">
      <c r="B21" s="143" t="s">
        <v>60</v>
      </c>
      <c r="C21" s="140"/>
      <c r="D21" s="203"/>
      <c r="E21" s="211"/>
      <c r="F21" s="212"/>
      <c r="G21" s="140"/>
      <c r="H21" s="140"/>
      <c r="I21" s="140"/>
      <c r="J21" s="140"/>
      <c r="K21" s="140"/>
      <c r="L21" s="140"/>
      <c r="M21" s="147"/>
      <c r="N21" s="146"/>
      <c r="O21" s="148">
        <f t="shared" si="28"/>
        <v>0</v>
      </c>
      <c r="P21" s="225"/>
      <c r="Q21" s="147"/>
      <c r="R21" s="147"/>
      <c r="S21" s="147"/>
      <c r="T21" s="147"/>
      <c r="U21" s="147"/>
      <c r="V21" s="147"/>
      <c r="W21" s="147"/>
      <c r="X21" s="147"/>
      <c r="Y21" s="147"/>
      <c r="Z21" s="147"/>
      <c r="AA21" s="147"/>
      <c r="AB21" s="148">
        <f t="shared" si="29"/>
        <v>0</v>
      </c>
      <c r="AE21" s="206"/>
      <c r="AF21" s="147"/>
      <c r="AG21" s="147"/>
      <c r="AH21" s="147"/>
      <c r="AI21" s="144">
        <f>761.16*1.21</f>
        <v>921.00359999999989</v>
      </c>
      <c r="AJ21" s="147"/>
      <c r="AK21" s="147"/>
      <c r="AL21" s="147"/>
      <c r="AM21" s="146"/>
      <c r="AN21" s="146"/>
      <c r="AO21" s="146"/>
      <c r="AP21" s="146"/>
      <c r="AQ21" s="148">
        <f t="shared" si="30"/>
        <v>921.00359999999989</v>
      </c>
      <c r="AU21" s="225"/>
      <c r="AV21" s="147"/>
      <c r="AW21" s="147"/>
      <c r="AX21" s="147"/>
      <c r="AY21" s="144">
        <f>976.18</f>
        <v>976.18</v>
      </c>
      <c r="AZ21" s="147"/>
      <c r="BA21" s="147"/>
      <c r="BB21" s="147"/>
      <c r="BC21" s="146"/>
      <c r="BD21" s="146"/>
      <c r="BE21" s="146"/>
      <c r="BF21" s="147"/>
      <c r="BG21" s="148">
        <f t="shared" si="31"/>
        <v>976.18</v>
      </c>
      <c r="BH21" s="160"/>
      <c r="BJ21" s="246"/>
      <c r="BK21" s="147"/>
      <c r="BL21" s="147"/>
      <c r="BM21" s="203">
        <v>1046.8900000000001</v>
      </c>
      <c r="BN21" s="147"/>
      <c r="BO21" s="147"/>
      <c r="BP21" s="147"/>
      <c r="BQ21" s="147"/>
      <c r="BR21" s="146"/>
      <c r="BS21" s="160"/>
      <c r="BT21" s="160"/>
      <c r="BU21" s="160"/>
      <c r="BV21" s="148">
        <f t="shared" si="32"/>
        <v>1046.8900000000001</v>
      </c>
      <c r="BY21" s="226"/>
      <c r="BZ21" s="169"/>
      <c r="CA21" s="169"/>
      <c r="CB21" s="169"/>
      <c r="CC21" s="169">
        <v>976.18</v>
      </c>
      <c r="CD21" s="169"/>
      <c r="CE21" s="169"/>
      <c r="CF21" s="169"/>
      <c r="CG21" s="160"/>
      <c r="CH21" s="160"/>
      <c r="CI21" s="160"/>
      <c r="CJ21" s="160"/>
      <c r="CK21" s="148">
        <f t="shared" si="33"/>
        <v>976.18</v>
      </c>
      <c r="CN21" s="226"/>
      <c r="CO21" s="169"/>
      <c r="CP21" s="169"/>
      <c r="CQ21" s="169"/>
      <c r="CR21" s="169">
        <v>976.18</v>
      </c>
      <c r="CS21" s="169"/>
      <c r="CT21" s="169"/>
      <c r="CU21" s="169"/>
      <c r="CV21" s="160"/>
      <c r="CW21" s="160"/>
      <c r="CX21" s="160"/>
      <c r="CY21" s="160"/>
      <c r="CZ21" s="148">
        <f t="shared" si="34"/>
        <v>976.18</v>
      </c>
      <c r="DB21" s="142"/>
      <c r="DC21" s="143"/>
    </row>
    <row r="22" spans="2:107">
      <c r="B22" s="143" t="s">
        <v>61</v>
      </c>
      <c r="C22" s="203"/>
      <c r="D22" s="146"/>
      <c r="E22" s="203"/>
      <c r="F22" s="147"/>
      <c r="G22" s="140"/>
      <c r="H22" s="140"/>
      <c r="I22" s="140"/>
      <c r="J22" s="147"/>
      <c r="K22" s="140"/>
      <c r="L22" s="140"/>
      <c r="M22" s="144"/>
      <c r="N22" s="147"/>
      <c r="O22" s="148">
        <f t="shared" si="28"/>
        <v>0</v>
      </c>
      <c r="P22" s="225"/>
      <c r="Q22" s="147"/>
      <c r="R22" s="147"/>
      <c r="S22" s="147"/>
      <c r="T22" s="147"/>
      <c r="U22" s="147"/>
      <c r="V22" s="147"/>
      <c r="W22" s="147"/>
      <c r="X22" s="147"/>
      <c r="Y22" s="147"/>
      <c r="Z22" s="147"/>
      <c r="AA22" s="147"/>
      <c r="AB22" s="148">
        <f t="shared" si="29"/>
        <v>0</v>
      </c>
      <c r="AE22" s="206"/>
      <c r="AF22" s="147"/>
      <c r="AG22" s="147"/>
      <c r="AH22" s="147"/>
      <c r="AI22" s="147"/>
      <c r="AJ22" s="147"/>
      <c r="AK22" s="147"/>
      <c r="AL22" s="147"/>
      <c r="AM22" s="140"/>
      <c r="AN22" s="147"/>
      <c r="AO22" s="147"/>
      <c r="AP22" s="147"/>
      <c r="AQ22" s="148">
        <f t="shared" si="30"/>
        <v>0</v>
      </c>
      <c r="AU22" s="246"/>
      <c r="AV22" s="147"/>
      <c r="AW22" s="147"/>
      <c r="AX22" s="147"/>
      <c r="AY22" s="147"/>
      <c r="AZ22" s="147"/>
      <c r="BA22" s="147"/>
      <c r="BB22" s="147"/>
      <c r="BC22" s="147"/>
      <c r="BD22" s="147"/>
      <c r="BE22" s="147"/>
      <c r="BF22" s="147"/>
      <c r="BG22" s="148">
        <f t="shared" si="31"/>
        <v>0</v>
      </c>
      <c r="BH22" s="160"/>
      <c r="BJ22" s="246"/>
      <c r="BK22" s="147"/>
      <c r="BL22" s="147"/>
      <c r="BM22" s="147"/>
      <c r="BN22" s="147"/>
      <c r="BO22" s="147"/>
      <c r="BP22" s="147"/>
      <c r="BQ22" s="147"/>
      <c r="BR22" s="147"/>
      <c r="BS22" s="169"/>
      <c r="BT22" s="169">
        <v>350</v>
      </c>
      <c r="BU22" s="169"/>
      <c r="BV22" s="148">
        <f t="shared" si="32"/>
        <v>350</v>
      </c>
      <c r="BY22" s="226"/>
      <c r="BZ22" s="169"/>
      <c r="CA22" s="169"/>
      <c r="CB22" s="169"/>
      <c r="CC22" s="169"/>
      <c r="CD22" s="169"/>
      <c r="CE22" s="169">
        <v>350</v>
      </c>
      <c r="CF22" s="169"/>
      <c r="CG22" s="169"/>
      <c r="CH22" s="169"/>
      <c r="CI22" s="169"/>
      <c r="CJ22" s="169"/>
      <c r="CK22" s="148">
        <f t="shared" si="33"/>
        <v>350</v>
      </c>
      <c r="CN22" s="226"/>
      <c r="CO22" s="169"/>
      <c r="CP22" s="169"/>
      <c r="CQ22" s="169"/>
      <c r="CR22" s="169"/>
      <c r="CS22" s="169"/>
      <c r="CT22" s="169">
        <v>350</v>
      </c>
      <c r="CU22" s="169"/>
      <c r="CV22" s="169"/>
      <c r="CW22" s="169"/>
      <c r="CX22" s="169"/>
      <c r="CY22" s="169"/>
      <c r="CZ22" s="148">
        <f t="shared" si="34"/>
        <v>350</v>
      </c>
      <c r="DB22" s="142"/>
      <c r="DC22" s="143"/>
    </row>
    <row r="23" spans="2:107">
      <c r="B23" s="143" t="s">
        <v>62</v>
      </c>
      <c r="C23" s="212"/>
      <c r="D23" s="140"/>
      <c r="E23" s="203"/>
      <c r="F23" s="144"/>
      <c r="G23" s="147"/>
      <c r="H23" s="147"/>
      <c r="I23" s="147"/>
      <c r="J23" s="140"/>
      <c r="K23" s="144"/>
      <c r="L23" s="144"/>
      <c r="M23" s="146"/>
      <c r="N23" s="205"/>
      <c r="O23" s="148">
        <f t="shared" si="28"/>
        <v>0</v>
      </c>
      <c r="P23" s="225"/>
      <c r="Q23" s="147"/>
      <c r="R23" s="147"/>
      <c r="S23" s="147"/>
      <c r="T23" s="147"/>
      <c r="U23" s="147"/>
      <c r="V23" s="147"/>
      <c r="W23" s="147"/>
      <c r="X23" s="147"/>
      <c r="Y23" s="147"/>
      <c r="Z23" s="147"/>
      <c r="AA23" s="229"/>
      <c r="AB23" s="148">
        <f t="shared" si="29"/>
        <v>0</v>
      </c>
      <c r="AE23" s="206"/>
      <c r="AF23" s="147"/>
      <c r="AG23" s="147"/>
      <c r="AH23" s="147"/>
      <c r="AI23" s="147"/>
      <c r="AJ23" s="140"/>
      <c r="AK23" s="147"/>
      <c r="AL23" s="147"/>
      <c r="AM23" s="140"/>
      <c r="AN23" s="147"/>
      <c r="AO23" s="147"/>
      <c r="AP23" s="147"/>
      <c r="AQ23" s="148">
        <f t="shared" si="30"/>
        <v>0</v>
      </c>
      <c r="AU23" s="246"/>
      <c r="AV23" s="147"/>
      <c r="AW23" s="211"/>
      <c r="AX23" s="140"/>
      <c r="AY23" s="144">
        <f>146.08+152.86</f>
        <v>298.94000000000005</v>
      </c>
      <c r="AZ23" s="144">
        <f>160.56+139.3</f>
        <v>299.86</v>
      </c>
      <c r="BA23" s="147"/>
      <c r="BB23" s="147"/>
      <c r="BC23" s="144">
        <f>56.45+157.78</f>
        <v>214.23000000000002</v>
      </c>
      <c r="BD23" s="147"/>
      <c r="BE23" s="147"/>
      <c r="BF23" s="325">
        <v>70.930000000000007</v>
      </c>
      <c r="BG23" s="148">
        <f t="shared" si="31"/>
        <v>883.96</v>
      </c>
      <c r="BH23" s="160"/>
      <c r="BJ23" s="246"/>
      <c r="BK23" s="147"/>
      <c r="BL23" s="147"/>
      <c r="BM23" s="144">
        <v>149.16</v>
      </c>
      <c r="BN23" s="147"/>
      <c r="BO23" s="144">
        <f>243.1</f>
        <v>243.1</v>
      </c>
      <c r="BP23" s="144">
        <f>144.23+175.34+45.67</f>
        <v>365.24</v>
      </c>
      <c r="BQ23" s="147"/>
      <c r="BR23" s="147"/>
      <c r="BS23" s="169"/>
      <c r="BT23" s="169">
        <v>300</v>
      </c>
      <c r="BU23" s="169">
        <v>200</v>
      </c>
      <c r="BV23" s="148">
        <f t="shared" si="32"/>
        <v>1257.5</v>
      </c>
      <c r="BY23" s="226"/>
      <c r="BZ23" s="169"/>
      <c r="CA23" s="169"/>
      <c r="CB23" s="169">
        <v>300</v>
      </c>
      <c r="CC23" s="169"/>
      <c r="CD23" s="169"/>
      <c r="CE23" s="169"/>
      <c r="CF23" s="169">
        <v>300</v>
      </c>
      <c r="CG23" s="169"/>
      <c r="CH23" s="169"/>
      <c r="CI23" s="169">
        <v>200</v>
      </c>
      <c r="CJ23" s="170"/>
      <c r="CK23" s="148">
        <f t="shared" si="33"/>
        <v>800</v>
      </c>
      <c r="CN23" s="226"/>
      <c r="CO23" s="169"/>
      <c r="CP23" s="169"/>
      <c r="CQ23" s="169">
        <v>300</v>
      </c>
      <c r="CR23" s="169"/>
      <c r="CS23" s="169"/>
      <c r="CT23" s="169"/>
      <c r="CU23" s="169">
        <v>300</v>
      </c>
      <c r="CV23" s="169"/>
      <c r="CW23" s="169"/>
      <c r="CX23" s="169">
        <v>200</v>
      </c>
      <c r="CY23" s="170"/>
      <c r="CZ23" s="148">
        <f t="shared" si="34"/>
        <v>800</v>
      </c>
      <c r="DB23" s="142"/>
      <c r="DC23" s="143"/>
    </row>
    <row r="24" spans="2:107">
      <c r="B24" s="143" t="s">
        <v>63</v>
      </c>
      <c r="C24" s="203"/>
      <c r="D24" s="146"/>
      <c r="E24" s="144"/>
      <c r="F24" s="146"/>
      <c r="G24" s="146"/>
      <c r="H24" s="146"/>
      <c r="I24" s="146"/>
      <c r="J24" s="146"/>
      <c r="K24" s="146"/>
      <c r="L24" s="146"/>
      <c r="M24" s="146"/>
      <c r="N24" s="205"/>
      <c r="O24" s="148">
        <f t="shared" si="28"/>
        <v>0</v>
      </c>
      <c r="P24" s="225"/>
      <c r="Q24" s="147"/>
      <c r="R24" s="147"/>
      <c r="S24" s="147"/>
      <c r="T24" s="147"/>
      <c r="U24" s="147"/>
      <c r="V24" s="147"/>
      <c r="W24" s="147"/>
      <c r="X24" s="147"/>
      <c r="Y24" s="147"/>
      <c r="Z24" s="147"/>
      <c r="AA24" s="229"/>
      <c r="AB24" s="148">
        <f t="shared" si="29"/>
        <v>0</v>
      </c>
      <c r="AE24" s="206"/>
      <c r="AF24" s="147"/>
      <c r="AG24" s="147"/>
      <c r="AH24" s="147"/>
      <c r="AI24" s="144">
        <v>1486.49</v>
      </c>
      <c r="AJ24" s="140"/>
      <c r="AK24" s="211"/>
      <c r="AL24" s="147"/>
      <c r="AM24" s="140"/>
      <c r="AN24" s="147"/>
      <c r="AO24" s="147"/>
      <c r="AP24" s="229"/>
      <c r="AQ24" s="148">
        <f t="shared" si="30"/>
        <v>1486.49</v>
      </c>
      <c r="AU24" s="246"/>
      <c r="AV24" s="147"/>
      <c r="AW24" s="147"/>
      <c r="AX24" s="147"/>
      <c r="AY24" s="140"/>
      <c r="AZ24" s="140"/>
      <c r="BA24" s="144">
        <v>1160.75</v>
      </c>
      <c r="BB24" s="147"/>
      <c r="BC24" s="147"/>
      <c r="BD24" s="147"/>
      <c r="BE24" s="147"/>
      <c r="BF24" s="229"/>
      <c r="BG24" s="148">
        <f t="shared" si="31"/>
        <v>1160.75</v>
      </c>
      <c r="BH24" s="160"/>
      <c r="BJ24" s="225"/>
      <c r="BK24" s="144">
        <v>1400.58</v>
      </c>
      <c r="BL24" s="147"/>
      <c r="BM24" s="147"/>
      <c r="BN24" s="147"/>
      <c r="BO24" s="147"/>
      <c r="BP24" s="147"/>
      <c r="BQ24" s="147"/>
      <c r="BR24" s="147"/>
      <c r="BS24" s="169"/>
      <c r="BT24" s="169"/>
      <c r="BU24" s="170">
        <v>1160</v>
      </c>
      <c r="BV24" s="148">
        <f t="shared" si="32"/>
        <v>2560.58</v>
      </c>
      <c r="BY24" s="226"/>
      <c r="BZ24" s="169"/>
      <c r="CA24" s="169"/>
      <c r="CB24" s="169"/>
      <c r="CC24" s="169"/>
      <c r="CD24" s="169"/>
      <c r="CE24" s="169"/>
      <c r="CF24" s="169"/>
      <c r="CG24" s="169"/>
      <c r="CH24" s="169"/>
      <c r="CI24" s="169"/>
      <c r="CJ24" s="170">
        <v>1160</v>
      </c>
      <c r="CK24" s="148">
        <f t="shared" si="33"/>
        <v>1160</v>
      </c>
      <c r="CN24" s="226"/>
      <c r="CO24" s="169"/>
      <c r="CP24" s="169"/>
      <c r="CQ24" s="169"/>
      <c r="CR24" s="169"/>
      <c r="CS24" s="169"/>
      <c r="CT24" s="169"/>
      <c r="CU24" s="169"/>
      <c r="CV24" s="169"/>
      <c r="CW24" s="169"/>
      <c r="CX24" s="169"/>
      <c r="CY24" s="170">
        <v>1160</v>
      </c>
      <c r="CZ24" s="148">
        <f t="shared" si="34"/>
        <v>1160</v>
      </c>
      <c r="DB24" s="142"/>
      <c r="DC24" s="143"/>
    </row>
    <row r="25" spans="2:107">
      <c r="B25" s="143" t="s">
        <v>64</v>
      </c>
      <c r="C25" s="203"/>
      <c r="D25" s="203"/>
      <c r="E25" s="203"/>
      <c r="F25" s="203"/>
      <c r="G25" s="140"/>
      <c r="H25" s="146"/>
      <c r="I25" s="144"/>
      <c r="J25" s="212"/>
      <c r="K25" s="144"/>
      <c r="L25" s="147"/>
      <c r="M25" s="144"/>
      <c r="N25" s="205"/>
      <c r="O25" s="148">
        <f t="shared" si="28"/>
        <v>0</v>
      </c>
      <c r="P25" s="225"/>
      <c r="Q25" s="147"/>
      <c r="R25" s="147"/>
      <c r="S25" s="147"/>
      <c r="T25" s="147"/>
      <c r="U25" s="147"/>
      <c r="V25" s="147"/>
      <c r="W25" s="147"/>
      <c r="X25" s="147"/>
      <c r="Y25" s="147"/>
      <c r="Z25" s="147"/>
      <c r="AA25" s="229"/>
      <c r="AB25" s="148">
        <f t="shared" si="29"/>
        <v>0</v>
      </c>
      <c r="AE25" s="206"/>
      <c r="AF25" s="144"/>
      <c r="AG25" s="144"/>
      <c r="AH25" s="211"/>
      <c r="AI25" s="144"/>
      <c r="AJ25" s="140"/>
      <c r="AK25" s="147"/>
      <c r="AL25" s="144">
        <v>974.56</v>
      </c>
      <c r="AM25" s="212">
        <v>-3.93</v>
      </c>
      <c r="AN25" s="147"/>
      <c r="AO25" s="144">
        <f>2266.39-672.96</f>
        <v>1593.4299999999998</v>
      </c>
      <c r="AP25" s="325">
        <v>-6.97</v>
      </c>
      <c r="AQ25" s="148">
        <f t="shared" si="30"/>
        <v>2557.09</v>
      </c>
      <c r="AU25" s="246"/>
      <c r="AV25" s="144">
        <f>2012.18-1767.77</f>
        <v>244.41000000000008</v>
      </c>
      <c r="AW25" s="144">
        <f>-1121.6-1306.89</f>
        <v>-2428.4899999999998</v>
      </c>
      <c r="AX25" s="211"/>
      <c r="AY25" s="144">
        <f>-1325.83+2012.87</f>
        <v>687.04</v>
      </c>
      <c r="AZ25" s="144">
        <f>-1452.1-315.87-1452.1-315.67</f>
        <v>-3535.74</v>
      </c>
      <c r="BA25" s="211"/>
      <c r="BB25" s="144">
        <v>8609.32</v>
      </c>
      <c r="BC25" s="144">
        <f>-8609.32+1082.91-476.68</f>
        <v>-8003.09</v>
      </c>
      <c r="BD25" s="144">
        <f>-1578.37</f>
        <v>-1578.37</v>
      </c>
      <c r="BE25" s="144">
        <f>2628.57-536.26</f>
        <v>2092.3100000000004</v>
      </c>
      <c r="BF25" s="229"/>
      <c r="BG25" s="148">
        <f t="shared" si="31"/>
        <v>-3912.6099999999997</v>
      </c>
      <c r="BH25" s="160"/>
      <c r="BJ25" s="246"/>
      <c r="BK25" s="144">
        <f>2628.57</f>
        <v>2628.57</v>
      </c>
      <c r="BL25" s="144"/>
      <c r="BM25" s="144">
        <v>-492.1</v>
      </c>
      <c r="BN25" s="144">
        <f>-1618.25+2629.37</f>
        <v>1011.1199999999999</v>
      </c>
      <c r="BO25" s="144">
        <v>-2145.7800000000002</v>
      </c>
      <c r="BP25" s="144">
        <f>-387.97</f>
        <v>-387.97</v>
      </c>
      <c r="BQ25" s="147"/>
      <c r="BR25" s="147"/>
      <c r="BS25" s="169">
        <v>974.56</v>
      </c>
      <c r="BT25" s="169">
        <f>2361.41</f>
        <v>2361.41</v>
      </c>
      <c r="BU25" s="170"/>
      <c r="BV25" s="148">
        <f t="shared" si="32"/>
        <v>3949.8099999999995</v>
      </c>
      <c r="BY25" s="226"/>
      <c r="BZ25" s="169">
        <f>2361.41</f>
        <v>2361.41</v>
      </c>
      <c r="CA25" s="214"/>
      <c r="CB25" s="230"/>
      <c r="CC25" s="169">
        <f>2361.41</f>
        <v>2361.41</v>
      </c>
      <c r="CD25" s="169"/>
      <c r="CE25" s="169"/>
      <c r="CF25" s="169">
        <v>974.56</v>
      </c>
      <c r="CG25" s="169"/>
      <c r="CH25" s="169"/>
      <c r="CI25" s="169">
        <f>2361.41</f>
        <v>2361.41</v>
      </c>
      <c r="CJ25" s="170"/>
      <c r="CK25" s="148">
        <f t="shared" si="33"/>
        <v>8058.7899999999991</v>
      </c>
      <c r="CN25" s="226"/>
      <c r="CO25" s="169">
        <f>2361.41</f>
        <v>2361.41</v>
      </c>
      <c r="CP25" s="214"/>
      <c r="CQ25" s="230"/>
      <c r="CR25" s="169">
        <f>2361.41</f>
        <v>2361.41</v>
      </c>
      <c r="CS25" s="169"/>
      <c r="CT25" s="169"/>
      <c r="CU25" s="169">
        <v>974.56</v>
      </c>
      <c r="CV25" s="169"/>
      <c r="CW25" s="169"/>
      <c r="CX25" s="169">
        <f>2361.41</f>
        <v>2361.41</v>
      </c>
      <c r="CY25" s="170"/>
      <c r="CZ25" s="148">
        <f t="shared" si="34"/>
        <v>8058.7899999999991</v>
      </c>
      <c r="DB25" s="142"/>
      <c r="DC25" s="143"/>
    </row>
    <row r="26" spans="2:107">
      <c r="B26" s="143" t="s">
        <v>65</v>
      </c>
      <c r="C26" s="203"/>
      <c r="D26" s="203"/>
      <c r="E26" s="203"/>
      <c r="F26" s="203"/>
      <c r="G26" s="140"/>
      <c r="H26" s="146"/>
      <c r="I26" s="144"/>
      <c r="J26" s="212"/>
      <c r="K26" s="144"/>
      <c r="L26" s="147"/>
      <c r="M26" s="144"/>
      <c r="N26" s="205"/>
      <c r="O26" s="148">
        <f t="shared" si="28"/>
        <v>0</v>
      </c>
      <c r="P26" s="225"/>
      <c r="Q26" s="147"/>
      <c r="R26" s="147"/>
      <c r="S26" s="147"/>
      <c r="T26" s="147"/>
      <c r="U26" s="147"/>
      <c r="V26" s="147"/>
      <c r="W26" s="147"/>
      <c r="X26" s="147"/>
      <c r="Y26" s="147"/>
      <c r="Z26" s="147"/>
      <c r="AA26" s="229"/>
      <c r="AB26" s="148">
        <f t="shared" si="29"/>
        <v>0</v>
      </c>
      <c r="AE26" s="206"/>
      <c r="AF26" s="144"/>
      <c r="AG26" s="144"/>
      <c r="AH26" s="211"/>
      <c r="AI26" s="144"/>
      <c r="AJ26" s="140"/>
      <c r="AK26" s="147"/>
      <c r="AL26" s="147"/>
      <c r="AM26" s="140"/>
      <c r="AN26" s="147"/>
      <c r="AO26" s="147"/>
      <c r="AP26" s="229"/>
      <c r="AQ26" s="148">
        <f t="shared" si="30"/>
        <v>0</v>
      </c>
      <c r="AU26" s="246"/>
      <c r="AV26" s="144"/>
      <c r="AW26" s="144"/>
      <c r="AX26" s="211"/>
      <c r="AY26" s="144"/>
      <c r="AZ26" s="147"/>
      <c r="BA26" s="147"/>
      <c r="BB26" s="147"/>
      <c r="BC26" s="147"/>
      <c r="BD26" s="147"/>
      <c r="BE26" s="147"/>
      <c r="BF26" s="229"/>
      <c r="BG26" s="148">
        <f t="shared" si="31"/>
        <v>0</v>
      </c>
      <c r="BH26" s="160"/>
      <c r="BJ26" s="246"/>
      <c r="BK26" s="144"/>
      <c r="BL26" s="144"/>
      <c r="BM26" s="211"/>
      <c r="BN26" s="144"/>
      <c r="BO26" s="147"/>
      <c r="BP26" s="147"/>
      <c r="BQ26" s="147"/>
      <c r="BR26" s="147"/>
      <c r="BS26" s="169"/>
      <c r="BT26" s="169"/>
      <c r="BU26" s="170"/>
      <c r="BV26" s="148">
        <f t="shared" si="32"/>
        <v>0</v>
      </c>
      <c r="BY26" s="226"/>
      <c r="BZ26" s="214"/>
      <c r="CA26" s="214"/>
      <c r="CB26" s="230"/>
      <c r="CC26" s="214"/>
      <c r="CD26" s="169"/>
      <c r="CE26" s="169"/>
      <c r="CF26" s="169"/>
      <c r="CG26" s="169"/>
      <c r="CH26" s="169"/>
      <c r="CI26" s="169"/>
      <c r="CJ26" s="170"/>
      <c r="CK26" s="148">
        <f t="shared" si="33"/>
        <v>0</v>
      </c>
      <c r="CN26" s="226"/>
      <c r="CO26" s="214"/>
      <c r="CP26" s="214"/>
      <c r="CQ26" s="230"/>
      <c r="CR26" s="214"/>
      <c r="CS26" s="169"/>
      <c r="CT26" s="169"/>
      <c r="CU26" s="169"/>
      <c r="CV26" s="169"/>
      <c r="CW26" s="169"/>
      <c r="CX26" s="169"/>
      <c r="CY26" s="170"/>
      <c r="CZ26" s="148">
        <f t="shared" si="34"/>
        <v>0</v>
      </c>
      <c r="DB26" s="142"/>
      <c r="DC26" s="143"/>
    </row>
    <row r="27" spans="2:107">
      <c r="B27" s="143" t="s">
        <v>66</v>
      </c>
      <c r="C27" s="203"/>
      <c r="D27" s="203"/>
      <c r="E27" s="203"/>
      <c r="F27" s="203"/>
      <c r="G27" s="140"/>
      <c r="H27" s="146"/>
      <c r="I27" s="144"/>
      <c r="J27" s="212"/>
      <c r="K27" s="144"/>
      <c r="L27" s="147"/>
      <c r="M27" s="144"/>
      <c r="N27" s="205"/>
      <c r="O27" s="148">
        <f t="shared" si="28"/>
        <v>0</v>
      </c>
      <c r="P27" s="225"/>
      <c r="Q27" s="147"/>
      <c r="R27" s="147"/>
      <c r="S27" s="147"/>
      <c r="T27" s="147"/>
      <c r="U27" s="147"/>
      <c r="V27" s="147"/>
      <c r="W27" s="147"/>
      <c r="X27" s="147"/>
      <c r="Y27" s="147"/>
      <c r="Z27" s="147"/>
      <c r="AA27" s="229"/>
      <c r="AB27" s="148">
        <f t="shared" si="29"/>
        <v>0</v>
      </c>
      <c r="AE27" s="206"/>
      <c r="AF27" s="144"/>
      <c r="AG27" s="147"/>
      <c r="AH27" s="147"/>
      <c r="AI27" s="147"/>
      <c r="AJ27" s="140"/>
      <c r="AK27" s="147"/>
      <c r="AL27" s="147"/>
      <c r="AM27" s="140"/>
      <c r="AN27" s="147"/>
      <c r="AO27" s="147"/>
      <c r="AP27" s="147"/>
      <c r="AQ27" s="148">
        <f t="shared" si="30"/>
        <v>0</v>
      </c>
      <c r="AU27" s="225"/>
      <c r="AV27" s="147"/>
      <c r="AW27" s="147"/>
      <c r="AX27" s="147"/>
      <c r="AY27" s="147"/>
      <c r="AZ27" s="147"/>
      <c r="BA27" s="144">
        <v>160.19</v>
      </c>
      <c r="BB27" s="147"/>
      <c r="BC27" s="147"/>
      <c r="BD27" s="147"/>
      <c r="BE27" s="147"/>
      <c r="BF27" s="147"/>
      <c r="BG27" s="148">
        <f t="shared" si="31"/>
        <v>160.19</v>
      </c>
      <c r="BH27" s="160"/>
      <c r="BJ27" s="246"/>
      <c r="BK27" s="147"/>
      <c r="BL27" s="147"/>
      <c r="BM27" s="147"/>
      <c r="BN27" s="147"/>
      <c r="BO27" s="147"/>
      <c r="BP27" s="147"/>
      <c r="BQ27" s="147"/>
      <c r="BR27" s="147"/>
      <c r="BS27" s="169"/>
      <c r="BT27" s="169"/>
      <c r="BU27" s="169"/>
      <c r="BV27" s="148">
        <f t="shared" si="32"/>
        <v>0</v>
      </c>
      <c r="BY27" s="226"/>
      <c r="BZ27" s="169"/>
      <c r="CA27" s="169"/>
      <c r="CB27" s="169"/>
      <c r="CC27" s="169"/>
      <c r="CD27" s="169"/>
      <c r="CE27" s="169"/>
      <c r="CF27" s="169"/>
      <c r="CG27" s="169"/>
      <c r="CH27" s="169"/>
      <c r="CI27" s="169"/>
      <c r="CJ27" s="169"/>
      <c r="CK27" s="148">
        <f t="shared" si="33"/>
        <v>0</v>
      </c>
      <c r="CN27" s="226"/>
      <c r="CO27" s="169"/>
      <c r="CP27" s="169"/>
      <c r="CQ27" s="169"/>
      <c r="CR27" s="169"/>
      <c r="CS27" s="169"/>
      <c r="CT27" s="169"/>
      <c r="CU27" s="169"/>
      <c r="CV27" s="169"/>
      <c r="CW27" s="169"/>
      <c r="CX27" s="169"/>
      <c r="CY27" s="169"/>
      <c r="CZ27" s="148">
        <f t="shared" si="34"/>
        <v>0</v>
      </c>
      <c r="DB27" s="142"/>
      <c r="DC27" s="143"/>
    </row>
    <row r="28" spans="2:107">
      <c r="B28" s="143" t="s">
        <v>67</v>
      </c>
      <c r="C28" s="203"/>
      <c r="D28" s="203"/>
      <c r="E28" s="203"/>
      <c r="F28" s="203"/>
      <c r="G28" s="140"/>
      <c r="H28" s="146"/>
      <c r="I28" s="144"/>
      <c r="J28" s="212"/>
      <c r="K28" s="144"/>
      <c r="L28" s="147"/>
      <c r="M28" s="144"/>
      <c r="N28" s="205"/>
      <c r="O28" s="148">
        <f t="shared" si="28"/>
        <v>0</v>
      </c>
      <c r="P28" s="225"/>
      <c r="Q28" s="147"/>
      <c r="R28" s="147"/>
      <c r="S28" s="147"/>
      <c r="T28" s="147"/>
      <c r="U28" s="147"/>
      <c r="V28" s="147"/>
      <c r="W28" s="147"/>
      <c r="X28" s="147"/>
      <c r="Y28" s="147"/>
      <c r="Z28" s="147"/>
      <c r="AA28" s="229"/>
      <c r="AB28" s="148">
        <f t="shared" si="29"/>
        <v>0</v>
      </c>
      <c r="AE28" s="206"/>
      <c r="AF28" s="144"/>
      <c r="AG28" s="144"/>
      <c r="AH28" s="211"/>
      <c r="AI28" s="144"/>
      <c r="AJ28" s="140"/>
      <c r="AK28" s="147"/>
      <c r="AL28" s="147"/>
      <c r="AM28" s="140"/>
      <c r="AN28" s="147"/>
      <c r="AO28" s="147"/>
      <c r="AP28" s="229"/>
      <c r="AQ28" s="148">
        <f t="shared" si="30"/>
        <v>0</v>
      </c>
      <c r="AU28" s="246"/>
      <c r="AV28" s="144"/>
      <c r="AW28" s="144"/>
      <c r="AX28" s="211"/>
      <c r="AY28" s="144"/>
      <c r="AZ28" s="147"/>
      <c r="BA28" s="147"/>
      <c r="BB28" s="147"/>
      <c r="BC28" s="147"/>
      <c r="BD28" s="147"/>
      <c r="BE28" s="147"/>
      <c r="BF28" s="229"/>
      <c r="BG28" s="148">
        <f t="shared" si="31"/>
        <v>0</v>
      </c>
      <c r="BH28" s="160"/>
      <c r="BJ28" s="246"/>
      <c r="BK28" s="144"/>
      <c r="BL28" s="144"/>
      <c r="BM28" s="211"/>
      <c r="BN28" s="144"/>
      <c r="BO28" s="147"/>
      <c r="BP28" s="147"/>
      <c r="BQ28" s="147"/>
      <c r="BR28" s="147"/>
      <c r="BS28" s="169"/>
      <c r="BT28" s="169"/>
      <c r="BU28" s="170"/>
      <c r="BV28" s="148">
        <f t="shared" si="32"/>
        <v>0</v>
      </c>
      <c r="BY28" s="226"/>
      <c r="BZ28" s="214"/>
      <c r="CA28" s="214"/>
      <c r="CB28" s="230"/>
      <c r="CC28" s="214"/>
      <c r="CD28" s="169"/>
      <c r="CE28" s="169"/>
      <c r="CF28" s="169"/>
      <c r="CG28" s="169"/>
      <c r="CH28" s="169"/>
      <c r="CI28" s="169"/>
      <c r="CJ28" s="170"/>
      <c r="CK28" s="148">
        <f t="shared" si="33"/>
        <v>0</v>
      </c>
      <c r="CN28" s="226"/>
      <c r="CO28" s="214"/>
      <c r="CP28" s="214"/>
      <c r="CQ28" s="230"/>
      <c r="CR28" s="214"/>
      <c r="CS28" s="169"/>
      <c r="CT28" s="169"/>
      <c r="CU28" s="169"/>
      <c r="CV28" s="169"/>
      <c r="CW28" s="169"/>
      <c r="CX28" s="169"/>
      <c r="CY28" s="170"/>
      <c r="CZ28" s="148">
        <f t="shared" si="34"/>
        <v>0</v>
      </c>
      <c r="DB28" s="142"/>
      <c r="DC28" s="143"/>
    </row>
    <row r="29" spans="2:107">
      <c r="B29" s="143" t="s">
        <v>68</v>
      </c>
      <c r="C29" s="203"/>
      <c r="D29" s="140"/>
      <c r="E29" s="146"/>
      <c r="F29" s="140"/>
      <c r="G29" s="203"/>
      <c r="H29" s="146"/>
      <c r="I29" s="146"/>
      <c r="J29" s="146"/>
      <c r="K29" s="146"/>
      <c r="L29" s="146"/>
      <c r="M29" s="146"/>
      <c r="N29" s="205"/>
      <c r="O29" s="148">
        <f t="shared" ref="O29:O32" si="38">SUM(C29:N29)</f>
        <v>0</v>
      </c>
      <c r="P29" s="225"/>
      <c r="Q29" s="147"/>
      <c r="R29" s="147"/>
      <c r="S29" s="147"/>
      <c r="T29" s="147"/>
      <c r="U29" s="147"/>
      <c r="V29" s="147"/>
      <c r="W29" s="147"/>
      <c r="X29" s="147"/>
      <c r="Y29" s="147"/>
      <c r="Z29" s="147"/>
      <c r="AA29" s="229"/>
      <c r="AB29" s="148">
        <f t="shared" si="29"/>
        <v>0</v>
      </c>
      <c r="AE29" s="206"/>
      <c r="AF29" s="147"/>
      <c r="AG29" s="144"/>
      <c r="AH29" s="211"/>
      <c r="AI29" s="147"/>
      <c r="AJ29" s="140"/>
      <c r="AK29" s="147"/>
      <c r="AL29" s="147"/>
      <c r="AM29" s="140"/>
      <c r="AN29" s="147"/>
      <c r="AO29" s="147"/>
      <c r="AP29" s="229"/>
      <c r="AQ29" s="148">
        <f t="shared" si="30"/>
        <v>0</v>
      </c>
      <c r="AU29" s="246"/>
      <c r="AV29" s="147"/>
      <c r="AW29" s="144"/>
      <c r="AX29" s="211"/>
      <c r="AY29" s="147"/>
      <c r="AZ29" s="147"/>
      <c r="BA29" s="147"/>
      <c r="BB29" s="147"/>
      <c r="BC29" s="147"/>
      <c r="BD29" s="147"/>
      <c r="BE29" s="147"/>
      <c r="BF29" s="229"/>
      <c r="BG29" s="148">
        <f t="shared" si="31"/>
        <v>0</v>
      </c>
      <c r="BH29" s="160"/>
      <c r="BJ29" s="246"/>
      <c r="BK29" s="147"/>
      <c r="BL29" s="144"/>
      <c r="BM29" s="211"/>
      <c r="BN29" s="147"/>
      <c r="BO29" s="147"/>
      <c r="BP29" s="147"/>
      <c r="BQ29" s="147"/>
      <c r="BR29" s="147"/>
      <c r="BS29" s="169"/>
      <c r="BT29" s="169">
        <v>200</v>
      </c>
      <c r="BU29" s="170"/>
      <c r="BV29" s="148">
        <f t="shared" si="32"/>
        <v>200</v>
      </c>
      <c r="BY29" s="226"/>
      <c r="BZ29" s="169"/>
      <c r="CA29" s="214"/>
      <c r="CB29" s="230"/>
      <c r="CC29" s="169">
        <v>200</v>
      </c>
      <c r="CD29" s="169"/>
      <c r="CE29" s="169"/>
      <c r="CF29" s="169"/>
      <c r="CG29" s="169"/>
      <c r="CH29" s="169"/>
      <c r="CI29" s="169"/>
      <c r="CJ29" s="170"/>
      <c r="CK29" s="148">
        <f t="shared" si="33"/>
        <v>200</v>
      </c>
      <c r="CN29" s="226"/>
      <c r="CO29" s="169"/>
      <c r="CP29" s="214"/>
      <c r="CQ29" s="230"/>
      <c r="CR29" s="169">
        <v>200</v>
      </c>
      <c r="CS29" s="169"/>
      <c r="CT29" s="169"/>
      <c r="CU29" s="169"/>
      <c r="CV29" s="169"/>
      <c r="CW29" s="169"/>
      <c r="CX29" s="169"/>
      <c r="CY29" s="170"/>
      <c r="CZ29" s="148">
        <f t="shared" si="34"/>
        <v>200</v>
      </c>
      <c r="DB29" s="142"/>
      <c r="DC29" s="143"/>
    </row>
    <row r="30" spans="2:107">
      <c r="B30" s="143" t="s">
        <v>69</v>
      </c>
      <c r="C30" s="203"/>
      <c r="D30" s="140"/>
      <c r="E30" s="146"/>
      <c r="F30" s="140"/>
      <c r="G30" s="203"/>
      <c r="H30" s="146"/>
      <c r="I30" s="146"/>
      <c r="J30" s="146"/>
      <c r="K30" s="146"/>
      <c r="L30" s="146"/>
      <c r="M30" s="146"/>
      <c r="N30" s="205"/>
      <c r="O30" s="148">
        <f t="shared" si="38"/>
        <v>0</v>
      </c>
      <c r="P30" s="225"/>
      <c r="Q30" s="147"/>
      <c r="R30" s="147"/>
      <c r="S30" s="147"/>
      <c r="T30" s="147"/>
      <c r="U30" s="147"/>
      <c r="V30" s="147"/>
      <c r="W30" s="147"/>
      <c r="X30" s="147"/>
      <c r="Y30" s="147"/>
      <c r="Z30" s="147"/>
      <c r="AA30" s="229"/>
      <c r="AB30" s="148">
        <f t="shared" si="29"/>
        <v>0</v>
      </c>
      <c r="AE30" s="206"/>
      <c r="AF30" s="147"/>
      <c r="AG30" s="147"/>
      <c r="AH30" s="147"/>
      <c r="AI30" s="147"/>
      <c r="AJ30" s="140"/>
      <c r="AK30" s="144">
        <v>350</v>
      </c>
      <c r="AL30" s="140"/>
      <c r="AM30" s="140"/>
      <c r="AN30" s="147"/>
      <c r="AO30" s="147"/>
      <c r="AP30" s="229"/>
      <c r="AQ30" s="148">
        <f t="shared" si="30"/>
        <v>350</v>
      </c>
      <c r="AU30" s="246"/>
      <c r="AV30" s="147"/>
      <c r="AW30" s="147"/>
      <c r="AX30" s="147"/>
      <c r="AY30" s="147"/>
      <c r="AZ30" s="144">
        <v>360</v>
      </c>
      <c r="BA30" s="140"/>
      <c r="BB30" s="147"/>
      <c r="BC30" s="147"/>
      <c r="BD30" s="147"/>
      <c r="BE30" s="147"/>
      <c r="BF30" s="229"/>
      <c r="BG30" s="148">
        <f t="shared" si="31"/>
        <v>360</v>
      </c>
      <c r="BH30" s="160"/>
      <c r="BJ30" s="246"/>
      <c r="BK30" s="147"/>
      <c r="BL30" s="147"/>
      <c r="BM30" s="147"/>
      <c r="BN30" s="147"/>
      <c r="BO30" s="211"/>
      <c r="BP30" s="144">
        <v>360</v>
      </c>
      <c r="BQ30" s="147"/>
      <c r="BR30" s="147"/>
      <c r="BS30" s="169"/>
      <c r="BT30" s="169"/>
      <c r="BU30" s="170"/>
      <c r="BV30" s="148">
        <f t="shared" si="32"/>
        <v>360</v>
      </c>
      <c r="BY30" s="226"/>
      <c r="BZ30" s="169"/>
      <c r="CA30" s="169"/>
      <c r="CB30" s="169"/>
      <c r="CC30" s="169"/>
      <c r="CD30" s="169"/>
      <c r="CE30" s="169">
        <v>350</v>
      </c>
      <c r="CF30" s="169"/>
      <c r="CG30" s="169"/>
      <c r="CH30" s="169"/>
      <c r="CI30" s="169"/>
      <c r="CJ30" s="170"/>
      <c r="CK30" s="148">
        <f t="shared" si="33"/>
        <v>350</v>
      </c>
      <c r="CN30" s="226"/>
      <c r="CO30" s="169"/>
      <c r="CP30" s="169"/>
      <c r="CQ30" s="169"/>
      <c r="CR30" s="169"/>
      <c r="CS30" s="169"/>
      <c r="CT30" s="169">
        <v>350</v>
      </c>
      <c r="CU30" s="169"/>
      <c r="CV30" s="169"/>
      <c r="CW30" s="169"/>
      <c r="CX30" s="169"/>
      <c r="CY30" s="170"/>
      <c r="CZ30" s="148">
        <f t="shared" si="34"/>
        <v>350</v>
      </c>
      <c r="DB30" s="142"/>
      <c r="DC30" s="143"/>
    </row>
    <row r="31" spans="2:107">
      <c r="B31" s="143" t="s">
        <v>70</v>
      </c>
      <c r="C31" s="203"/>
      <c r="D31" s="140"/>
      <c r="E31" s="146"/>
      <c r="F31" s="140"/>
      <c r="G31" s="203"/>
      <c r="H31" s="146"/>
      <c r="I31" s="146"/>
      <c r="J31" s="146"/>
      <c r="K31" s="146"/>
      <c r="L31" s="146"/>
      <c r="M31" s="146"/>
      <c r="N31" s="205"/>
      <c r="O31" s="148">
        <f t="shared" si="38"/>
        <v>0</v>
      </c>
      <c r="P31" s="225"/>
      <c r="Q31" s="147"/>
      <c r="R31" s="147"/>
      <c r="S31" s="147"/>
      <c r="T31" s="147"/>
      <c r="U31" s="147"/>
      <c r="V31" s="147"/>
      <c r="W31" s="147"/>
      <c r="X31" s="147"/>
      <c r="Y31" s="147"/>
      <c r="Z31" s="147"/>
      <c r="AA31" s="229"/>
      <c r="AB31" s="148">
        <f t="shared" si="29"/>
        <v>0</v>
      </c>
      <c r="AE31" s="206"/>
      <c r="AF31" s="147"/>
      <c r="AG31" s="147"/>
      <c r="AH31" s="147"/>
      <c r="AI31" s="147"/>
      <c r="AJ31" s="140"/>
      <c r="AK31" s="147"/>
      <c r="AL31" s="147"/>
      <c r="AM31" s="147"/>
      <c r="AN31" s="147"/>
      <c r="AO31" s="147"/>
      <c r="AP31" s="325">
        <v>411.4</v>
      </c>
      <c r="AQ31" s="148">
        <f t="shared" si="30"/>
        <v>411.4</v>
      </c>
      <c r="AU31" s="246"/>
      <c r="AV31" s="147"/>
      <c r="AW31" s="147"/>
      <c r="AX31" s="147"/>
      <c r="AY31" s="144"/>
      <c r="AZ31" s="147"/>
      <c r="BA31" s="147"/>
      <c r="BB31" s="144">
        <f>53.34+423.5</f>
        <v>476.84000000000003</v>
      </c>
      <c r="BC31" s="211"/>
      <c r="BD31" s="147"/>
      <c r="BE31" s="147"/>
      <c r="BF31" s="229"/>
      <c r="BG31" s="148">
        <f t="shared" si="31"/>
        <v>476.84000000000003</v>
      </c>
      <c r="BH31" s="160"/>
      <c r="BJ31" s="246"/>
      <c r="BK31" s="147"/>
      <c r="BL31" s="147"/>
      <c r="BM31" s="147"/>
      <c r="BN31" s="147"/>
      <c r="BO31" s="147"/>
      <c r="BP31" s="144">
        <v>650</v>
      </c>
      <c r="BQ31" s="144">
        <v>484</v>
      </c>
      <c r="BR31" s="147"/>
      <c r="BS31" s="169"/>
      <c r="BT31" s="169"/>
      <c r="BU31" s="170"/>
      <c r="BV31" s="148">
        <f t="shared" si="32"/>
        <v>1134</v>
      </c>
      <c r="BY31" s="226"/>
      <c r="BZ31" s="169"/>
      <c r="CA31" s="169"/>
      <c r="CB31" s="169"/>
      <c r="CC31" s="169"/>
      <c r="CD31" s="169"/>
      <c r="CE31" s="169"/>
      <c r="CF31" s="169"/>
      <c r="CG31" s="169"/>
      <c r="CH31" s="169"/>
      <c r="CI31" s="169"/>
      <c r="CJ31" s="170"/>
      <c r="CK31" s="148">
        <f t="shared" si="33"/>
        <v>0</v>
      </c>
      <c r="CN31" s="226"/>
      <c r="CO31" s="169"/>
      <c r="CP31" s="169"/>
      <c r="CQ31" s="169"/>
      <c r="CR31" s="169"/>
      <c r="CS31" s="169"/>
      <c r="CT31" s="169"/>
      <c r="CU31" s="169"/>
      <c r="CV31" s="169"/>
      <c r="CW31" s="169"/>
      <c r="CX31" s="169"/>
      <c r="CY31" s="170"/>
      <c r="CZ31" s="148">
        <f t="shared" si="34"/>
        <v>0</v>
      </c>
      <c r="DB31" s="142"/>
      <c r="DC31" s="143"/>
    </row>
    <row r="32" spans="2:107">
      <c r="B32" s="143" t="s">
        <v>71</v>
      </c>
      <c r="C32" s="203"/>
      <c r="D32" s="203"/>
      <c r="E32" s="146"/>
      <c r="F32" s="146"/>
      <c r="G32" s="146"/>
      <c r="H32" s="146"/>
      <c r="I32" s="140"/>
      <c r="J32" s="146"/>
      <c r="K32" s="146"/>
      <c r="L32" s="146"/>
      <c r="M32" s="146"/>
      <c r="N32" s="205"/>
      <c r="O32" s="148">
        <f t="shared" si="38"/>
        <v>0</v>
      </c>
      <c r="P32" s="225"/>
      <c r="Q32" s="147"/>
      <c r="R32" s="147"/>
      <c r="S32" s="147"/>
      <c r="T32" s="147"/>
      <c r="U32" s="147"/>
      <c r="V32" s="147"/>
      <c r="W32" s="147"/>
      <c r="X32" s="147"/>
      <c r="Y32" s="147"/>
      <c r="Z32" s="147"/>
      <c r="AA32" s="229"/>
      <c r="AB32" s="148">
        <f t="shared" si="29"/>
        <v>0</v>
      </c>
      <c r="AE32" s="206"/>
      <c r="AF32" s="147"/>
      <c r="AG32" s="147"/>
      <c r="AH32" s="147"/>
      <c r="AI32" s="227">
        <f>359.72+690</f>
        <v>1049.72</v>
      </c>
      <c r="AJ32" s="147"/>
      <c r="AK32" s="147"/>
      <c r="AL32" s="147"/>
      <c r="AM32" s="147"/>
      <c r="AN32" s="147"/>
      <c r="AO32" s="147"/>
      <c r="AP32" s="229"/>
      <c r="AQ32" s="148">
        <f t="shared" si="30"/>
        <v>1049.72</v>
      </c>
      <c r="AU32" s="246"/>
      <c r="AV32" s="147"/>
      <c r="AW32" s="147"/>
      <c r="AX32" s="147"/>
      <c r="AY32" s="147"/>
      <c r="AZ32" s="147"/>
      <c r="BA32" s="147"/>
      <c r="BB32" s="147"/>
      <c r="BC32" s="147"/>
      <c r="BD32" s="147"/>
      <c r="BE32" s="147"/>
      <c r="BF32" s="229"/>
      <c r="BG32" s="148">
        <f t="shared" si="31"/>
        <v>0</v>
      </c>
      <c r="BH32" s="160"/>
      <c r="BJ32" s="246"/>
      <c r="BK32" s="147"/>
      <c r="BL32" s="147"/>
      <c r="BM32" s="147"/>
      <c r="BN32" s="147"/>
      <c r="BO32" s="147"/>
      <c r="BP32" s="147"/>
      <c r="BQ32" s="147"/>
      <c r="BR32" s="147"/>
      <c r="BS32" s="169"/>
      <c r="BT32" s="169"/>
      <c r="BU32" s="170"/>
      <c r="BV32" s="148">
        <f t="shared" si="32"/>
        <v>0</v>
      </c>
      <c r="BY32" s="226"/>
      <c r="BZ32" s="169"/>
      <c r="CA32" s="169"/>
      <c r="CB32" s="169"/>
      <c r="CC32" s="169"/>
      <c r="CD32" s="169"/>
      <c r="CE32" s="169"/>
      <c r="CF32" s="169"/>
      <c r="CG32" s="169"/>
      <c r="CH32" s="169"/>
      <c r="CI32" s="169"/>
      <c r="CJ32" s="170"/>
      <c r="CK32" s="148">
        <f t="shared" si="33"/>
        <v>0</v>
      </c>
      <c r="CN32" s="226"/>
      <c r="CO32" s="169"/>
      <c r="CP32" s="169"/>
      <c r="CQ32" s="169"/>
      <c r="CR32" s="169"/>
      <c r="CS32" s="169"/>
      <c r="CT32" s="169"/>
      <c r="CU32" s="169"/>
      <c r="CV32" s="169"/>
      <c r="CW32" s="169"/>
      <c r="CX32" s="169"/>
      <c r="CY32" s="170"/>
      <c r="CZ32" s="148">
        <f t="shared" si="34"/>
        <v>0</v>
      </c>
      <c r="DB32" s="142"/>
      <c r="DC32" s="143"/>
    </row>
    <row r="33" spans="2:107" s="217" customFormat="1" ht="15.75">
      <c r="B33" s="231" t="s">
        <v>72</v>
      </c>
      <c r="C33" s="232">
        <f t="shared" ref="C33:AB33" si="39">SUM(C19:C32)</f>
        <v>0</v>
      </c>
      <c r="D33" s="232">
        <f t="shared" si="39"/>
        <v>0</v>
      </c>
      <c r="E33" s="232">
        <f t="shared" si="39"/>
        <v>0</v>
      </c>
      <c r="F33" s="232">
        <f t="shared" si="39"/>
        <v>0</v>
      </c>
      <c r="G33" s="232">
        <f t="shared" si="39"/>
        <v>0</v>
      </c>
      <c r="H33" s="232">
        <f t="shared" si="39"/>
        <v>0</v>
      </c>
      <c r="I33" s="232">
        <f t="shared" si="39"/>
        <v>0</v>
      </c>
      <c r="J33" s="232">
        <f t="shared" si="39"/>
        <v>0</v>
      </c>
      <c r="K33" s="232">
        <f t="shared" si="39"/>
        <v>0</v>
      </c>
      <c r="L33" s="232">
        <f t="shared" si="39"/>
        <v>0</v>
      </c>
      <c r="M33" s="232">
        <f t="shared" si="39"/>
        <v>0</v>
      </c>
      <c r="N33" s="232">
        <f t="shared" si="39"/>
        <v>0</v>
      </c>
      <c r="O33" s="216">
        <f t="shared" si="39"/>
        <v>0</v>
      </c>
      <c r="P33" s="174">
        <f t="shared" si="39"/>
        <v>0</v>
      </c>
      <c r="Q33" s="232">
        <f t="shared" si="39"/>
        <v>0</v>
      </c>
      <c r="R33" s="232">
        <f t="shared" si="39"/>
        <v>0</v>
      </c>
      <c r="S33" s="232">
        <f t="shared" si="39"/>
        <v>0</v>
      </c>
      <c r="T33" s="232">
        <f t="shared" si="39"/>
        <v>0</v>
      </c>
      <c r="U33" s="232">
        <f t="shared" si="39"/>
        <v>0</v>
      </c>
      <c r="V33" s="232">
        <f t="shared" si="39"/>
        <v>0</v>
      </c>
      <c r="W33" s="232">
        <f t="shared" si="39"/>
        <v>0</v>
      </c>
      <c r="X33" s="232">
        <f t="shared" si="39"/>
        <v>0</v>
      </c>
      <c r="Y33" s="232">
        <f t="shared" si="39"/>
        <v>0</v>
      </c>
      <c r="Z33" s="232">
        <f t="shared" si="39"/>
        <v>0</v>
      </c>
      <c r="AA33" s="232">
        <f t="shared" si="39"/>
        <v>0</v>
      </c>
      <c r="AB33" s="216">
        <f t="shared" si="39"/>
        <v>0</v>
      </c>
      <c r="AE33" s="175">
        <f t="shared" ref="AE33:AQ33" si="40">SUM(AE19:AE32)</f>
        <v>0</v>
      </c>
      <c r="AF33" s="232">
        <f t="shared" si="40"/>
        <v>0</v>
      </c>
      <c r="AG33" s="232">
        <f t="shared" si="40"/>
        <v>2310.58</v>
      </c>
      <c r="AH33" s="232">
        <f t="shared" si="40"/>
        <v>836.06000000000006</v>
      </c>
      <c r="AI33" s="232">
        <f t="shared" si="40"/>
        <v>5019.7136</v>
      </c>
      <c r="AJ33" s="232">
        <f t="shared" si="40"/>
        <v>16.5</v>
      </c>
      <c r="AK33" s="232">
        <f t="shared" si="40"/>
        <v>350</v>
      </c>
      <c r="AL33" s="232">
        <f t="shared" si="40"/>
        <v>2104.3599999999997</v>
      </c>
      <c r="AM33" s="232">
        <f t="shared" si="40"/>
        <v>637.40000000000009</v>
      </c>
      <c r="AN33" s="232">
        <f t="shared" si="40"/>
        <v>593.26</v>
      </c>
      <c r="AO33" s="232">
        <f t="shared" si="40"/>
        <v>3107.1699999999996</v>
      </c>
      <c r="AP33" s="232">
        <f t="shared" si="40"/>
        <v>791.98</v>
      </c>
      <c r="AQ33" s="216">
        <f t="shared" si="40"/>
        <v>15767.023599999999</v>
      </c>
      <c r="AS33" s="218"/>
      <c r="AU33" s="174">
        <f t="shared" ref="AU33:BG33" si="41">SUM(AU19:AU32)</f>
        <v>705.64</v>
      </c>
      <c r="AV33" s="232">
        <f t="shared" si="41"/>
        <v>2112.36</v>
      </c>
      <c r="AW33" s="232">
        <f t="shared" si="41"/>
        <v>-2118.7799999999997</v>
      </c>
      <c r="AX33" s="232">
        <f t="shared" si="41"/>
        <v>1585.65</v>
      </c>
      <c r="AY33" s="232">
        <f t="shared" si="41"/>
        <v>2063.23</v>
      </c>
      <c r="AZ33" s="232">
        <f t="shared" si="41"/>
        <v>-2875.8799999999997</v>
      </c>
      <c r="BA33" s="232">
        <f t="shared" si="41"/>
        <v>1496.17</v>
      </c>
      <c r="BB33" s="232">
        <f t="shared" si="41"/>
        <v>10323</v>
      </c>
      <c r="BC33" s="232">
        <f t="shared" si="41"/>
        <v>-7329.75</v>
      </c>
      <c r="BD33" s="232">
        <f t="shared" si="41"/>
        <v>-659.91999999999985</v>
      </c>
      <c r="BE33" s="232">
        <f t="shared" si="41"/>
        <v>3098.2000000000007</v>
      </c>
      <c r="BF33" s="232">
        <f t="shared" si="41"/>
        <v>2493.1</v>
      </c>
      <c r="BG33" s="216">
        <f t="shared" si="41"/>
        <v>10893.019999999999</v>
      </c>
      <c r="BH33" s="221"/>
      <c r="BJ33" s="174">
        <f>SUM(BJ19:BJ32)</f>
        <v>8.93</v>
      </c>
      <c r="BK33" s="232">
        <f t="shared" ref="BK33:BU33" si="42">SUM(BK19:BK32)</f>
        <v>4924.88</v>
      </c>
      <c r="BL33" s="232">
        <f t="shared" si="42"/>
        <v>1939.3600000000001</v>
      </c>
      <c r="BM33" s="232">
        <f t="shared" si="42"/>
        <v>1243.6100000000001</v>
      </c>
      <c r="BN33" s="232">
        <f t="shared" si="42"/>
        <v>1931.1999999999998</v>
      </c>
      <c r="BO33" s="232">
        <f t="shared" si="42"/>
        <v>-1902.6800000000003</v>
      </c>
      <c r="BP33" s="232">
        <f t="shared" si="42"/>
        <v>1921.29</v>
      </c>
      <c r="BQ33" s="232">
        <f t="shared" si="42"/>
        <v>1054.1599999999999</v>
      </c>
      <c r="BR33" s="232">
        <f t="shared" si="42"/>
        <v>170.41999999999985</v>
      </c>
      <c r="BS33" s="233">
        <f t="shared" si="42"/>
        <v>4157.99</v>
      </c>
      <c r="BT33" s="233">
        <f t="shared" si="42"/>
        <v>3811.41</v>
      </c>
      <c r="BU33" s="233">
        <f t="shared" si="42"/>
        <v>1960</v>
      </c>
      <c r="BV33" s="216">
        <f>SUM(BV19:BV32)</f>
        <v>21220.57</v>
      </c>
      <c r="BY33" s="178">
        <f t="shared" ref="BY33:CK33" si="43">SUM(BY19:BY32)</f>
        <v>600</v>
      </c>
      <c r="BZ33" s="233">
        <f t="shared" si="43"/>
        <v>2961.41</v>
      </c>
      <c r="CA33" s="233">
        <f t="shared" si="43"/>
        <v>600</v>
      </c>
      <c r="CB33" s="233">
        <f t="shared" si="43"/>
        <v>900</v>
      </c>
      <c r="CC33" s="233">
        <f t="shared" si="43"/>
        <v>4137.59</v>
      </c>
      <c r="CD33" s="233">
        <f t="shared" si="43"/>
        <v>600</v>
      </c>
      <c r="CE33" s="233">
        <f t="shared" si="43"/>
        <v>1300</v>
      </c>
      <c r="CF33" s="233">
        <f t="shared" si="43"/>
        <v>1874.56</v>
      </c>
      <c r="CG33" s="233">
        <f t="shared" si="43"/>
        <v>600</v>
      </c>
      <c r="CH33" s="233">
        <f t="shared" si="43"/>
        <v>600</v>
      </c>
      <c r="CI33" s="233">
        <f t="shared" si="43"/>
        <v>3161.41</v>
      </c>
      <c r="CJ33" s="233">
        <f t="shared" si="43"/>
        <v>1760</v>
      </c>
      <c r="CK33" s="216">
        <f t="shared" si="43"/>
        <v>19094.97</v>
      </c>
      <c r="CN33" s="178">
        <f t="shared" ref="CN33:CZ33" si="44">SUM(CN19:CN32)</f>
        <v>600</v>
      </c>
      <c r="CO33" s="233">
        <f t="shared" si="44"/>
        <v>2961.41</v>
      </c>
      <c r="CP33" s="233">
        <f t="shared" si="44"/>
        <v>600</v>
      </c>
      <c r="CQ33" s="233">
        <f t="shared" si="44"/>
        <v>900</v>
      </c>
      <c r="CR33" s="233">
        <f t="shared" si="44"/>
        <v>4137.59</v>
      </c>
      <c r="CS33" s="233">
        <f t="shared" si="44"/>
        <v>600</v>
      </c>
      <c r="CT33" s="233">
        <f t="shared" si="44"/>
        <v>1300</v>
      </c>
      <c r="CU33" s="233">
        <f t="shared" si="44"/>
        <v>1874.56</v>
      </c>
      <c r="CV33" s="233">
        <f t="shared" si="44"/>
        <v>600</v>
      </c>
      <c r="CW33" s="233">
        <f t="shared" si="44"/>
        <v>600</v>
      </c>
      <c r="CX33" s="233">
        <f t="shared" si="44"/>
        <v>3161.41</v>
      </c>
      <c r="CY33" s="233">
        <f t="shared" si="44"/>
        <v>1760</v>
      </c>
      <c r="CZ33" s="216">
        <f t="shared" si="44"/>
        <v>19094.97</v>
      </c>
      <c r="DB33" s="219"/>
      <c r="DC33" s="222"/>
    </row>
    <row r="34" spans="2:107">
      <c r="B34" s="180" t="s">
        <v>31</v>
      </c>
      <c r="C34" s="146"/>
      <c r="D34" s="146"/>
      <c r="E34" s="146"/>
      <c r="F34" s="146"/>
      <c r="G34" s="146"/>
      <c r="H34" s="146"/>
      <c r="I34" s="146"/>
      <c r="J34" s="146"/>
      <c r="K34" s="146"/>
      <c r="L34" s="146"/>
      <c r="M34" s="146"/>
      <c r="N34" s="146"/>
      <c r="O34" s="183">
        <f>SUM(C33:N33)-O33</f>
        <v>0</v>
      </c>
      <c r="P34" s="146"/>
      <c r="Q34" s="146"/>
      <c r="R34" s="146"/>
      <c r="S34" s="146"/>
      <c r="T34" s="146"/>
      <c r="U34" s="146"/>
      <c r="V34" s="146"/>
      <c r="W34" s="146"/>
      <c r="X34" s="146"/>
      <c r="Y34" s="146"/>
      <c r="Z34" s="146"/>
      <c r="AA34" s="146"/>
      <c r="AB34" s="183">
        <f>AB33-SUM(P33:AA33)</f>
        <v>0</v>
      </c>
      <c r="AE34" s="146"/>
      <c r="AF34" s="146"/>
      <c r="AG34" s="146"/>
      <c r="AH34" s="146"/>
      <c r="AI34" s="146"/>
      <c r="AJ34" s="146"/>
      <c r="AK34" s="146"/>
      <c r="AL34" s="146"/>
      <c r="AM34" s="146"/>
      <c r="AN34" s="146"/>
      <c r="AO34" s="146"/>
      <c r="AP34" s="146"/>
      <c r="AQ34" s="183">
        <f>AQ33-SUM(AE33:AP33)</f>
        <v>0</v>
      </c>
      <c r="AU34" s="146"/>
      <c r="AV34" s="146"/>
      <c r="AW34" s="146"/>
      <c r="AX34" s="146"/>
      <c r="AY34" s="146"/>
      <c r="AZ34" s="146"/>
      <c r="BA34" s="146"/>
      <c r="BB34" s="146"/>
      <c r="BC34" s="146"/>
      <c r="BD34" s="146"/>
      <c r="BE34" s="146"/>
      <c r="BF34" s="146"/>
      <c r="BG34" s="183">
        <f>BG33-SUM(AU33:BF33)</f>
        <v>0</v>
      </c>
      <c r="BH34" s="189"/>
      <c r="BJ34" s="146"/>
      <c r="BK34" s="146"/>
      <c r="BL34" s="146"/>
      <c r="BM34" s="146"/>
      <c r="BN34" s="146"/>
      <c r="BO34" s="146"/>
      <c r="BP34" s="146"/>
      <c r="BQ34" s="146"/>
      <c r="BR34" s="146"/>
      <c r="BS34" s="160"/>
      <c r="BT34" s="160"/>
      <c r="BU34" s="160"/>
      <c r="BV34" s="183">
        <f>BV33-SUM(BJ33:BU33)</f>
        <v>0</v>
      </c>
      <c r="BY34" s="160"/>
      <c r="BZ34" s="160"/>
      <c r="CA34" s="160"/>
      <c r="CB34" s="160"/>
      <c r="CC34" s="160"/>
      <c r="CD34" s="160"/>
      <c r="CE34" s="160"/>
      <c r="CF34" s="160"/>
      <c r="CG34" s="160"/>
      <c r="CH34" s="160"/>
      <c r="CI34" s="160"/>
      <c r="CJ34" s="160"/>
      <c r="CK34" s="183">
        <f>CK33-SUM(BY33:CJ33)</f>
        <v>0</v>
      </c>
      <c r="CN34" s="160"/>
      <c r="CO34" s="160"/>
      <c r="CP34" s="160"/>
      <c r="CQ34" s="160"/>
      <c r="CR34" s="160"/>
      <c r="CS34" s="160"/>
      <c r="CT34" s="160"/>
      <c r="CU34" s="160"/>
      <c r="CV34" s="160"/>
      <c r="CW34" s="160"/>
      <c r="CX34" s="160"/>
      <c r="CY34" s="160"/>
      <c r="CZ34" s="183">
        <f>CZ33-SUM(CN33:CY33)</f>
        <v>0</v>
      </c>
      <c r="DB34" s="142"/>
      <c r="DC34" s="143"/>
    </row>
    <row r="35" spans="2:107" ht="15.75" thickBot="1">
      <c r="C35" s="146"/>
      <c r="D35" s="146"/>
      <c r="E35" s="146"/>
      <c r="F35" s="146"/>
      <c r="G35" s="146"/>
      <c r="H35" s="146"/>
      <c r="I35" s="146"/>
      <c r="J35" s="146"/>
      <c r="K35" s="146"/>
      <c r="L35" s="146"/>
      <c r="M35" s="146"/>
      <c r="N35" s="146"/>
      <c r="O35" s="224"/>
      <c r="P35" s="146"/>
      <c r="Q35" s="146"/>
      <c r="R35" s="146"/>
      <c r="S35" s="146"/>
      <c r="T35" s="146"/>
      <c r="U35" s="146"/>
      <c r="V35" s="146"/>
      <c r="W35" s="146"/>
      <c r="X35" s="146"/>
      <c r="Y35" s="146"/>
      <c r="Z35" s="146"/>
      <c r="AA35" s="146"/>
      <c r="AB35" s="160"/>
      <c r="AE35" s="146"/>
      <c r="AF35" s="146"/>
      <c r="AG35" s="146"/>
      <c r="AH35" s="146"/>
      <c r="AI35" s="146"/>
      <c r="AJ35" s="146"/>
      <c r="AK35" s="146"/>
      <c r="AL35" s="146"/>
      <c r="AM35" s="146"/>
      <c r="AN35" s="146"/>
      <c r="AO35" s="146"/>
      <c r="AP35" s="146"/>
      <c r="AQ35" s="160"/>
      <c r="AU35" s="146"/>
      <c r="AV35" s="146"/>
      <c r="AW35" s="146"/>
      <c r="AX35" s="146"/>
      <c r="AY35" s="146"/>
      <c r="AZ35" s="146"/>
      <c r="BA35" s="146"/>
      <c r="BB35" s="146"/>
      <c r="BC35" s="146"/>
      <c r="BD35" s="146"/>
      <c r="BE35" s="146"/>
      <c r="BF35" s="146"/>
      <c r="BG35" s="160"/>
      <c r="BH35" s="160"/>
      <c r="BJ35" s="146"/>
      <c r="BK35" s="146"/>
      <c r="BL35" s="146"/>
      <c r="BM35" s="146"/>
      <c r="BN35" s="146"/>
      <c r="BO35" s="146"/>
      <c r="BP35" s="146"/>
      <c r="BQ35" s="146"/>
      <c r="BR35" s="146"/>
      <c r="BS35" s="160"/>
      <c r="BT35" s="160"/>
      <c r="BU35" s="160"/>
      <c r="BV35" s="160"/>
      <c r="BY35" s="160"/>
      <c r="BZ35" s="160"/>
      <c r="CA35" s="160"/>
      <c r="CB35" s="160"/>
      <c r="CC35" s="160"/>
      <c r="CD35" s="160"/>
      <c r="CE35" s="160"/>
      <c r="CF35" s="160"/>
      <c r="CG35" s="160"/>
      <c r="CH35" s="160"/>
      <c r="CI35" s="160"/>
      <c r="CJ35" s="160"/>
      <c r="CK35" s="160"/>
      <c r="CN35" s="160"/>
      <c r="CO35" s="160"/>
      <c r="CP35" s="160"/>
      <c r="CQ35" s="160"/>
      <c r="CR35" s="160"/>
      <c r="CS35" s="160"/>
      <c r="CT35" s="160"/>
      <c r="CU35" s="160"/>
      <c r="CV35" s="160"/>
      <c r="CW35" s="160"/>
      <c r="CX35" s="160"/>
      <c r="CY35" s="160"/>
      <c r="CZ35" s="160"/>
      <c r="DB35" s="142"/>
      <c r="DC35" s="143"/>
    </row>
    <row r="36" spans="2:107" s="217" customFormat="1" ht="16.5" thickBot="1">
      <c r="B36" s="234" t="s">
        <v>385</v>
      </c>
      <c r="C36" s="235">
        <f t="shared" ref="C36:AB36" si="45">C16-C33</f>
        <v>0</v>
      </c>
      <c r="D36" s="235">
        <f t="shared" si="45"/>
        <v>0</v>
      </c>
      <c r="E36" s="235">
        <f t="shared" si="45"/>
        <v>0</v>
      </c>
      <c r="F36" s="235">
        <f t="shared" si="45"/>
        <v>0</v>
      </c>
      <c r="G36" s="235">
        <f t="shared" si="45"/>
        <v>0</v>
      </c>
      <c r="H36" s="235">
        <f t="shared" si="45"/>
        <v>0</v>
      </c>
      <c r="I36" s="235">
        <f t="shared" si="45"/>
        <v>0</v>
      </c>
      <c r="J36" s="235">
        <f t="shared" si="45"/>
        <v>0</v>
      </c>
      <c r="K36" s="235">
        <f t="shared" si="45"/>
        <v>0</v>
      </c>
      <c r="L36" s="235">
        <f t="shared" si="45"/>
        <v>0</v>
      </c>
      <c r="M36" s="235">
        <f t="shared" si="45"/>
        <v>0</v>
      </c>
      <c r="N36" s="235">
        <f t="shared" si="45"/>
        <v>0</v>
      </c>
      <c r="O36" s="236">
        <f t="shared" si="45"/>
        <v>0</v>
      </c>
      <c r="P36" s="235">
        <f t="shared" si="45"/>
        <v>0</v>
      </c>
      <c r="Q36" s="235">
        <f t="shared" si="45"/>
        <v>0</v>
      </c>
      <c r="R36" s="235">
        <f t="shared" si="45"/>
        <v>0</v>
      </c>
      <c r="S36" s="235">
        <f t="shared" si="45"/>
        <v>0</v>
      </c>
      <c r="T36" s="235">
        <f t="shared" si="45"/>
        <v>0</v>
      </c>
      <c r="U36" s="235">
        <f t="shared" si="45"/>
        <v>0</v>
      </c>
      <c r="V36" s="235">
        <f t="shared" si="45"/>
        <v>0</v>
      </c>
      <c r="W36" s="235">
        <f t="shared" si="45"/>
        <v>0</v>
      </c>
      <c r="X36" s="235">
        <f t="shared" si="45"/>
        <v>0</v>
      </c>
      <c r="Y36" s="235">
        <f t="shared" si="45"/>
        <v>0</v>
      </c>
      <c r="Z36" s="235">
        <f t="shared" si="45"/>
        <v>0</v>
      </c>
      <c r="AA36" s="235">
        <f t="shared" si="45"/>
        <v>0</v>
      </c>
      <c r="AB36" s="237">
        <f t="shared" si="45"/>
        <v>0</v>
      </c>
      <c r="AE36" s="238">
        <f t="shared" ref="AE36:AQ36" si="46">AE16-AE33</f>
        <v>556.29999999999995</v>
      </c>
      <c r="AF36" s="235">
        <f t="shared" si="46"/>
        <v>33077.51</v>
      </c>
      <c r="AG36" s="235">
        <f t="shared" si="46"/>
        <v>48994.74</v>
      </c>
      <c r="AH36" s="235">
        <f t="shared" si="46"/>
        <v>-836.06000000000006</v>
      </c>
      <c r="AI36" s="235">
        <f t="shared" si="46"/>
        <v>32233.956399999999</v>
      </c>
      <c r="AJ36" s="235">
        <f t="shared" si="46"/>
        <v>-16.5</v>
      </c>
      <c r="AK36" s="235">
        <f t="shared" si="46"/>
        <v>-350</v>
      </c>
      <c r="AL36" s="235">
        <f t="shared" si="46"/>
        <v>22802.84</v>
      </c>
      <c r="AM36" s="235">
        <f t="shared" si="46"/>
        <v>32165.799999999996</v>
      </c>
      <c r="AN36" s="235">
        <f t="shared" si="46"/>
        <v>18732.800000000003</v>
      </c>
      <c r="AO36" s="235">
        <f t="shared" si="46"/>
        <v>-932.99999999999955</v>
      </c>
      <c r="AP36" s="235">
        <f t="shared" si="46"/>
        <v>16391.690000000002</v>
      </c>
      <c r="AQ36" s="237">
        <f t="shared" si="46"/>
        <v>202820.07640000005</v>
      </c>
      <c r="AS36" s="218"/>
      <c r="AT36" s="127"/>
      <c r="AU36" s="238">
        <f t="shared" ref="AU36:BG36" si="47">AU16-AU33</f>
        <v>19307.8</v>
      </c>
      <c r="AV36" s="235">
        <f t="shared" si="47"/>
        <v>24836.699999999997</v>
      </c>
      <c r="AW36" s="235">
        <f t="shared" si="47"/>
        <v>2433.7799999999997</v>
      </c>
      <c r="AX36" s="235">
        <f t="shared" si="47"/>
        <v>10880.66</v>
      </c>
      <c r="AY36" s="235">
        <f t="shared" si="47"/>
        <v>5926.2999999999993</v>
      </c>
      <c r="AZ36" s="235">
        <f t="shared" si="47"/>
        <v>2875.8799999999997</v>
      </c>
      <c r="BA36" s="235">
        <f t="shared" si="47"/>
        <v>8914.5</v>
      </c>
      <c r="BB36" s="235">
        <f t="shared" si="47"/>
        <v>1311.2099999999991</v>
      </c>
      <c r="BC36" s="235">
        <f t="shared" si="47"/>
        <v>8789.6</v>
      </c>
      <c r="BD36" s="235">
        <f t="shared" si="47"/>
        <v>5587.45</v>
      </c>
      <c r="BE36" s="235">
        <f t="shared" si="47"/>
        <v>-2916.0400000000009</v>
      </c>
      <c r="BF36" s="235">
        <f t="shared" si="47"/>
        <v>21842.86</v>
      </c>
      <c r="BG36" s="237">
        <f t="shared" si="47"/>
        <v>109790.7</v>
      </c>
      <c r="BH36" s="221"/>
      <c r="BJ36" s="238">
        <f>BJ16-BJ33</f>
        <v>8083.9</v>
      </c>
      <c r="BK36" s="235">
        <f t="shared" ref="BK36:BU36" si="48">BK16-BK33</f>
        <v>24641.73</v>
      </c>
      <c r="BL36" s="235">
        <f t="shared" si="48"/>
        <v>33567.47</v>
      </c>
      <c r="BM36" s="235">
        <f t="shared" si="48"/>
        <v>4270.619999999999</v>
      </c>
      <c r="BN36" s="235">
        <f t="shared" si="48"/>
        <v>6867.7</v>
      </c>
      <c r="BO36" s="235">
        <f t="shared" si="48"/>
        <v>1902.6800000000003</v>
      </c>
      <c r="BP36" s="235">
        <f t="shared" si="48"/>
        <v>5699.14</v>
      </c>
      <c r="BQ36" s="235">
        <f t="shared" si="48"/>
        <v>-777.76999999999987</v>
      </c>
      <c r="BR36" s="235">
        <f t="shared" si="48"/>
        <v>3053.16</v>
      </c>
      <c r="BS36" s="239">
        <f t="shared" si="48"/>
        <v>13462.909999999998</v>
      </c>
      <c r="BT36" s="239">
        <f t="shared" si="48"/>
        <v>27772.599999999995</v>
      </c>
      <c r="BU36" s="239">
        <f t="shared" si="48"/>
        <v>26530.25</v>
      </c>
      <c r="BV36" s="237">
        <f>BV16-BV33</f>
        <v>155074.38999999998</v>
      </c>
      <c r="BY36" s="240">
        <f t="shared" ref="BY36:CK36" si="49">BY16-BY33</f>
        <v>5327.4999999999991</v>
      </c>
      <c r="BZ36" s="239">
        <f t="shared" si="49"/>
        <v>33321.089999999997</v>
      </c>
      <c r="CA36" s="239">
        <f t="shared" si="49"/>
        <v>20496.999999999996</v>
      </c>
      <c r="CB36" s="239">
        <f t="shared" si="49"/>
        <v>30511.5</v>
      </c>
      <c r="CC36" s="239">
        <f t="shared" si="49"/>
        <v>-2952.09</v>
      </c>
      <c r="CD36" s="239">
        <f t="shared" si="49"/>
        <v>5327.4999999999991</v>
      </c>
      <c r="CE36" s="239">
        <f t="shared" si="49"/>
        <v>3441.9999999999991</v>
      </c>
      <c r="CF36" s="239">
        <f t="shared" si="49"/>
        <v>496.4399999999996</v>
      </c>
      <c r="CG36" s="239">
        <f t="shared" si="49"/>
        <v>18367.999999999996</v>
      </c>
      <c r="CH36" s="239">
        <f t="shared" si="49"/>
        <v>13625.999999999998</v>
      </c>
      <c r="CI36" s="239">
        <f t="shared" si="49"/>
        <v>26713.189999999995</v>
      </c>
      <c r="CJ36" s="239">
        <f t="shared" si="49"/>
        <v>33757.58</v>
      </c>
      <c r="CK36" s="237">
        <f t="shared" si="49"/>
        <v>188435.71</v>
      </c>
      <c r="CN36" s="240">
        <f t="shared" ref="CN36:CZ36" si="50">CN16-CN33</f>
        <v>29122.333333333336</v>
      </c>
      <c r="CO36" s="239">
        <f t="shared" si="50"/>
        <v>51120.840000000011</v>
      </c>
      <c r="CP36" s="239">
        <f t="shared" si="50"/>
        <v>34180.679999999993</v>
      </c>
      <c r="CQ36" s="239">
        <f t="shared" si="50"/>
        <v>22670.17</v>
      </c>
      <c r="CR36" s="239">
        <f t="shared" si="50"/>
        <v>909.1899999999996</v>
      </c>
      <c r="CS36" s="239">
        <f t="shared" si="50"/>
        <v>6753.3238636363631</v>
      </c>
      <c r="CT36" s="239">
        <f t="shared" si="50"/>
        <v>4263.2000000000007</v>
      </c>
      <c r="CU36" s="239">
        <f t="shared" si="50"/>
        <v>1078.0400000000004</v>
      </c>
      <c r="CV36" s="239">
        <f t="shared" si="50"/>
        <v>23294.400000000001</v>
      </c>
      <c r="CW36" s="239">
        <f t="shared" si="50"/>
        <v>15849.043478260872</v>
      </c>
      <c r="CX36" s="239">
        <f t="shared" si="50"/>
        <v>30888.109999999997</v>
      </c>
      <c r="CY36" s="239">
        <f t="shared" si="50"/>
        <v>37964.44000000001</v>
      </c>
      <c r="CZ36" s="237">
        <f t="shared" si="50"/>
        <v>258093.77067523057</v>
      </c>
      <c r="DB36" s="219"/>
      <c r="DC36" s="222"/>
    </row>
    <row r="37" spans="2:107">
      <c r="B37" s="180" t="s">
        <v>31</v>
      </c>
      <c r="C37" s="146"/>
      <c r="D37" s="146"/>
      <c r="E37" s="146"/>
      <c r="F37" s="146"/>
      <c r="G37" s="146"/>
      <c r="H37" s="146"/>
      <c r="I37" s="146"/>
      <c r="J37" s="146"/>
      <c r="K37" s="146"/>
      <c r="L37" s="146"/>
      <c r="M37" s="146"/>
      <c r="N37" s="146"/>
      <c r="O37" s="183">
        <f>O36-SUM(C36:N36)</f>
        <v>0</v>
      </c>
      <c r="P37" s="146"/>
      <c r="Q37" s="146"/>
      <c r="R37" s="146"/>
      <c r="S37" s="146"/>
      <c r="T37" s="146"/>
      <c r="U37" s="146"/>
      <c r="V37" s="146"/>
      <c r="W37" s="146"/>
      <c r="X37" s="146"/>
      <c r="Y37" s="146"/>
      <c r="Z37" s="146"/>
      <c r="AA37" s="146"/>
      <c r="AB37" s="183">
        <f>AB36-SUM(P36:AA36)</f>
        <v>0</v>
      </c>
      <c r="AE37" s="146"/>
      <c r="AF37" s="146"/>
      <c r="AG37" s="146"/>
      <c r="AH37" s="146"/>
      <c r="AI37" s="146"/>
      <c r="AJ37" s="146"/>
      <c r="AK37" s="146"/>
      <c r="AL37" s="146"/>
      <c r="AM37" s="146"/>
      <c r="AN37" s="146"/>
      <c r="AO37" s="146"/>
      <c r="AP37" s="146"/>
      <c r="AQ37" s="183">
        <f>AQ36-SUM(AE36:AP36)</f>
        <v>0</v>
      </c>
      <c r="AU37" s="146"/>
      <c r="AV37" s="146"/>
      <c r="AW37" s="146"/>
      <c r="AX37" s="146"/>
      <c r="AY37" s="146"/>
      <c r="AZ37" s="146"/>
      <c r="BA37" s="146"/>
      <c r="BB37" s="146"/>
      <c r="BC37" s="146"/>
      <c r="BD37" s="146"/>
      <c r="BE37" s="146"/>
      <c r="BF37" s="146"/>
      <c r="BG37" s="183">
        <f>BG36-SUM(AU36:BF36)</f>
        <v>0</v>
      </c>
      <c r="BH37" s="189"/>
      <c r="BJ37" s="146"/>
      <c r="BK37" s="146"/>
      <c r="BL37" s="146"/>
      <c r="BM37" s="146"/>
      <c r="BN37" s="146"/>
      <c r="BO37" s="146"/>
      <c r="BP37" s="146"/>
      <c r="BQ37" s="146"/>
      <c r="BR37" s="146"/>
      <c r="BS37" s="160"/>
      <c r="BT37" s="160"/>
      <c r="BU37" s="160"/>
      <c r="BV37" s="183">
        <f>BV36-SUM(BJ36:BU36)</f>
        <v>0</v>
      </c>
      <c r="BY37" s="160"/>
      <c r="BZ37" s="160"/>
      <c r="CA37" s="160"/>
      <c r="CB37" s="160"/>
      <c r="CC37" s="160"/>
      <c r="CD37" s="160"/>
      <c r="CE37" s="160"/>
      <c r="CF37" s="160"/>
      <c r="CG37" s="160"/>
      <c r="CH37" s="160"/>
      <c r="CI37" s="160"/>
      <c r="CJ37" s="160"/>
      <c r="CK37" s="183">
        <f>CK36-SUM(BY36:CJ36)</f>
        <v>0</v>
      </c>
      <c r="CN37" s="160"/>
      <c r="CO37" s="160"/>
      <c r="CP37" s="160"/>
      <c r="CQ37" s="160"/>
      <c r="CR37" s="160"/>
      <c r="CS37" s="160"/>
      <c r="CT37" s="160"/>
      <c r="CU37" s="160"/>
      <c r="CV37" s="160"/>
      <c r="CW37" s="160"/>
      <c r="CX37" s="160"/>
      <c r="CY37" s="160"/>
      <c r="CZ37" s="183">
        <f>CZ36-SUM(CN36:CY36)</f>
        <v>0</v>
      </c>
      <c r="DB37" s="142"/>
      <c r="DC37" s="143"/>
    </row>
    <row r="38" spans="2:107">
      <c r="B38" s="241" t="s">
        <v>73</v>
      </c>
      <c r="C38" s="165"/>
      <c r="D38" s="165"/>
      <c r="E38" s="165"/>
      <c r="F38" s="165"/>
      <c r="G38" s="165"/>
      <c r="H38" s="165"/>
      <c r="I38" s="165"/>
      <c r="J38" s="165"/>
      <c r="K38" s="165"/>
      <c r="L38" s="165"/>
      <c r="M38" s="165"/>
      <c r="N38" s="165"/>
      <c r="O38" s="160"/>
      <c r="P38" s="165"/>
      <c r="Q38" s="165"/>
      <c r="R38" s="165"/>
      <c r="S38" s="165"/>
      <c r="T38" s="165"/>
      <c r="U38" s="165"/>
      <c r="V38" s="165"/>
      <c r="W38" s="165"/>
      <c r="X38" s="165"/>
      <c r="Y38" s="165"/>
      <c r="Z38" s="165"/>
      <c r="AA38" s="165"/>
      <c r="AB38" s="160"/>
      <c r="AE38" s="165"/>
      <c r="AF38" s="165"/>
      <c r="AG38" s="165"/>
      <c r="AH38" s="165"/>
      <c r="AI38" s="165"/>
      <c r="AJ38" s="165"/>
      <c r="AK38" s="165"/>
      <c r="AL38" s="165"/>
      <c r="AM38" s="165"/>
      <c r="AN38" s="165"/>
      <c r="AO38" s="165"/>
      <c r="AP38" s="165"/>
      <c r="AQ38" s="160"/>
      <c r="AU38" s="146"/>
      <c r="AV38" s="146"/>
      <c r="AW38" s="146"/>
      <c r="AX38" s="146"/>
      <c r="AY38" s="146"/>
      <c r="AZ38" s="146"/>
      <c r="BA38" s="146"/>
      <c r="BB38" s="146"/>
      <c r="BC38" s="146"/>
      <c r="BD38" s="146"/>
      <c r="BE38" s="146"/>
      <c r="BF38" s="146"/>
      <c r="BG38" s="160"/>
      <c r="BH38" s="160"/>
      <c r="BJ38" s="146"/>
      <c r="BK38" s="146"/>
      <c r="BL38" s="146"/>
      <c r="BM38" s="146"/>
      <c r="BN38" s="146"/>
      <c r="BO38" s="146"/>
      <c r="BP38" s="146"/>
      <c r="BQ38" s="146"/>
      <c r="BR38" s="146"/>
      <c r="BS38" s="160"/>
      <c r="BT38" s="160"/>
      <c r="BU38" s="160"/>
      <c r="BV38" s="160"/>
      <c r="BY38" s="160"/>
      <c r="BZ38" s="160"/>
      <c r="CA38" s="160"/>
      <c r="CB38" s="160"/>
      <c r="CC38" s="160"/>
      <c r="CD38" s="160"/>
      <c r="CE38" s="160"/>
      <c r="CF38" s="160"/>
      <c r="CG38" s="160"/>
      <c r="CH38" s="160"/>
      <c r="CI38" s="160"/>
      <c r="CJ38" s="160"/>
      <c r="CK38" s="160"/>
      <c r="CN38" s="160"/>
      <c r="CO38" s="160"/>
      <c r="CP38" s="160"/>
      <c r="CQ38" s="160"/>
      <c r="CR38" s="160"/>
      <c r="CS38" s="160"/>
      <c r="CT38" s="160"/>
      <c r="CU38" s="160"/>
      <c r="CV38" s="160"/>
      <c r="CW38" s="160"/>
      <c r="CX38" s="160"/>
      <c r="CY38" s="160"/>
      <c r="CZ38" s="160"/>
      <c r="DB38" s="142"/>
      <c r="DC38" s="143"/>
    </row>
    <row r="39" spans="2:107">
      <c r="B39" s="242" t="s">
        <v>74</v>
      </c>
      <c r="C39" s="146"/>
      <c r="D39" s="146"/>
      <c r="E39" s="146"/>
      <c r="F39" s="146"/>
      <c r="G39" s="146"/>
      <c r="H39" s="146"/>
      <c r="I39" s="146"/>
      <c r="J39" s="144"/>
      <c r="K39" s="140"/>
      <c r="L39" s="146"/>
      <c r="M39" s="146"/>
      <c r="N39" s="146"/>
      <c r="O39" s="202">
        <f>SUM(C39:N39)</f>
        <v>0</v>
      </c>
      <c r="P39" s="243"/>
      <c r="Q39" s="146"/>
      <c r="R39" s="146"/>
      <c r="S39" s="146"/>
      <c r="T39" s="146"/>
      <c r="U39" s="146"/>
      <c r="V39" s="146"/>
      <c r="W39" s="147"/>
      <c r="X39" s="146"/>
      <c r="Y39" s="146"/>
      <c r="Z39" s="146"/>
      <c r="AA39" s="146"/>
      <c r="AB39" s="202">
        <f>SUM(P39:AA39)</f>
        <v>0</v>
      </c>
      <c r="AE39" s="244"/>
      <c r="AF39" s="154"/>
      <c r="AG39" s="154"/>
      <c r="AH39" s="154"/>
      <c r="AI39" s="154"/>
      <c r="AJ39" s="154"/>
      <c r="AK39" s="154"/>
      <c r="AL39" s="154">
        <f>11097.9+18432.79</f>
        <v>29530.690000000002</v>
      </c>
      <c r="AM39" s="154">
        <f>22119.63+9843.78+9810.18</f>
        <v>41773.590000000004</v>
      </c>
      <c r="AN39" s="154">
        <f>SUM('Alimento y ventas'!J304:J304)+18500</f>
        <v>18500</v>
      </c>
      <c r="AO39" s="154">
        <f>SUM('Alimento y ventas'!K304:K304)</f>
        <v>0</v>
      </c>
      <c r="AP39" s="154">
        <f>SUM('Alimento y ventas'!L304:L304)</f>
        <v>0</v>
      </c>
      <c r="AQ39" s="202">
        <f>SUM(AE39:AP39)</f>
        <v>89804.28</v>
      </c>
      <c r="AU39" s="244">
        <f>SUM('Alimento y ventas'!M304:M304)</f>
        <v>0</v>
      </c>
      <c r="AV39" s="154">
        <f>SUM('Alimento y ventas'!N304:N304)</f>
        <v>0</v>
      </c>
      <c r="AW39" s="154">
        <f>SUM('Alimento y ventas'!O304:O304)</f>
        <v>0</v>
      </c>
      <c r="AX39" s="154">
        <f>SUM('Alimento y ventas'!P304:P304)</f>
        <v>0</v>
      </c>
      <c r="AY39" s="154">
        <f>SUM('Alimento y ventas'!Q304:Q304)</f>
        <v>0</v>
      </c>
      <c r="AZ39" s="154">
        <f>SUM('Alimento y ventas'!T304:T304)*0+17320.32</f>
        <v>17320.32</v>
      </c>
      <c r="BA39" s="154">
        <f>SUM('Alimento y ventas'!U304:U304)*0+((13.9*50*40.55)/2)*1.1*0+14657.02</f>
        <v>14657.02</v>
      </c>
      <c r="BB39" s="154">
        <f>SUM('Alimento y ventas'!V304:V304)*0+17380.33+16491.59+16077.7</f>
        <v>49949.619999999995</v>
      </c>
      <c r="BC39" s="154">
        <f>SUM('Alimento y ventas'!W304:W304)*0+((13.9*50*40.55)/2)*1.1*0+(87*4.66*39.35)*1.1*0+14715.83+1697.03</f>
        <v>16412.86</v>
      </c>
      <c r="BD39" s="154">
        <f>SUM('Alimento y ventas'!X304:X304)*0+541.45</f>
        <v>541.45000000000005</v>
      </c>
      <c r="BE39" s="154">
        <f>SUM('Alimento y ventas'!Y304:Y304)*0+543.85</f>
        <v>543.85</v>
      </c>
      <c r="BF39" s="477">
        <f>SUM('Alimento y ventas'!Z304:Z304)</f>
        <v>0</v>
      </c>
      <c r="BG39" s="492">
        <f>SUM(AU39:BF39)</f>
        <v>99425.12</v>
      </c>
      <c r="BH39" s="160"/>
      <c r="BJ39" s="244">
        <f>SUM('Alimento y ventas'!AA304:AA304)</f>
        <v>0</v>
      </c>
      <c r="BK39" s="154">
        <f>SUM('Alimento y ventas'!AB304:AB304)</f>
        <v>0</v>
      </c>
      <c r="BL39" s="282">
        <f>SUM('Alimento y ventas'!AC304:AC304)</f>
        <v>0</v>
      </c>
      <c r="BM39" s="282">
        <f>SUM('Alimento y ventas'!AD304:AD304)</f>
        <v>0</v>
      </c>
      <c r="BN39" s="282">
        <f>SUM('Alimento y ventas'!AE304:AE304)</f>
        <v>0</v>
      </c>
      <c r="BO39" s="155">
        <f>SUM('Alimento y ventas'!AF304:AF304)*0+15035.34+840-48</f>
        <v>15827.34</v>
      </c>
      <c r="BP39" s="155">
        <f>SUM('Alimento y ventas'!AG304:AG304)/2*0+400</f>
        <v>400</v>
      </c>
      <c r="BQ39" s="154">
        <f>SUM('Alimento y ventas'!AH304:AH304)*0+15035.34+20132.13+6013.35+12813.98+344.01</f>
        <v>54338.810000000005</v>
      </c>
      <c r="BR39" s="282">
        <f>SUM('Alimento y ventas'!AI304:AI304)*0+23768.62*0</f>
        <v>0</v>
      </c>
      <c r="BS39" s="571">
        <f>SUM('Alimento y ventas'!AJ304:AJ304)*0+12400*0</f>
        <v>0</v>
      </c>
      <c r="BT39" s="491">
        <f>SUM('Alimento y ventas'!AK304:AK304)</f>
        <v>0</v>
      </c>
      <c r="BU39" s="490">
        <f>SUM('Alimento y ventas'!AL304:AL304)</f>
        <v>0</v>
      </c>
      <c r="BV39" s="198">
        <f>SUM(BJ39:BU39)</f>
        <v>70566.150000000009</v>
      </c>
      <c r="BY39" s="245">
        <f>SUM('Alimento y ventas'!AM304:AM304)</f>
        <v>0</v>
      </c>
      <c r="BZ39" s="157">
        <f>SUM('Alimento y ventas'!AN304:AN304)</f>
        <v>0</v>
      </c>
      <c r="CA39" s="157">
        <f>SUM('Alimento y ventas'!AO304:AO304)</f>
        <v>0</v>
      </c>
      <c r="CB39" s="157">
        <f>SUM('Alimento y ventas'!AP304:AP304)</f>
        <v>0</v>
      </c>
      <c r="CC39" s="157">
        <f>SUM('Alimento y ventas'!AQ304:AQ304)</f>
        <v>0</v>
      </c>
      <c r="CD39" s="157">
        <f>SUM('Alimento y ventas'!AR304:AR304)</f>
        <v>31824</v>
      </c>
      <c r="CE39" s="157">
        <f>SUM('Alimento y ventas'!AS304:AS304)</f>
        <v>63648</v>
      </c>
      <c r="CF39" s="157">
        <f>SUM('Alimento y ventas'!AT304:AT304)</f>
        <v>31824</v>
      </c>
      <c r="CG39" s="157">
        <f>SUM('Alimento y ventas'!AU304:AU304)</f>
        <v>8000</v>
      </c>
      <c r="CH39" s="157">
        <f>SUM('Alimento y ventas'!AV304:AV304)</f>
        <v>8000</v>
      </c>
      <c r="CI39" s="157">
        <f>SUM('Alimento y ventas'!AW304:AW304)</f>
        <v>0</v>
      </c>
      <c r="CJ39" s="157">
        <f>SUM('Alimento y ventas'!AX304:AX304)</f>
        <v>0</v>
      </c>
      <c r="CK39" s="202">
        <f>SUM(BY39:CJ39)</f>
        <v>143296</v>
      </c>
      <c r="CN39" s="245">
        <f>SUM('Alimento y ventas'!AY304:AY304)</f>
        <v>0</v>
      </c>
      <c r="CO39" s="157">
        <f>SUM('Alimento y ventas'!AZ304:AZ304)</f>
        <v>0</v>
      </c>
      <c r="CP39" s="157">
        <f>SUM('Alimento y ventas'!BA304:BA304)</f>
        <v>0</v>
      </c>
      <c r="CQ39" s="157">
        <f>SUM('Alimento y ventas'!BB304:BB304)</f>
        <v>0</v>
      </c>
      <c r="CR39" s="157">
        <f>SUM('Alimento y ventas'!BC304:BC304)</f>
        <v>0</v>
      </c>
      <c r="CS39" s="157">
        <f>SUM('Alimento y ventas'!BD304:BD304)</f>
        <v>44640</v>
      </c>
      <c r="CT39" s="157">
        <f>SUM('Alimento y ventas'!BE304:BE304)</f>
        <v>89280</v>
      </c>
      <c r="CU39" s="157">
        <f>SUM('Alimento y ventas'!BF304:BF304)</f>
        <v>44640</v>
      </c>
      <c r="CV39" s="157">
        <f>SUM('Alimento y ventas'!BG304:BG304)</f>
        <v>0</v>
      </c>
      <c r="CW39" s="157">
        <f>SUM('Alimento y ventas'!BH304:BH304)</f>
        <v>0</v>
      </c>
      <c r="CX39" s="157">
        <f>SUM('Alimento y ventas'!BI304:BI304)</f>
        <v>0</v>
      </c>
      <c r="CY39" s="157">
        <f>SUM('Alimento y ventas'!BJ304:BJ304)</f>
        <v>0</v>
      </c>
      <c r="CZ39" s="202">
        <f>SUM(CN39:CY39)</f>
        <v>178560</v>
      </c>
      <c r="DB39" s="142"/>
      <c r="DC39" s="143"/>
    </row>
    <row r="40" spans="2:107">
      <c r="B40" s="242" t="s">
        <v>441</v>
      </c>
      <c r="C40" s="146"/>
      <c r="D40" s="146"/>
      <c r="E40" s="146"/>
      <c r="F40" s="146"/>
      <c r="G40" s="146"/>
      <c r="H40" s="146"/>
      <c r="I40" s="146"/>
      <c r="J40" s="144"/>
      <c r="K40" s="140"/>
      <c r="L40" s="146"/>
      <c r="M40" s="146"/>
      <c r="N40" s="146"/>
      <c r="O40" s="148">
        <f t="shared" ref="O40" si="51">SUM(C40:N40)</f>
        <v>0</v>
      </c>
      <c r="P40" s="246"/>
      <c r="Q40" s="146"/>
      <c r="R40" s="146"/>
      <c r="S40" s="146"/>
      <c r="T40" s="146"/>
      <c r="U40" s="146"/>
      <c r="V40" s="146"/>
      <c r="W40" s="147"/>
      <c r="X40" s="146"/>
      <c r="Y40" s="146"/>
      <c r="Z40" s="146"/>
      <c r="AA40" s="146"/>
      <c r="AB40" s="202">
        <f>SUM(P40:AA40)</f>
        <v>0</v>
      </c>
      <c r="AE40" s="247">
        <f>1471.3+422.1+2363.55</f>
        <v>4256.9500000000007</v>
      </c>
      <c r="AF40" s="144">
        <f>280.97</f>
        <v>280.97000000000003</v>
      </c>
      <c r="AG40" s="144">
        <f>385.6+194.92+3614.33+291.87+405.44+3026.79</f>
        <v>7918.95</v>
      </c>
      <c r="AH40" s="144">
        <f>3683.86+588.23+163.17+600+569.16+114.72+132.39</f>
        <v>5851.5300000000007</v>
      </c>
      <c r="AI40" s="144">
        <f>5511+474.08+504.59+62+33.08+28.88+204.05</f>
        <v>6817.68</v>
      </c>
      <c r="AJ40" s="144">
        <f>1725.36</f>
        <v>1725.36</v>
      </c>
      <c r="AK40" s="144">
        <f>190.33+2144.24</f>
        <v>2334.5699999999997</v>
      </c>
      <c r="AL40" s="144">
        <f>3553.99+970.99</f>
        <v>4524.9799999999996</v>
      </c>
      <c r="AM40" s="144">
        <f>3538.39+2491.42+172.7</f>
        <v>6202.5099999999993</v>
      </c>
      <c r="AN40" s="144">
        <f>2805.95+176.55+341.58+30.82+26.75+37.91+34.25</f>
        <v>3453.81</v>
      </c>
      <c r="AO40" s="144">
        <f>11.84</f>
        <v>11.84</v>
      </c>
      <c r="AP40" s="144">
        <f>6962.31+77.02</f>
        <v>7039.3300000000008</v>
      </c>
      <c r="AQ40" s="148">
        <f>SUM(AE40:AP40)</f>
        <v>50418.48</v>
      </c>
      <c r="AU40" s="370">
        <v>1689.99</v>
      </c>
      <c r="AV40" s="203">
        <f>4087.71+1754.56</f>
        <v>5842.27</v>
      </c>
      <c r="AW40" s="203">
        <f>363.03+264.86</f>
        <v>627.89</v>
      </c>
      <c r="AX40" s="203">
        <f>2217.47+519.42</f>
        <v>2736.89</v>
      </c>
      <c r="AY40" s="144">
        <f>3129.68</f>
        <v>3129.68</v>
      </c>
      <c r="AZ40" s="144">
        <f>2532.77</f>
        <v>2532.77</v>
      </c>
      <c r="BA40" s="144">
        <f>2677.63+202.38+370.13</f>
        <v>3250.1400000000003</v>
      </c>
      <c r="BB40" s="144">
        <f>1532.22</f>
        <v>1532.22</v>
      </c>
      <c r="BC40" s="144">
        <f>3341.7</f>
        <v>3341.7</v>
      </c>
      <c r="BD40" s="144">
        <f>1912.4</f>
        <v>1912.4</v>
      </c>
      <c r="BE40" s="144">
        <f>1444.85+2663.93</f>
        <v>4108.78</v>
      </c>
      <c r="BF40" s="144">
        <f>8083.81</f>
        <v>8083.81</v>
      </c>
      <c r="BG40" s="148">
        <f>SUM(AU40:BF40)</f>
        <v>38788.54</v>
      </c>
      <c r="BH40" s="160"/>
      <c r="BJ40" s="294">
        <f>3179.61</f>
        <v>3179.61</v>
      </c>
      <c r="BK40" s="144">
        <f>6320.08</f>
        <v>6320.08</v>
      </c>
      <c r="BL40" s="144">
        <f>2131.46+657.22</f>
        <v>2788.6800000000003</v>
      </c>
      <c r="BM40" s="144">
        <f>5550.46</f>
        <v>5550.46</v>
      </c>
      <c r="BN40" s="146">
        <v>0</v>
      </c>
      <c r="BO40" s="203">
        <f>1612.44+5050.16+1071.21+347.37+218.9</f>
        <v>8300.08</v>
      </c>
      <c r="BP40" s="203">
        <f>3241.29</f>
        <v>3241.29</v>
      </c>
      <c r="BQ40" s="203">
        <f>2841.52</f>
        <v>2841.52</v>
      </c>
      <c r="BR40" s="203">
        <f>1845.35</f>
        <v>1845.35</v>
      </c>
      <c r="BS40" s="160">
        <f>4137.18-96.89+3799.58+196.2</f>
        <v>8036.0700000000006</v>
      </c>
      <c r="BT40" s="160">
        <v>3349.97</v>
      </c>
      <c r="BU40" s="160">
        <v>5221.49</v>
      </c>
      <c r="BV40" s="148">
        <f>SUM(BJ40:BU40)</f>
        <v>50674.600000000006</v>
      </c>
      <c r="BY40" s="226"/>
      <c r="BZ40" s="160"/>
      <c r="CA40" s="160"/>
      <c r="CB40" s="160"/>
      <c r="CC40" s="160"/>
      <c r="CD40" s="160"/>
      <c r="CE40" s="160"/>
      <c r="CF40" s="160"/>
      <c r="CG40" s="160"/>
      <c r="CH40" s="160"/>
      <c r="CI40" s="160"/>
      <c r="CJ40" s="160"/>
      <c r="CK40" s="148">
        <f>SUM(BY40:CJ40)</f>
        <v>0</v>
      </c>
      <c r="CL40" s="169">
        <f>338*250</f>
        <v>84500</v>
      </c>
      <c r="CN40" s="226"/>
      <c r="CO40" s="160"/>
      <c r="CP40" s="160"/>
      <c r="CQ40" s="160"/>
      <c r="CR40" s="160"/>
      <c r="CS40" s="160"/>
      <c r="CT40" s="160"/>
      <c r="CU40" s="160"/>
      <c r="CV40" s="160"/>
      <c r="CW40" s="160"/>
      <c r="CX40" s="160"/>
      <c r="CY40" s="160"/>
      <c r="CZ40" s="148">
        <f>SUM(CN40:CY40)</f>
        <v>0</v>
      </c>
      <c r="DB40" s="142"/>
      <c r="DC40" s="143"/>
    </row>
    <row r="41" spans="2:107">
      <c r="B41" s="242" t="s">
        <v>439</v>
      </c>
      <c r="C41" s="146"/>
      <c r="D41" s="146"/>
      <c r="E41" s="146"/>
      <c r="F41" s="140"/>
      <c r="G41" s="203"/>
      <c r="H41" s="140"/>
      <c r="I41" s="203"/>
      <c r="J41" s="147"/>
      <c r="K41" s="146"/>
      <c r="L41" s="248"/>
      <c r="M41" s="140"/>
      <c r="N41" s="147"/>
      <c r="O41" s="249">
        <f>SUM(C41:N41)</f>
        <v>0</v>
      </c>
      <c r="P41" s="250"/>
      <c r="Q41" s="146"/>
      <c r="R41" s="146"/>
      <c r="S41" s="147"/>
      <c r="T41" s="147"/>
      <c r="U41" s="251"/>
      <c r="V41" s="147"/>
      <c r="W41" s="147"/>
      <c r="X41" s="147"/>
      <c r="Y41" s="147"/>
      <c r="Z41" s="147"/>
      <c r="AA41" s="146"/>
      <c r="AB41" s="249">
        <f>SUM(P41:AA41)</f>
        <v>0</v>
      </c>
      <c r="AE41" s="250"/>
      <c r="AF41" s="147"/>
      <c r="AG41" s="146"/>
      <c r="AH41" s="147"/>
      <c r="AI41" s="147"/>
      <c r="AJ41" s="251"/>
      <c r="AK41" s="147"/>
      <c r="AL41" s="147"/>
      <c r="AM41" s="227">
        <v>110</v>
      </c>
      <c r="AN41" s="147"/>
      <c r="AO41" s="147"/>
      <c r="AP41" s="146"/>
      <c r="AQ41" s="249">
        <f>SUM(AE41:AP41)</f>
        <v>110</v>
      </c>
      <c r="AU41" s="370"/>
      <c r="AV41" s="227">
        <f>11.1+36.31+33</f>
        <v>80.41</v>
      </c>
      <c r="AW41" s="227">
        <f>720+235.84+84+88+70</f>
        <v>1197.8400000000001</v>
      </c>
      <c r="AX41" s="203">
        <f>89.2+114.4+227.04+111.76+184.4+459.7</f>
        <v>1186.5</v>
      </c>
      <c r="AY41" s="144">
        <f>124.96+139.15+95.6+78</f>
        <v>437.71000000000004</v>
      </c>
      <c r="AZ41" s="144">
        <f>178.62+106.92+111.32</f>
        <v>396.86</v>
      </c>
      <c r="BA41" s="227">
        <f>298.21+10</f>
        <v>308.20999999999998</v>
      </c>
      <c r="BB41" s="144">
        <f>132.11+150.81+233.97+137.61+168.96+218.4+136.89+144.77+285.44+235.2</f>
        <v>1844.16</v>
      </c>
      <c r="BC41" s="144">
        <f>225+205.65+29</f>
        <v>459.65</v>
      </c>
      <c r="BD41" s="211"/>
      <c r="BE41" s="144">
        <f>131.89+126.61+126.61</f>
        <v>385.11</v>
      </c>
      <c r="BF41" s="144">
        <f>142.89+127.82+130.57</f>
        <v>401.28</v>
      </c>
      <c r="BG41" s="148">
        <f>SUM(AU41:BF41)</f>
        <v>6697.73</v>
      </c>
      <c r="BH41" s="160"/>
      <c r="BJ41" s="370">
        <f>129.25+108.9+500.28</f>
        <v>738.43</v>
      </c>
      <c r="BK41" s="338">
        <v>127.45</v>
      </c>
      <c r="BL41" s="338">
        <f>586.52+76.8+100.32+97.85+120.45+105.6+133.65+243.54+227.92+107.36+120.01+127.05+136.62</f>
        <v>2183.69</v>
      </c>
      <c r="BM41" s="338">
        <f>303.6+97.68</f>
        <v>401.28000000000003</v>
      </c>
      <c r="BN41" s="338">
        <f>241.12+140.25+296.5+150.7+141.5+337.04+254.54+110+121.6+156.7+156.2+152.46+135.88+141.24+154.66+750</f>
        <v>3440.3899999999994</v>
      </c>
      <c r="BO41" s="337">
        <f>106+2006.4+135.41+1996.37+165+140.69+116.8+136.95+141.46+111.32+287+479.6+556+850</f>
        <v>7229</v>
      </c>
      <c r="BP41" s="338">
        <f>113.08+123.54+122.76</f>
        <v>359.38</v>
      </c>
      <c r="BQ41" s="337">
        <f>150+380+134.68+157.23+154.22</f>
        <v>976.13000000000011</v>
      </c>
      <c r="BR41" s="338">
        <f>285.26+344.83+171.91+324.84</f>
        <v>1126.8399999999999</v>
      </c>
      <c r="BS41" s="367">
        <f>111.76+98.4+983.75+131.45+3015.32-1585.22</f>
        <v>2755.46</v>
      </c>
      <c r="BT41" s="497">
        <v>1100</v>
      </c>
      <c r="BU41" s="497">
        <v>1100</v>
      </c>
      <c r="BV41" s="148">
        <f>SUM(BJ41:BU41)</f>
        <v>21538.05</v>
      </c>
      <c r="BY41" s="252"/>
      <c r="BZ41" s="168"/>
      <c r="CA41" s="168"/>
      <c r="CB41" s="253"/>
      <c r="CC41" s="253"/>
      <c r="CD41" s="254"/>
      <c r="CE41" s="253"/>
      <c r="CF41" s="253"/>
      <c r="CG41" s="253"/>
      <c r="CH41" s="253"/>
      <c r="CI41" s="253"/>
      <c r="CJ41" s="255"/>
      <c r="CK41" s="148">
        <f>SUM(BY41:CJ41)</f>
        <v>0</v>
      </c>
      <c r="CN41" s="252"/>
      <c r="CO41" s="168"/>
      <c r="CP41" s="168"/>
      <c r="CQ41" s="253"/>
      <c r="CR41" s="253"/>
      <c r="CS41" s="254"/>
      <c r="CT41" s="253"/>
      <c r="CU41" s="253"/>
      <c r="CV41" s="253"/>
      <c r="CW41" s="253"/>
      <c r="CX41" s="253"/>
      <c r="CY41" s="255"/>
      <c r="CZ41" s="148">
        <f>SUM(CN41:CY41)</f>
        <v>0</v>
      </c>
      <c r="DB41" s="142"/>
      <c r="DC41" s="143"/>
    </row>
    <row r="42" spans="2:107" s="217" customFormat="1" ht="15.75">
      <c r="B42" s="256" t="s">
        <v>75</v>
      </c>
      <c r="C42" s="172">
        <f t="shared" ref="C42:M42" si="52">SUM(C39:C41)</f>
        <v>0</v>
      </c>
      <c r="D42" s="172">
        <f t="shared" si="52"/>
        <v>0</v>
      </c>
      <c r="E42" s="172">
        <f t="shared" si="52"/>
        <v>0</v>
      </c>
      <c r="F42" s="172">
        <f t="shared" si="52"/>
        <v>0</v>
      </c>
      <c r="G42" s="172">
        <f>SUM(G39:G41)</f>
        <v>0</v>
      </c>
      <c r="H42" s="172">
        <f>SUM(H39:H41)</f>
        <v>0</v>
      </c>
      <c r="I42" s="172">
        <f>SUM(I39:I41)</f>
        <v>0</v>
      </c>
      <c r="J42" s="172">
        <f>SUM(J39:J41)</f>
        <v>0</v>
      </c>
      <c r="K42" s="172">
        <f t="shared" si="52"/>
        <v>0</v>
      </c>
      <c r="L42" s="172">
        <f>SUM(L39:L41)</f>
        <v>0</v>
      </c>
      <c r="M42" s="172">
        <f t="shared" si="52"/>
        <v>0</v>
      </c>
      <c r="N42" s="172">
        <f>SUM(N39:N41)</f>
        <v>0</v>
      </c>
      <c r="O42" s="257">
        <f>SUM(O39:O41)</f>
        <v>0</v>
      </c>
      <c r="P42" s="174">
        <f t="shared" ref="P42:AA42" si="53">SUM(P39:P41)</f>
        <v>0</v>
      </c>
      <c r="Q42" s="172">
        <f t="shared" si="53"/>
        <v>0</v>
      </c>
      <c r="R42" s="172">
        <f t="shared" si="53"/>
        <v>0</v>
      </c>
      <c r="S42" s="172">
        <f t="shared" si="53"/>
        <v>0</v>
      </c>
      <c r="T42" s="172">
        <f t="shared" si="53"/>
        <v>0</v>
      </c>
      <c r="U42" s="172">
        <f t="shared" si="53"/>
        <v>0</v>
      </c>
      <c r="V42" s="172">
        <f t="shared" si="53"/>
        <v>0</v>
      </c>
      <c r="W42" s="172">
        <f t="shared" si="53"/>
        <v>0</v>
      </c>
      <c r="X42" s="172">
        <f t="shared" si="53"/>
        <v>0</v>
      </c>
      <c r="Y42" s="172">
        <f t="shared" si="53"/>
        <v>0</v>
      </c>
      <c r="Z42" s="172">
        <f t="shared" si="53"/>
        <v>0</v>
      </c>
      <c r="AA42" s="172">
        <f t="shared" si="53"/>
        <v>0</v>
      </c>
      <c r="AB42" s="216">
        <f>SUM(AB39:AB41)</f>
        <v>0</v>
      </c>
      <c r="AE42" s="174">
        <f t="shared" ref="AE42:AP42" si="54">SUM(AE39:AE41)</f>
        <v>4256.9500000000007</v>
      </c>
      <c r="AF42" s="172">
        <f t="shared" si="54"/>
        <v>280.97000000000003</v>
      </c>
      <c r="AG42" s="172">
        <f t="shared" si="54"/>
        <v>7918.95</v>
      </c>
      <c r="AH42" s="172">
        <f t="shared" si="54"/>
        <v>5851.5300000000007</v>
      </c>
      <c r="AI42" s="172">
        <f t="shared" si="54"/>
        <v>6817.68</v>
      </c>
      <c r="AJ42" s="172">
        <f t="shared" si="54"/>
        <v>1725.36</v>
      </c>
      <c r="AK42" s="172">
        <f t="shared" si="54"/>
        <v>2334.5699999999997</v>
      </c>
      <c r="AL42" s="172">
        <f t="shared" si="54"/>
        <v>34055.67</v>
      </c>
      <c r="AM42" s="172">
        <f t="shared" si="54"/>
        <v>48086.100000000006</v>
      </c>
      <c r="AN42" s="172">
        <f t="shared" si="54"/>
        <v>21953.81</v>
      </c>
      <c r="AO42" s="172">
        <f t="shared" si="54"/>
        <v>11.84</v>
      </c>
      <c r="AP42" s="172">
        <f t="shared" si="54"/>
        <v>7039.3300000000008</v>
      </c>
      <c r="AQ42" s="216">
        <f>SUM(AQ39:AQ41)</f>
        <v>140332.76</v>
      </c>
      <c r="AS42" s="218"/>
      <c r="AU42" s="174">
        <f t="shared" ref="AU42:BF42" si="55">SUM(AU39:AU41)</f>
        <v>1689.99</v>
      </c>
      <c r="AV42" s="172">
        <f>SUM(AV39:AV41)</f>
        <v>5922.68</v>
      </c>
      <c r="AW42" s="172">
        <f>SUM(AW39:AW41)</f>
        <v>1825.73</v>
      </c>
      <c r="AX42" s="172">
        <f t="shared" si="55"/>
        <v>3923.39</v>
      </c>
      <c r="AY42" s="172">
        <f t="shared" si="55"/>
        <v>3567.39</v>
      </c>
      <c r="AZ42" s="172">
        <f t="shared" si="55"/>
        <v>20249.95</v>
      </c>
      <c r="BA42" s="172">
        <f t="shared" si="55"/>
        <v>18215.37</v>
      </c>
      <c r="BB42" s="172">
        <f>SUM(BB39:BB41)</f>
        <v>53326</v>
      </c>
      <c r="BC42" s="172">
        <f t="shared" si="55"/>
        <v>20214.210000000003</v>
      </c>
      <c r="BD42" s="172">
        <f t="shared" si="55"/>
        <v>2453.8500000000004</v>
      </c>
      <c r="BE42" s="172">
        <f t="shared" si="55"/>
        <v>5037.74</v>
      </c>
      <c r="BF42" s="479">
        <f t="shared" si="55"/>
        <v>8485.09</v>
      </c>
      <c r="BG42" s="216">
        <f>SUM(BG39:BG41)</f>
        <v>144911.39000000001</v>
      </c>
      <c r="BH42" s="221"/>
      <c r="BJ42" s="515">
        <f>SUM(BJ39:BJ41)</f>
        <v>3918.04</v>
      </c>
      <c r="BK42" s="176">
        <f>SUM(BK39:BK41)</f>
        <v>6447.53</v>
      </c>
      <c r="BL42" s="176">
        <f t="shared" ref="BL42:BU42" si="56">SUM(BL39:BL41)</f>
        <v>4972.3700000000008</v>
      </c>
      <c r="BM42" s="176">
        <f t="shared" si="56"/>
        <v>5951.74</v>
      </c>
      <c r="BN42" s="176">
        <f t="shared" si="56"/>
        <v>3440.3899999999994</v>
      </c>
      <c r="BO42" s="176">
        <f t="shared" si="56"/>
        <v>31356.42</v>
      </c>
      <c r="BP42" s="176">
        <f t="shared" si="56"/>
        <v>4000.67</v>
      </c>
      <c r="BQ42" s="176">
        <f t="shared" si="56"/>
        <v>58156.46</v>
      </c>
      <c r="BR42" s="176">
        <f t="shared" si="56"/>
        <v>2972.1899999999996</v>
      </c>
      <c r="BS42" s="259">
        <f t="shared" si="56"/>
        <v>10791.53</v>
      </c>
      <c r="BT42" s="259">
        <f t="shared" si="56"/>
        <v>4449.9699999999993</v>
      </c>
      <c r="BU42" s="259">
        <f t="shared" si="56"/>
        <v>6321.49</v>
      </c>
      <c r="BV42" s="216">
        <f>SUM(BV39:BV41)</f>
        <v>142778.80000000002</v>
      </c>
      <c r="BY42" s="258">
        <f t="shared" ref="BY42:CJ42" si="57">SUM(BY39:BY41)</f>
        <v>0</v>
      </c>
      <c r="BZ42" s="259">
        <f t="shared" si="57"/>
        <v>0</v>
      </c>
      <c r="CA42" s="259">
        <f t="shared" si="57"/>
        <v>0</v>
      </c>
      <c r="CB42" s="259">
        <f t="shared" si="57"/>
        <v>0</v>
      </c>
      <c r="CC42" s="259">
        <f t="shared" si="57"/>
        <v>0</v>
      </c>
      <c r="CD42" s="259">
        <f t="shared" si="57"/>
        <v>31824</v>
      </c>
      <c r="CE42" s="259">
        <f t="shared" si="57"/>
        <v>63648</v>
      </c>
      <c r="CF42" s="259">
        <f t="shared" si="57"/>
        <v>31824</v>
      </c>
      <c r="CG42" s="259">
        <f t="shared" si="57"/>
        <v>8000</v>
      </c>
      <c r="CH42" s="259">
        <f t="shared" si="57"/>
        <v>8000</v>
      </c>
      <c r="CI42" s="259">
        <f t="shared" si="57"/>
        <v>0</v>
      </c>
      <c r="CJ42" s="259">
        <f t="shared" si="57"/>
        <v>0</v>
      </c>
      <c r="CK42" s="216">
        <f>SUM(CK39:CK41)</f>
        <v>143296</v>
      </c>
      <c r="CN42" s="258">
        <f t="shared" ref="CN42:CY42" si="58">SUM(CN39:CN41)</f>
        <v>0</v>
      </c>
      <c r="CO42" s="259">
        <f t="shared" si="58"/>
        <v>0</v>
      </c>
      <c r="CP42" s="259">
        <f t="shared" si="58"/>
        <v>0</v>
      </c>
      <c r="CQ42" s="259">
        <f t="shared" si="58"/>
        <v>0</v>
      </c>
      <c r="CR42" s="259">
        <f t="shared" si="58"/>
        <v>0</v>
      </c>
      <c r="CS42" s="259">
        <f t="shared" si="58"/>
        <v>44640</v>
      </c>
      <c r="CT42" s="259">
        <f t="shared" si="58"/>
        <v>89280</v>
      </c>
      <c r="CU42" s="259">
        <f t="shared" si="58"/>
        <v>44640</v>
      </c>
      <c r="CV42" s="259">
        <f t="shared" si="58"/>
        <v>0</v>
      </c>
      <c r="CW42" s="259">
        <f t="shared" si="58"/>
        <v>0</v>
      </c>
      <c r="CX42" s="259">
        <f t="shared" si="58"/>
        <v>0</v>
      </c>
      <c r="CY42" s="259">
        <f t="shared" si="58"/>
        <v>0</v>
      </c>
      <c r="CZ42" s="216">
        <f>SUM(CZ39:CZ41)</f>
        <v>178560</v>
      </c>
      <c r="DB42" s="219"/>
      <c r="DC42" s="222"/>
    </row>
    <row r="43" spans="2:107" ht="14.25" customHeight="1">
      <c r="B43" s="180" t="s">
        <v>31</v>
      </c>
      <c r="C43" s="260"/>
      <c r="D43" s="261"/>
      <c r="E43" s="261"/>
      <c r="F43" s="261"/>
      <c r="G43" s="261"/>
      <c r="H43" s="261"/>
      <c r="I43" s="261"/>
      <c r="J43" s="261"/>
      <c r="K43" s="261"/>
      <c r="L43" s="261"/>
      <c r="M43" s="261"/>
      <c r="N43" s="261"/>
      <c r="O43" s="183">
        <f>O42-SUM(C42:N42)</f>
        <v>0</v>
      </c>
      <c r="P43" s="260"/>
      <c r="Q43" s="261"/>
      <c r="R43" s="261"/>
      <c r="S43" s="261"/>
      <c r="T43" s="261"/>
      <c r="U43" s="261"/>
      <c r="V43" s="261"/>
      <c r="W43" s="261"/>
      <c r="X43" s="261"/>
      <c r="Y43" s="261"/>
      <c r="Z43" s="261"/>
      <c r="AA43" s="261"/>
      <c r="AB43" s="183">
        <f>AB42-SUM(P42:AA42)</f>
        <v>0</v>
      </c>
      <c r="AE43" s="260"/>
      <c r="AF43" s="261"/>
      <c r="AG43" s="261"/>
      <c r="AH43" s="261"/>
      <c r="AI43" s="261"/>
      <c r="AJ43" s="261"/>
      <c r="AK43" s="261"/>
      <c r="AL43" s="261"/>
      <c r="AM43" s="261"/>
      <c r="AN43" s="261"/>
      <c r="AO43" s="261"/>
      <c r="AP43" s="261"/>
      <c r="AQ43" s="183">
        <f>AQ42-SUM(AE42:AP42)</f>
        <v>0</v>
      </c>
      <c r="AU43" s="260"/>
      <c r="AV43" s="261"/>
      <c r="AW43" s="261"/>
      <c r="AX43" s="261"/>
      <c r="AY43" s="261"/>
      <c r="AZ43" s="261"/>
      <c r="BA43" s="261"/>
      <c r="BB43" s="261"/>
      <c r="BC43" s="261"/>
      <c r="BD43" s="261"/>
      <c r="BE43" s="261"/>
      <c r="BF43" s="261"/>
      <c r="BG43" s="183">
        <f>BG42-SUM(AU42:BF42)</f>
        <v>0</v>
      </c>
      <c r="BH43" s="189"/>
      <c r="BJ43" s="260"/>
      <c r="BK43" s="261"/>
      <c r="BL43" s="261"/>
      <c r="BM43" s="261"/>
      <c r="BN43" s="261"/>
      <c r="BO43" s="261"/>
      <c r="BP43" s="261"/>
      <c r="BQ43" s="261"/>
      <c r="BR43" s="261"/>
      <c r="BS43" s="262"/>
      <c r="BT43" s="262"/>
      <c r="BU43" s="262"/>
      <c r="BV43" s="183">
        <f>BV42-SUM(BJ42:BU42)</f>
        <v>0</v>
      </c>
      <c r="BY43" s="263"/>
      <c r="BZ43" s="262"/>
      <c r="CA43" s="262"/>
      <c r="CB43" s="262"/>
      <c r="CC43" s="262"/>
      <c r="CD43" s="262"/>
      <c r="CE43" s="262"/>
      <c r="CF43" s="262"/>
      <c r="CG43" s="262"/>
      <c r="CH43" s="262"/>
      <c r="CI43" s="262"/>
      <c r="CJ43" s="262"/>
      <c r="CK43" s="183">
        <f>CK42-SUM(BY42:CJ42)</f>
        <v>0</v>
      </c>
      <c r="CN43" s="263"/>
      <c r="CO43" s="262"/>
      <c r="CP43" s="262"/>
      <c r="CQ43" s="262"/>
      <c r="CR43" s="262"/>
      <c r="CS43" s="262"/>
      <c r="CT43" s="262"/>
      <c r="CU43" s="262"/>
      <c r="CV43" s="262"/>
      <c r="CW43" s="262"/>
      <c r="CX43" s="262"/>
      <c r="CY43" s="262"/>
      <c r="CZ43" s="183">
        <f>CZ42-SUM(CN42:CY42)</f>
        <v>0</v>
      </c>
      <c r="DB43" s="142"/>
      <c r="DC43" s="143"/>
    </row>
    <row r="44" spans="2:107">
      <c r="B44" s="264" t="s">
        <v>76</v>
      </c>
      <c r="C44" s="165"/>
      <c r="D44" s="165"/>
      <c r="E44" s="165"/>
      <c r="F44" s="165"/>
      <c r="G44" s="165"/>
      <c r="H44" s="165"/>
      <c r="I44" s="165"/>
      <c r="J44" s="165"/>
      <c r="K44" s="165"/>
      <c r="L44" s="165"/>
      <c r="M44" s="165"/>
      <c r="N44" s="165"/>
      <c r="O44" s="168"/>
      <c r="P44" s="165"/>
      <c r="Q44" s="165"/>
      <c r="R44" s="165"/>
      <c r="S44" s="165"/>
      <c r="T44" s="165"/>
      <c r="U44" s="165"/>
      <c r="V44" s="165"/>
      <c r="W44" s="165"/>
      <c r="X44" s="165"/>
      <c r="Y44" s="165"/>
      <c r="Z44" s="165"/>
      <c r="AA44" s="165"/>
      <c r="AB44" s="168"/>
      <c r="AE44" s="165"/>
      <c r="AF44" s="165"/>
      <c r="AG44" s="165"/>
      <c r="AH44" s="165"/>
      <c r="AI44" s="165"/>
      <c r="AJ44" s="165"/>
      <c r="AK44" s="165"/>
      <c r="AL44" s="165"/>
      <c r="AM44" s="165"/>
      <c r="AN44" s="165"/>
      <c r="AO44" s="165"/>
      <c r="AP44" s="165"/>
      <c r="AQ44" s="168"/>
      <c r="AU44" s="165"/>
      <c r="AV44" s="165"/>
      <c r="AW44" s="165"/>
      <c r="AX44" s="165"/>
      <c r="AY44" s="165"/>
      <c r="AZ44" s="165"/>
      <c r="BA44" s="165"/>
      <c r="BB44" s="165"/>
      <c r="BC44" s="165"/>
      <c r="BD44" s="165"/>
      <c r="BE44" s="165"/>
      <c r="BF44" s="165"/>
      <c r="BG44" s="168"/>
      <c r="BH44" s="160"/>
      <c r="BJ44" s="165"/>
      <c r="BK44" s="165"/>
      <c r="BL44" s="165"/>
      <c r="BM44" s="165"/>
      <c r="BN44" s="165"/>
      <c r="BO44" s="165"/>
      <c r="BP44" s="165"/>
      <c r="BQ44" s="165"/>
      <c r="BR44" s="165"/>
      <c r="BS44" s="168"/>
      <c r="BT44" s="168"/>
      <c r="BU44" s="168"/>
      <c r="BV44" s="168"/>
      <c r="BY44" s="168"/>
      <c r="BZ44" s="168"/>
      <c r="CA44" s="168"/>
      <c r="CB44" s="168"/>
      <c r="CC44" s="168"/>
      <c r="CD44" s="168"/>
      <c r="CE44" s="168"/>
      <c r="CF44" s="168"/>
      <c r="CG44" s="168"/>
      <c r="CH44" s="168"/>
      <c r="CI44" s="168"/>
      <c r="CJ44" s="168"/>
      <c r="CK44" s="168"/>
      <c r="CN44" s="168"/>
      <c r="CO44" s="168"/>
      <c r="CP44" s="168"/>
      <c r="CQ44" s="168"/>
      <c r="CR44" s="168"/>
      <c r="CS44" s="168"/>
      <c r="CT44" s="168"/>
      <c r="CU44" s="168"/>
      <c r="CV44" s="168"/>
      <c r="CW44" s="168"/>
      <c r="CX44" s="168"/>
      <c r="CY44" s="168"/>
      <c r="CZ44" s="168"/>
      <c r="DB44" s="142"/>
      <c r="DC44" s="143"/>
    </row>
    <row r="45" spans="2:107">
      <c r="B45" s="265" t="s">
        <v>77</v>
      </c>
      <c r="C45" s="144"/>
      <c r="D45" s="203"/>
      <c r="E45" s="203"/>
      <c r="F45" s="140"/>
      <c r="G45" s="211"/>
      <c r="H45" s="146"/>
      <c r="I45" s="203"/>
      <c r="J45" s="140"/>
      <c r="K45" s="144"/>
      <c r="L45" s="140"/>
      <c r="M45" s="211"/>
      <c r="N45" s="147"/>
      <c r="O45" s="202">
        <f t="shared" ref="O45:O53" si="59">SUM(C45:N45)</f>
        <v>0</v>
      </c>
      <c r="P45" s="243"/>
      <c r="Q45" s="146"/>
      <c r="R45" s="147"/>
      <c r="S45" s="146"/>
      <c r="T45" s="146"/>
      <c r="U45" s="266"/>
      <c r="V45" s="267"/>
      <c r="W45" s="146"/>
      <c r="X45" s="146"/>
      <c r="Y45" s="146"/>
      <c r="Z45" s="146"/>
      <c r="AA45" s="146"/>
      <c r="AB45" s="202">
        <f t="shared" ref="AB45:AB53" si="60">SUM(P45:AA45)</f>
        <v>0</v>
      </c>
      <c r="AE45" s="243"/>
      <c r="AF45" s="146"/>
      <c r="AG45" s="147"/>
      <c r="AH45" s="146"/>
      <c r="AI45" s="146"/>
      <c r="AJ45" s="266"/>
      <c r="AK45" s="267"/>
      <c r="AL45" s="140"/>
      <c r="AM45" s="146"/>
      <c r="AN45" s="146"/>
      <c r="AO45" s="146"/>
      <c r="AP45" s="146"/>
      <c r="AQ45" s="202">
        <f t="shared" ref="AQ45:AQ53" si="61">SUM(AE45:AP45)</f>
        <v>0</v>
      </c>
      <c r="AU45" s="243"/>
      <c r="AV45" s="146"/>
      <c r="AW45" s="147"/>
      <c r="AX45" s="146"/>
      <c r="AY45" s="146"/>
      <c r="AZ45" s="266"/>
      <c r="BA45" s="267"/>
      <c r="BB45" s="146"/>
      <c r="BC45" s="146"/>
      <c r="BD45" s="227">
        <f>180+900</f>
        <v>1080</v>
      </c>
      <c r="BE45" s="146"/>
      <c r="BF45" s="146"/>
      <c r="BG45" s="202">
        <f t="shared" ref="BG45:BG52" si="62">SUM(AU45:BF45)</f>
        <v>1080</v>
      </c>
      <c r="BH45" s="160"/>
      <c r="BJ45" s="243"/>
      <c r="BK45" s="146"/>
      <c r="BL45" s="147"/>
      <c r="BM45" s="146"/>
      <c r="BN45" s="146"/>
      <c r="BO45" s="266"/>
      <c r="BP45" s="267"/>
      <c r="BQ45" s="146"/>
      <c r="BR45" s="146"/>
      <c r="BS45" s="160"/>
      <c r="BT45" s="160"/>
      <c r="BU45" s="160"/>
      <c r="BV45" s="202">
        <f t="shared" ref="BV45:BV47" si="63">SUM(BJ45:BU45)</f>
        <v>0</v>
      </c>
      <c r="BY45" s="268"/>
      <c r="BZ45" s="160"/>
      <c r="CA45" s="169"/>
      <c r="CB45" s="160"/>
      <c r="CC45" s="160"/>
      <c r="CD45" s="269"/>
      <c r="CE45" s="270"/>
      <c r="CF45" s="160"/>
      <c r="CG45" s="160"/>
      <c r="CH45" s="160"/>
      <c r="CI45" s="160"/>
      <c r="CJ45" s="160"/>
      <c r="CK45" s="202">
        <f t="shared" ref="CK45:CK47" si="64">SUM(BY45:CJ45)</f>
        <v>0</v>
      </c>
      <c r="CN45" s="268"/>
      <c r="CO45" s="160"/>
      <c r="CP45" s="169"/>
      <c r="CQ45" s="160"/>
      <c r="CR45" s="160"/>
      <c r="CS45" s="269"/>
      <c r="CT45" s="270"/>
      <c r="CU45" s="160"/>
      <c r="CV45" s="160"/>
      <c r="CW45" s="160"/>
      <c r="CX45" s="160"/>
      <c r="CY45" s="160"/>
      <c r="CZ45" s="202">
        <f t="shared" ref="CZ45:CZ47" si="65">SUM(CN45:CY45)</f>
        <v>0</v>
      </c>
      <c r="DB45" s="142"/>
      <c r="DC45" s="271">
        <v>345.66</v>
      </c>
    </row>
    <row r="46" spans="2:107">
      <c r="B46" s="265" t="s">
        <v>78</v>
      </c>
      <c r="C46" s="144"/>
      <c r="D46" s="144"/>
      <c r="E46" s="140"/>
      <c r="F46" s="203"/>
      <c r="G46" s="140"/>
      <c r="H46" s="203"/>
      <c r="I46" s="140"/>
      <c r="J46" s="144"/>
      <c r="K46" s="144"/>
      <c r="L46" s="140"/>
      <c r="M46" s="147"/>
      <c r="N46" s="146"/>
      <c r="O46" s="148">
        <f>SUM(C46:N46)</f>
        <v>0</v>
      </c>
      <c r="P46" s="225"/>
      <c r="Q46" s="147"/>
      <c r="R46" s="147"/>
      <c r="S46" s="147"/>
      <c r="T46" s="147"/>
      <c r="U46" s="147"/>
      <c r="V46" s="147"/>
      <c r="W46" s="147"/>
      <c r="X46" s="147"/>
      <c r="Y46" s="147"/>
      <c r="Z46" s="146"/>
      <c r="AA46" s="146"/>
      <c r="AB46" s="148">
        <f t="shared" si="60"/>
        <v>0</v>
      </c>
      <c r="AE46" s="225"/>
      <c r="AF46" s="147"/>
      <c r="AG46" s="144"/>
      <c r="AH46" s="147"/>
      <c r="AI46" s="147"/>
      <c r="AJ46" s="147"/>
      <c r="AK46" s="147"/>
      <c r="AL46" s="147"/>
      <c r="AM46" s="147"/>
      <c r="AN46" s="147"/>
      <c r="AO46" s="146"/>
      <c r="AP46" s="146"/>
      <c r="AQ46" s="148">
        <f t="shared" si="61"/>
        <v>0</v>
      </c>
      <c r="AU46" s="225"/>
      <c r="AV46" s="147"/>
      <c r="AW46" s="147"/>
      <c r="AX46" s="147"/>
      <c r="AY46" s="147"/>
      <c r="AZ46" s="147"/>
      <c r="BA46" s="147"/>
      <c r="BB46" s="147"/>
      <c r="BC46" s="147"/>
      <c r="BD46" s="147"/>
      <c r="BE46" s="146"/>
      <c r="BF46" s="146"/>
      <c r="BG46" s="148">
        <f t="shared" si="62"/>
        <v>0</v>
      </c>
      <c r="BH46" s="160"/>
      <c r="BJ46" s="225"/>
      <c r="BK46" s="147"/>
      <c r="BL46" s="144"/>
      <c r="BM46" s="147"/>
      <c r="BN46" s="147"/>
      <c r="BO46" s="147"/>
      <c r="BP46" s="211"/>
      <c r="BQ46" s="147"/>
      <c r="BR46" s="147"/>
      <c r="BS46" s="169"/>
      <c r="BT46" s="160"/>
      <c r="BU46" s="160"/>
      <c r="BV46" s="148">
        <f t="shared" si="63"/>
        <v>0</v>
      </c>
      <c r="BY46" s="228"/>
      <c r="BZ46" s="169"/>
      <c r="CA46" s="169"/>
      <c r="CB46" s="169"/>
      <c r="CC46" s="169"/>
      <c r="CD46" s="169"/>
      <c r="CE46" s="169"/>
      <c r="CF46" s="169"/>
      <c r="CG46" s="169"/>
      <c r="CH46" s="169"/>
      <c r="CI46" s="160"/>
      <c r="CJ46" s="160"/>
      <c r="CK46" s="148">
        <f t="shared" si="64"/>
        <v>0</v>
      </c>
      <c r="CN46" s="228"/>
      <c r="CO46" s="169"/>
      <c r="CP46" s="169"/>
      <c r="CQ46" s="169"/>
      <c r="CR46" s="169"/>
      <c r="CS46" s="169"/>
      <c r="CT46" s="169"/>
      <c r="CU46" s="169"/>
      <c r="CV46" s="169"/>
      <c r="CW46" s="169"/>
      <c r="CX46" s="160"/>
      <c r="CY46" s="160"/>
      <c r="CZ46" s="148">
        <f t="shared" si="65"/>
        <v>0</v>
      </c>
      <c r="DB46" s="142"/>
      <c r="DC46" s="143"/>
    </row>
    <row r="47" spans="2:107">
      <c r="B47" s="242" t="s">
        <v>79</v>
      </c>
      <c r="C47" s="140"/>
      <c r="D47" s="140"/>
      <c r="E47" s="203"/>
      <c r="F47" s="140"/>
      <c r="G47" s="140"/>
      <c r="H47" s="147"/>
      <c r="I47" s="140"/>
      <c r="J47" s="140"/>
      <c r="K47" s="140"/>
      <c r="L47" s="140"/>
      <c r="M47" s="147"/>
      <c r="N47" s="146"/>
      <c r="O47" s="148">
        <f t="shared" si="59"/>
        <v>0</v>
      </c>
      <c r="P47" s="246"/>
      <c r="Q47" s="146"/>
      <c r="R47" s="147"/>
      <c r="S47" s="147"/>
      <c r="T47" s="147"/>
      <c r="U47" s="147"/>
      <c r="V47" s="147"/>
      <c r="W47" s="147"/>
      <c r="X47" s="147"/>
      <c r="Y47" s="146"/>
      <c r="Z47" s="146"/>
      <c r="AA47" s="146"/>
      <c r="AB47" s="148">
        <f t="shared" si="60"/>
        <v>0</v>
      </c>
      <c r="AE47" s="246"/>
      <c r="AF47" s="211"/>
      <c r="AG47" s="144">
        <f>256.3</f>
        <v>256.3</v>
      </c>
      <c r="AH47" s="144">
        <f>88.7</f>
        <v>88.7</v>
      </c>
      <c r="AI47" s="144">
        <f>83.2+30.07+67.7+94.84+249.08+320.77</f>
        <v>845.66000000000008</v>
      </c>
      <c r="AJ47" s="144">
        <f>181.53</f>
        <v>181.53</v>
      </c>
      <c r="AK47" s="144">
        <f>110+886.8+94.84+33</f>
        <v>1124.6399999999999</v>
      </c>
      <c r="AL47" s="144">
        <f>280</f>
        <v>280</v>
      </c>
      <c r="AM47" s="144">
        <f>70*1.1</f>
        <v>77</v>
      </c>
      <c r="AN47" s="211"/>
      <c r="AO47" s="144">
        <f>141.1</f>
        <v>141.1</v>
      </c>
      <c r="AP47" s="203">
        <v>71.930000000000007</v>
      </c>
      <c r="AQ47" s="148">
        <f t="shared" si="61"/>
        <v>3066.8599999999997</v>
      </c>
      <c r="AU47" s="294">
        <f>154.5+133</f>
        <v>287.5</v>
      </c>
      <c r="AV47" s="144"/>
      <c r="AW47" s="140"/>
      <c r="AX47" s="203">
        <f>49.5+49.5+137.5</f>
        <v>236.5</v>
      </c>
      <c r="AY47" s="144">
        <f>53.3+29.04</f>
        <v>82.34</v>
      </c>
      <c r="AZ47" s="144">
        <f>225.53</f>
        <v>225.53</v>
      </c>
      <c r="BA47" s="147"/>
      <c r="BB47" s="144">
        <f>81*0</f>
        <v>0</v>
      </c>
      <c r="BC47" s="144">
        <f>77+90.2+142.32</f>
        <v>309.52</v>
      </c>
      <c r="BD47" s="227">
        <f>90.75+50</f>
        <v>140.75</v>
      </c>
      <c r="BE47" s="211"/>
      <c r="BF47" s="144">
        <f>154</f>
        <v>154</v>
      </c>
      <c r="BG47" s="148">
        <f t="shared" si="62"/>
        <v>1436.1399999999999</v>
      </c>
      <c r="BH47" s="160"/>
      <c r="BJ47" s="294">
        <f>212.5*0</f>
        <v>0</v>
      </c>
      <c r="BK47" s="211"/>
      <c r="BL47" s="144">
        <f>132+77+71.5+152.76+240.33+101.13</f>
        <v>774.72</v>
      </c>
      <c r="BM47" s="144">
        <f>137.5+200.62</f>
        <v>338.12</v>
      </c>
      <c r="BN47" s="147"/>
      <c r="BO47" s="144">
        <v>81.430000000000007</v>
      </c>
      <c r="BP47" s="144">
        <f>16.5</f>
        <v>16.5</v>
      </c>
      <c r="BQ47" s="211"/>
      <c r="BR47" s="144">
        <f>71.5+66+183.26</f>
        <v>320.76</v>
      </c>
      <c r="BS47" s="230">
        <f>152.5</f>
        <v>152.5</v>
      </c>
      <c r="BT47" s="169">
        <v>200</v>
      </c>
      <c r="BU47" s="169">
        <v>200</v>
      </c>
      <c r="BV47" s="148">
        <f t="shared" si="63"/>
        <v>2084.0300000000002</v>
      </c>
      <c r="BY47" s="228">
        <v>250</v>
      </c>
      <c r="BZ47" s="169">
        <v>250</v>
      </c>
      <c r="CA47" s="169">
        <v>250</v>
      </c>
      <c r="CB47" s="169">
        <v>250</v>
      </c>
      <c r="CC47" s="169">
        <v>250</v>
      </c>
      <c r="CD47" s="169">
        <v>250</v>
      </c>
      <c r="CE47" s="169">
        <v>250</v>
      </c>
      <c r="CF47" s="169">
        <v>250</v>
      </c>
      <c r="CG47" s="169">
        <v>250</v>
      </c>
      <c r="CH47" s="169">
        <v>250</v>
      </c>
      <c r="CI47" s="169">
        <v>250</v>
      </c>
      <c r="CJ47" s="169">
        <v>250</v>
      </c>
      <c r="CK47" s="148">
        <f t="shared" si="64"/>
        <v>3000</v>
      </c>
      <c r="CN47" s="228">
        <v>250</v>
      </c>
      <c r="CO47" s="169">
        <v>250</v>
      </c>
      <c r="CP47" s="169">
        <v>250</v>
      </c>
      <c r="CQ47" s="169">
        <v>250</v>
      </c>
      <c r="CR47" s="169">
        <v>250</v>
      </c>
      <c r="CS47" s="169">
        <v>250</v>
      </c>
      <c r="CT47" s="169">
        <v>250</v>
      </c>
      <c r="CU47" s="169">
        <v>250</v>
      </c>
      <c r="CV47" s="169">
        <v>250</v>
      </c>
      <c r="CW47" s="169">
        <v>250</v>
      </c>
      <c r="CX47" s="169">
        <v>250</v>
      </c>
      <c r="CY47" s="169">
        <v>250</v>
      </c>
      <c r="CZ47" s="148">
        <f t="shared" si="65"/>
        <v>3000</v>
      </c>
      <c r="DB47" s="142"/>
      <c r="DC47" s="143"/>
    </row>
    <row r="48" spans="2:107">
      <c r="B48" s="242" t="s">
        <v>81</v>
      </c>
      <c r="C48" s="140"/>
      <c r="D48" s="140"/>
      <c r="E48" s="203"/>
      <c r="F48" s="140"/>
      <c r="G48" s="140"/>
      <c r="H48" s="147"/>
      <c r="I48" s="140"/>
      <c r="J48" s="140"/>
      <c r="K48" s="140"/>
      <c r="L48" s="140"/>
      <c r="M48" s="147"/>
      <c r="N48" s="146"/>
      <c r="O48" s="148">
        <f t="shared" si="59"/>
        <v>0</v>
      </c>
      <c r="P48" s="246"/>
      <c r="Q48" s="146"/>
      <c r="R48" s="147"/>
      <c r="S48" s="147"/>
      <c r="T48" s="147"/>
      <c r="U48" s="147"/>
      <c r="V48" s="147"/>
      <c r="W48" s="147"/>
      <c r="X48" s="147"/>
      <c r="Y48" s="146"/>
      <c r="Z48" s="146"/>
      <c r="AA48" s="146"/>
      <c r="AB48" s="148">
        <f t="shared" si="60"/>
        <v>0</v>
      </c>
      <c r="AE48" s="246"/>
      <c r="AF48" s="144">
        <f>2442.5</f>
        <v>2442.5</v>
      </c>
      <c r="AG48" s="144">
        <f>3296.58</f>
        <v>3296.58</v>
      </c>
      <c r="AH48" s="144">
        <f>4125.2</f>
        <v>4125.2</v>
      </c>
      <c r="AI48" s="144">
        <f>1508.97+1228.16</f>
        <v>2737.13</v>
      </c>
      <c r="AJ48" s="144">
        <v>2925.45</v>
      </c>
      <c r="AK48" s="211"/>
      <c r="AL48" s="144">
        <f>2108.95+528+2850.34</f>
        <v>5487.29</v>
      </c>
      <c r="AM48" s="144">
        <f xml:space="preserve"> 3176.25+2362.94+325.96</f>
        <v>5865.1500000000005</v>
      </c>
      <c r="AN48" s="144">
        <f>1734.19+4360.55</f>
        <v>6094.74</v>
      </c>
      <c r="AO48" s="203">
        <f>171.29+163.74+1335.53+3631.07</f>
        <v>5301.63</v>
      </c>
      <c r="AP48" s="203">
        <f>1613.73+64.81</f>
        <v>1678.54</v>
      </c>
      <c r="AQ48" s="148">
        <f>SUM(AE48:AO48)</f>
        <v>38275.67</v>
      </c>
      <c r="AU48" s="370">
        <f>317.39</f>
        <v>317.39</v>
      </c>
      <c r="AV48" s="211"/>
      <c r="AW48" s="144">
        <f>1796.93+2435.72</f>
        <v>4232.6499999999996</v>
      </c>
      <c r="AX48" s="203">
        <f>158.17+2749.76</f>
        <v>2907.9300000000003</v>
      </c>
      <c r="AY48" s="144">
        <f>247.5+201.96+2247.66+132.5</f>
        <v>2829.62</v>
      </c>
      <c r="AZ48" s="144">
        <f>1276.95</f>
        <v>1276.95</v>
      </c>
      <c r="BA48" s="144">
        <f>99.33+1459.37</f>
        <v>1558.6999999999998</v>
      </c>
      <c r="BB48" s="144">
        <f>308.56+291.49+1403.22+178.22+1475.18+85.78</f>
        <v>3742.4500000000003</v>
      </c>
      <c r="BC48" s="144">
        <f>313.56+346.52+2324.39+2324.39+1116.81</f>
        <v>6425.67</v>
      </c>
      <c r="BD48" s="144">
        <f>-2324.39+179.71+317.99+6406.57</f>
        <v>4579.88</v>
      </c>
      <c r="BE48" s="211"/>
      <c r="BF48" s="144">
        <f>197.62+1682.27+1297.42</f>
        <v>3177.31</v>
      </c>
      <c r="BG48" s="148">
        <f t="shared" si="62"/>
        <v>31048.550000000003</v>
      </c>
      <c r="BH48" s="160"/>
      <c r="BJ48" s="324"/>
      <c r="BK48" s="144">
        <f>1068.65+744.95+3347.29+557.25+1932.92</f>
        <v>7651.06</v>
      </c>
      <c r="BL48" s="144">
        <f>786.67+5107.61-21.53+316.56+1282.22+1282.22+316.56</f>
        <v>9070.31</v>
      </c>
      <c r="BM48" s="144">
        <f>-1282.22-295.03-21.53+1638.08+167.16+323.96</f>
        <v>530.41999999999996</v>
      </c>
      <c r="BN48" s="211"/>
      <c r="BO48" s="144">
        <f>3927.39+739.3+338.69+2722.38</f>
        <v>7727.7599999999993</v>
      </c>
      <c r="BP48" s="144">
        <f>3109.41+363.95+1679.72+141.16</f>
        <v>5294.24</v>
      </c>
      <c r="BQ48" s="144">
        <f>3408.8+148.97+140.7+2083.27</f>
        <v>5781.74</v>
      </c>
      <c r="BR48" s="140"/>
      <c r="BS48" s="230">
        <f>2786.1+781.11+94.38+3447.52</f>
        <v>7109.1100000000006</v>
      </c>
      <c r="BT48" s="169"/>
      <c r="BU48" s="169"/>
      <c r="BV48" s="148">
        <f>SUM(BJ48:BT48)</f>
        <v>43164.639999999992</v>
      </c>
      <c r="BY48" s="228"/>
      <c r="BZ48" s="169"/>
      <c r="CA48" s="169"/>
      <c r="CB48" s="169"/>
      <c r="CC48" s="169"/>
      <c r="CD48" s="169"/>
      <c r="CE48" s="169"/>
      <c r="CF48" s="169"/>
      <c r="CG48" s="169"/>
      <c r="CH48" s="169"/>
      <c r="CI48" s="169"/>
      <c r="CJ48" s="169"/>
      <c r="CK48" s="148">
        <f>SUM(BY48:CI48)</f>
        <v>0</v>
      </c>
      <c r="CN48" s="228"/>
      <c r="CO48" s="169"/>
      <c r="CP48" s="169"/>
      <c r="CQ48" s="169"/>
      <c r="CR48" s="169"/>
      <c r="CS48" s="169"/>
      <c r="CT48" s="169"/>
      <c r="CU48" s="169"/>
      <c r="CV48" s="169"/>
      <c r="CW48" s="169"/>
      <c r="CX48" s="169"/>
      <c r="CY48" s="169"/>
      <c r="CZ48" s="148">
        <f>SUM(CN48:CX48)</f>
        <v>0</v>
      </c>
      <c r="DB48" s="142"/>
      <c r="DC48" s="143"/>
    </row>
    <row r="49" spans="2:107">
      <c r="B49" s="242" t="s">
        <v>65</v>
      </c>
      <c r="C49" s="146"/>
      <c r="D49" s="146"/>
      <c r="E49" s="203"/>
      <c r="F49" s="203"/>
      <c r="G49" s="203"/>
      <c r="H49" s="145"/>
      <c r="I49" s="144"/>
      <c r="J49" s="251"/>
      <c r="K49" s="147"/>
      <c r="L49" s="140"/>
      <c r="M49" s="272"/>
      <c r="N49" s="146"/>
      <c r="O49" s="148">
        <f t="shared" si="59"/>
        <v>0</v>
      </c>
      <c r="P49" s="246"/>
      <c r="Q49" s="146"/>
      <c r="R49" s="147"/>
      <c r="S49" s="147"/>
      <c r="T49" s="147"/>
      <c r="U49" s="147"/>
      <c r="V49" s="147"/>
      <c r="W49" s="146"/>
      <c r="X49" s="146"/>
      <c r="Y49" s="146"/>
      <c r="Z49" s="146"/>
      <c r="AA49" s="146"/>
      <c r="AB49" s="148">
        <f t="shared" si="60"/>
        <v>0</v>
      </c>
      <c r="AE49" s="246"/>
      <c r="AF49" s="140"/>
      <c r="AG49" s="144">
        <f>(82)*3.25*1.1</f>
        <v>293.15000000000003</v>
      </c>
      <c r="AH49" s="144">
        <f>150*3.25*1.1</f>
        <v>536.25</v>
      </c>
      <c r="AI49" s="147"/>
      <c r="AJ49" s="147"/>
      <c r="AK49" s="147"/>
      <c r="AL49" s="146"/>
      <c r="AM49" s="146"/>
      <c r="AN49" s="146"/>
      <c r="AO49" s="146"/>
      <c r="AP49" s="146"/>
      <c r="AQ49" s="148">
        <f t="shared" si="61"/>
        <v>829.40000000000009</v>
      </c>
      <c r="AU49" s="246"/>
      <c r="AV49" s="203">
        <v>73.569999999999993</v>
      </c>
      <c r="AW49" s="147"/>
      <c r="AX49" s="207"/>
      <c r="AY49" s="147"/>
      <c r="AZ49" s="147"/>
      <c r="BA49" s="147"/>
      <c r="BB49" s="146"/>
      <c r="BC49" s="146"/>
      <c r="BD49" s="146"/>
      <c r="BE49" s="146"/>
      <c r="BF49" s="146"/>
      <c r="BG49" s="148">
        <f t="shared" si="62"/>
        <v>73.569999999999993</v>
      </c>
      <c r="BH49" s="160"/>
      <c r="BJ49" s="225"/>
      <c r="BK49" s="211"/>
      <c r="BL49" s="147"/>
      <c r="BM49" s="147"/>
      <c r="BN49" s="147"/>
      <c r="BO49" s="147"/>
      <c r="BP49" s="147"/>
      <c r="BQ49" s="146"/>
      <c r="BR49" s="146"/>
      <c r="BS49" s="160"/>
      <c r="BT49" s="160"/>
      <c r="BU49" s="160"/>
      <c r="BV49" s="148">
        <f t="shared" ref="BV49:BV53" si="66">SUM(BJ49:BU49)</f>
        <v>0</v>
      </c>
      <c r="BY49" s="228"/>
      <c r="BZ49" s="160"/>
      <c r="CA49" s="169"/>
      <c r="CB49" s="169"/>
      <c r="CC49" s="169"/>
      <c r="CD49" s="169"/>
      <c r="CE49" s="169"/>
      <c r="CF49" s="160"/>
      <c r="CG49" s="160"/>
      <c r="CH49" s="160"/>
      <c r="CI49" s="160"/>
      <c r="CJ49" s="160"/>
      <c r="CK49" s="148">
        <f t="shared" ref="CK49:CK53" si="67">SUM(BY49:CJ49)</f>
        <v>0</v>
      </c>
      <c r="CN49" s="228"/>
      <c r="CO49" s="160"/>
      <c r="CP49" s="169"/>
      <c r="CQ49" s="169"/>
      <c r="CR49" s="169"/>
      <c r="CS49" s="169"/>
      <c r="CT49" s="169"/>
      <c r="CU49" s="160"/>
      <c r="CV49" s="160"/>
      <c r="CW49" s="160"/>
      <c r="CX49" s="160"/>
      <c r="CY49" s="160"/>
      <c r="CZ49" s="148">
        <f t="shared" ref="CZ49:CZ53" si="68">SUM(CN49:CY49)</f>
        <v>0</v>
      </c>
      <c r="DB49" s="142"/>
      <c r="DC49" s="143"/>
    </row>
    <row r="50" spans="2:107">
      <c r="B50" s="242" t="s">
        <v>82</v>
      </c>
      <c r="C50" s="146"/>
      <c r="D50" s="146"/>
      <c r="E50" s="203"/>
      <c r="F50" s="203"/>
      <c r="G50" s="203"/>
      <c r="H50" s="145"/>
      <c r="I50" s="144"/>
      <c r="J50" s="251"/>
      <c r="K50" s="147"/>
      <c r="L50" s="140"/>
      <c r="M50" s="272"/>
      <c r="N50" s="146"/>
      <c r="O50" s="148">
        <f t="shared" si="59"/>
        <v>0</v>
      </c>
      <c r="P50" s="246"/>
      <c r="Q50" s="146"/>
      <c r="R50" s="147"/>
      <c r="S50" s="147"/>
      <c r="T50" s="147"/>
      <c r="U50" s="147"/>
      <c r="V50" s="147"/>
      <c r="W50" s="146"/>
      <c r="X50" s="146"/>
      <c r="Y50" s="146"/>
      <c r="Z50" s="146"/>
      <c r="AA50" s="146"/>
      <c r="AB50" s="148">
        <f t="shared" si="60"/>
        <v>0</v>
      </c>
      <c r="AE50" s="246"/>
      <c r="AF50" s="144">
        <f>137.76</f>
        <v>137.76</v>
      </c>
      <c r="AG50" s="144">
        <v>133.66</v>
      </c>
      <c r="AH50" s="144">
        <f>127.06+120.69</f>
        <v>247.75</v>
      </c>
      <c r="AI50" s="144">
        <f>34.26+96.8</f>
        <v>131.06</v>
      </c>
      <c r="AJ50" s="144">
        <v>31.29</v>
      </c>
      <c r="AK50" s="211"/>
      <c r="AL50" s="144">
        <f>25.93</f>
        <v>25.93</v>
      </c>
      <c r="AM50" s="144">
        <f>21.21</f>
        <v>21.21</v>
      </c>
      <c r="AN50" s="144">
        <f>15.56+17.06</f>
        <v>32.619999999999997</v>
      </c>
      <c r="AO50" s="144">
        <v>11.64</v>
      </c>
      <c r="AP50" s="144">
        <v>9.83</v>
      </c>
      <c r="AQ50" s="148">
        <f t="shared" si="61"/>
        <v>782.75</v>
      </c>
      <c r="AU50" s="294">
        <v>7.45</v>
      </c>
      <c r="AV50" s="140"/>
      <c r="AW50" s="144">
        <f>7.45+4.84</f>
        <v>12.29</v>
      </c>
      <c r="AX50" s="144">
        <f>9.68+2.61</f>
        <v>12.29</v>
      </c>
      <c r="AY50" s="144">
        <f>-2.23+7.45</f>
        <v>5.2200000000000006</v>
      </c>
      <c r="AZ50" s="211"/>
      <c r="BA50" s="144">
        <v>7.45</v>
      </c>
      <c r="BB50" s="144">
        <f>6.26+1105.78+89.22</f>
        <v>1201.26</v>
      </c>
      <c r="BC50" s="144">
        <f>1547.04+2596+5.07+5.07</f>
        <v>4153.1799999999994</v>
      </c>
      <c r="BD50" s="144">
        <f>5.07</f>
        <v>5.07</v>
      </c>
      <c r="BE50" s="211"/>
      <c r="BF50" s="144">
        <f>228.92+139.9+5.07+345.4+5.07</f>
        <v>724.36</v>
      </c>
      <c r="BG50" s="148">
        <f t="shared" si="62"/>
        <v>6128.5699999999988</v>
      </c>
      <c r="BH50" s="160"/>
      <c r="BJ50" s="324"/>
      <c r="BK50" s="144">
        <f>5.07+5.07</f>
        <v>10.14</v>
      </c>
      <c r="BL50" s="144">
        <f>279.65+4.42</f>
        <v>284.07</v>
      </c>
      <c r="BM50" s="203">
        <f>3.76+4178.02+200.97</f>
        <v>4382.7500000000009</v>
      </c>
      <c r="BN50" s="144">
        <f>213.1+1261+982.28</f>
        <v>2456.38</v>
      </c>
      <c r="BO50" s="146"/>
      <c r="BP50" s="203">
        <f>3.76+3.76+3.76</f>
        <v>11.28</v>
      </c>
      <c r="BQ50" s="147"/>
      <c r="BR50" s="144">
        <f>2759.9+16.95+1643.18</f>
        <v>4420.03</v>
      </c>
      <c r="BS50" s="230">
        <f>296+14.99</f>
        <v>310.99</v>
      </c>
      <c r="BT50" s="169"/>
      <c r="BU50" s="169"/>
      <c r="BV50" s="148">
        <f t="shared" si="66"/>
        <v>11875.640000000001</v>
      </c>
      <c r="BY50" s="228"/>
      <c r="BZ50" s="169"/>
      <c r="CA50" s="169"/>
      <c r="CB50" s="169"/>
      <c r="CC50" s="169"/>
      <c r="CD50" s="169"/>
      <c r="CE50" s="169"/>
      <c r="CF50" s="169"/>
      <c r="CG50" s="169"/>
      <c r="CH50" s="169"/>
      <c r="CI50" s="169"/>
      <c r="CJ50" s="169"/>
      <c r="CK50" s="148">
        <f t="shared" si="67"/>
        <v>0</v>
      </c>
      <c r="CN50" s="228"/>
      <c r="CO50" s="169"/>
      <c r="CP50" s="169"/>
      <c r="CQ50" s="169"/>
      <c r="CR50" s="169"/>
      <c r="CS50" s="169"/>
      <c r="CT50" s="169"/>
      <c r="CU50" s="169"/>
      <c r="CV50" s="169"/>
      <c r="CW50" s="169"/>
      <c r="CX50" s="169"/>
      <c r="CY50" s="169"/>
      <c r="CZ50" s="148">
        <f t="shared" si="68"/>
        <v>0</v>
      </c>
      <c r="DB50" s="142"/>
      <c r="DC50" s="143"/>
    </row>
    <row r="51" spans="2:107">
      <c r="B51" s="242" t="s">
        <v>83</v>
      </c>
      <c r="C51" s="146"/>
      <c r="D51" s="146"/>
      <c r="E51" s="203"/>
      <c r="F51" s="203"/>
      <c r="G51" s="203"/>
      <c r="H51" s="145"/>
      <c r="I51" s="144"/>
      <c r="J51" s="251"/>
      <c r="K51" s="147"/>
      <c r="L51" s="140"/>
      <c r="M51" s="272"/>
      <c r="N51" s="146"/>
      <c r="O51" s="148">
        <f t="shared" si="59"/>
        <v>0</v>
      </c>
      <c r="P51" s="246"/>
      <c r="Q51" s="146"/>
      <c r="R51" s="147"/>
      <c r="S51" s="147"/>
      <c r="T51" s="147"/>
      <c r="U51" s="147"/>
      <c r="V51" s="147"/>
      <c r="W51" s="146"/>
      <c r="X51" s="146"/>
      <c r="Y51" s="146"/>
      <c r="Z51" s="146"/>
      <c r="AA51" s="146"/>
      <c r="AB51" s="148">
        <f t="shared" si="60"/>
        <v>0</v>
      </c>
      <c r="AE51" s="246"/>
      <c r="AF51" s="146"/>
      <c r="AG51" s="211"/>
      <c r="AH51" s="144">
        <f>130*1.21</f>
        <v>157.29999999999998</v>
      </c>
      <c r="AI51" s="144">
        <f>1829.52</f>
        <v>1829.52</v>
      </c>
      <c r="AJ51" s="147"/>
      <c r="AK51" s="147"/>
      <c r="AL51" s="146"/>
      <c r="AM51" s="146"/>
      <c r="AN51" s="146"/>
      <c r="AO51" s="146"/>
      <c r="AP51" s="144">
        <v>181.5</v>
      </c>
      <c r="AQ51" s="148">
        <f t="shared" si="61"/>
        <v>2168.3199999999997</v>
      </c>
      <c r="AU51" s="294">
        <f>181.5+290.4</f>
        <v>471.9</v>
      </c>
      <c r="AV51" s="140"/>
      <c r="AW51" s="140"/>
      <c r="AX51" s="227">
        <f>181.5</f>
        <v>181.5</v>
      </c>
      <c r="AY51" s="147"/>
      <c r="AZ51" s="211"/>
      <c r="BA51" s="144">
        <f>22</f>
        <v>22</v>
      </c>
      <c r="BB51" s="144">
        <f>1796.85+145.2</f>
        <v>1942.05</v>
      </c>
      <c r="BC51" s="146"/>
      <c r="BD51" s="146"/>
      <c r="BE51" s="146"/>
      <c r="BF51" s="203">
        <v>181.5</v>
      </c>
      <c r="BG51" s="148">
        <f t="shared" si="62"/>
        <v>2798.95</v>
      </c>
      <c r="BH51" s="160"/>
      <c r="BJ51" s="225"/>
      <c r="BK51" s="147"/>
      <c r="BL51" s="211"/>
      <c r="BM51" s="144">
        <f>1346.13+771.98</f>
        <v>2118.11</v>
      </c>
      <c r="BN51" s="147"/>
      <c r="BO51" s="147"/>
      <c r="BP51" s="147"/>
      <c r="BQ51" s="147"/>
      <c r="BR51" s="147"/>
      <c r="BS51" s="169"/>
      <c r="BT51" s="169">
        <v>200</v>
      </c>
      <c r="BU51" s="169">
        <v>1500</v>
      </c>
      <c r="BV51" s="148">
        <f t="shared" si="66"/>
        <v>3818.11</v>
      </c>
      <c r="BY51" s="228">
        <v>500</v>
      </c>
      <c r="BZ51" s="160"/>
      <c r="CA51" s="169">
        <v>1500</v>
      </c>
      <c r="CB51" s="169">
        <v>500</v>
      </c>
      <c r="CC51" s="169">
        <v>500</v>
      </c>
      <c r="CD51" s="169"/>
      <c r="CE51" s="169"/>
      <c r="CF51" s="169">
        <v>2000</v>
      </c>
      <c r="CG51" s="160"/>
      <c r="CH51" s="160"/>
      <c r="CI51" s="160"/>
      <c r="CJ51" s="160"/>
      <c r="CK51" s="148">
        <f t="shared" si="67"/>
        <v>5000</v>
      </c>
      <c r="CN51" s="228">
        <v>500</v>
      </c>
      <c r="CO51" s="160"/>
      <c r="CP51" s="169">
        <v>1500</v>
      </c>
      <c r="CQ51" s="169">
        <v>500</v>
      </c>
      <c r="CR51" s="169">
        <v>500</v>
      </c>
      <c r="CS51" s="169"/>
      <c r="CT51" s="169"/>
      <c r="CU51" s="169">
        <v>2000</v>
      </c>
      <c r="CV51" s="160"/>
      <c r="CW51" s="160"/>
      <c r="CX51" s="160"/>
      <c r="CY51" s="160"/>
      <c r="CZ51" s="148">
        <f t="shared" si="68"/>
        <v>5000</v>
      </c>
      <c r="DB51" s="142"/>
      <c r="DC51" s="143"/>
    </row>
    <row r="52" spans="2:107">
      <c r="B52" s="242" t="s">
        <v>84</v>
      </c>
      <c r="C52" s="146"/>
      <c r="D52" s="146"/>
      <c r="E52" s="203"/>
      <c r="F52" s="203"/>
      <c r="G52" s="203"/>
      <c r="H52" s="145"/>
      <c r="I52" s="144"/>
      <c r="J52" s="251"/>
      <c r="K52" s="147"/>
      <c r="L52" s="140"/>
      <c r="M52" s="272"/>
      <c r="N52" s="146"/>
      <c r="O52" s="148">
        <f t="shared" si="59"/>
        <v>0</v>
      </c>
      <c r="P52" s="246"/>
      <c r="Q52" s="146"/>
      <c r="R52" s="147"/>
      <c r="S52" s="147"/>
      <c r="T52" s="147"/>
      <c r="U52" s="147"/>
      <c r="V52" s="147"/>
      <c r="W52" s="146"/>
      <c r="X52" s="146"/>
      <c r="Y52" s="146"/>
      <c r="Z52" s="146"/>
      <c r="AA52" s="146"/>
      <c r="AB52" s="148">
        <f t="shared" si="60"/>
        <v>0</v>
      </c>
      <c r="AE52" s="246"/>
      <c r="AF52" s="146"/>
      <c r="AG52" s="144">
        <f>54.04+26.54</f>
        <v>80.58</v>
      </c>
      <c r="AH52" s="144">
        <v>75.89</v>
      </c>
      <c r="AI52" s="144">
        <f>471</f>
        <v>471</v>
      </c>
      <c r="AJ52" s="144">
        <f>369.44+127.55</f>
        <v>496.99</v>
      </c>
      <c r="AK52" s="144">
        <f>305.99*1.21</f>
        <v>370.24790000000002</v>
      </c>
      <c r="AL52" s="144">
        <f>368.6</f>
        <v>368.6</v>
      </c>
      <c r="AM52" s="144">
        <f>367.89+138.29</f>
        <v>506.17999999999995</v>
      </c>
      <c r="AN52" s="144">
        <f>367.71</f>
        <v>367.71</v>
      </c>
      <c r="AO52" s="144">
        <v>369.29</v>
      </c>
      <c r="AP52" s="144">
        <v>366.55</v>
      </c>
      <c r="AQ52" s="148">
        <f t="shared" si="61"/>
        <v>3473.0379000000003</v>
      </c>
      <c r="AU52" s="370">
        <f>518.38+364.52</f>
        <v>882.9</v>
      </c>
      <c r="AV52" s="144">
        <f>-25.18</f>
        <v>-25.18</v>
      </c>
      <c r="AW52" s="144">
        <v>363.35</v>
      </c>
      <c r="AX52" s="144">
        <f>364.22-24.01</f>
        <v>340.21000000000004</v>
      </c>
      <c r="AY52" s="144">
        <f>363.02+847</f>
        <v>1210.02</v>
      </c>
      <c r="AZ52" s="144">
        <v>363.1</v>
      </c>
      <c r="BA52" s="144">
        <v>363.81</v>
      </c>
      <c r="BB52" s="144">
        <v>364.25</v>
      </c>
      <c r="BC52" s="144">
        <v>366.41</v>
      </c>
      <c r="BD52" s="144">
        <v>438.87</v>
      </c>
      <c r="BE52" s="144">
        <v>364.61</v>
      </c>
      <c r="BF52" s="144">
        <v>363.77</v>
      </c>
      <c r="BG52" s="148">
        <f t="shared" si="62"/>
        <v>5396.119999999999</v>
      </c>
      <c r="BH52" s="160"/>
      <c r="BJ52" s="294">
        <v>362.52</v>
      </c>
      <c r="BK52" s="144">
        <f>363.12+364.31</f>
        <v>727.43000000000006</v>
      </c>
      <c r="BL52" s="211"/>
      <c r="BM52" s="144">
        <f>364.42+968+296.99+496.98+364.09</f>
        <v>2490.4800000000005</v>
      </c>
      <c r="BN52" s="144">
        <f>363.71+319.4</f>
        <v>683.1099999999999</v>
      </c>
      <c r="BO52" s="144">
        <v>19.28</v>
      </c>
      <c r="BP52" s="144">
        <f>363.87+364.1</f>
        <v>727.97</v>
      </c>
      <c r="BQ52" s="144">
        <f>159.22+278.3</f>
        <v>437.52</v>
      </c>
      <c r="BR52" s="144">
        <f>363.3+99.03</f>
        <v>462.33000000000004</v>
      </c>
      <c r="BS52" s="214">
        <v>377.71</v>
      </c>
      <c r="BT52" s="230">
        <v>404.67</v>
      </c>
      <c r="BU52" s="169"/>
      <c r="BV52" s="148">
        <f t="shared" si="66"/>
        <v>6693.0199999999995</v>
      </c>
      <c r="BY52" s="228"/>
      <c r="BZ52" s="169"/>
      <c r="CA52" s="169"/>
      <c r="CB52" s="169"/>
      <c r="CC52" s="169"/>
      <c r="CD52" s="169"/>
      <c r="CE52" s="169"/>
      <c r="CF52" s="169"/>
      <c r="CG52" s="169"/>
      <c r="CH52" s="169"/>
      <c r="CI52" s="169"/>
      <c r="CJ52" s="169"/>
      <c r="CK52" s="148">
        <f t="shared" si="67"/>
        <v>0</v>
      </c>
      <c r="CN52" s="228"/>
      <c r="CO52" s="169"/>
      <c r="CP52" s="169"/>
      <c r="CQ52" s="169"/>
      <c r="CR52" s="169"/>
      <c r="CS52" s="169"/>
      <c r="CT52" s="169"/>
      <c r="CU52" s="169"/>
      <c r="CV52" s="169"/>
      <c r="CW52" s="169"/>
      <c r="CX52" s="169"/>
      <c r="CY52" s="169"/>
      <c r="CZ52" s="148">
        <f t="shared" si="68"/>
        <v>0</v>
      </c>
      <c r="DB52" s="142"/>
      <c r="DC52" s="143"/>
    </row>
    <row r="53" spans="2:107">
      <c r="B53" s="265" t="s">
        <v>85</v>
      </c>
      <c r="C53" s="146"/>
      <c r="D53" s="140"/>
      <c r="E53" s="140"/>
      <c r="F53" s="144"/>
      <c r="G53" s="144"/>
      <c r="H53" s="144"/>
      <c r="I53" s="147"/>
      <c r="J53" s="146"/>
      <c r="K53" s="146"/>
      <c r="L53" s="146"/>
      <c r="M53" s="146"/>
      <c r="N53" s="146"/>
      <c r="O53" s="249">
        <f t="shared" si="59"/>
        <v>0</v>
      </c>
      <c r="P53" s="246"/>
      <c r="Q53" s="146"/>
      <c r="R53" s="146"/>
      <c r="S53" s="146"/>
      <c r="T53" s="146"/>
      <c r="U53" s="146"/>
      <c r="V53" s="146"/>
      <c r="W53" s="146"/>
      <c r="X53" s="146"/>
      <c r="Y53" s="146"/>
      <c r="Z53" s="146"/>
      <c r="AA53" s="205"/>
      <c r="AB53" s="148">
        <f t="shared" si="60"/>
        <v>0</v>
      </c>
      <c r="AE53" s="246"/>
      <c r="AF53" s="146"/>
      <c r="AG53" s="146"/>
      <c r="AH53" s="146"/>
      <c r="AI53" s="146"/>
      <c r="AJ53" s="146"/>
      <c r="AK53" s="146"/>
      <c r="AL53" s="146"/>
      <c r="AM53" s="146"/>
      <c r="AN53" s="146"/>
      <c r="AO53" s="146"/>
      <c r="AP53" s="205"/>
      <c r="AQ53" s="148">
        <f t="shared" si="61"/>
        <v>0</v>
      </c>
      <c r="AU53" s="246"/>
      <c r="AV53" s="146"/>
      <c r="AW53" s="146"/>
      <c r="AX53" s="146"/>
      <c r="AY53" s="146"/>
      <c r="AZ53" s="146"/>
      <c r="BA53" s="146"/>
      <c r="BB53" s="146"/>
      <c r="BC53" s="146"/>
      <c r="BD53" s="146"/>
      <c r="BE53" s="146"/>
      <c r="BF53" s="205"/>
      <c r="BG53" s="148">
        <f t="shared" ref="BG53" si="69">SUM(AU53:BF53)</f>
        <v>0</v>
      </c>
      <c r="BH53" s="160"/>
      <c r="BJ53" s="246"/>
      <c r="BK53" s="146"/>
      <c r="BL53" s="146"/>
      <c r="BM53" s="146"/>
      <c r="BN53" s="146"/>
      <c r="BO53" s="146"/>
      <c r="BP53" s="146"/>
      <c r="BQ53" s="146"/>
      <c r="BR53" s="146"/>
      <c r="BS53" s="160"/>
      <c r="BT53" s="160"/>
      <c r="BU53" s="159"/>
      <c r="BV53" s="148">
        <f t="shared" si="66"/>
        <v>0</v>
      </c>
      <c r="BY53" s="226"/>
      <c r="BZ53" s="160"/>
      <c r="CA53" s="160"/>
      <c r="CB53" s="160"/>
      <c r="CC53" s="160"/>
      <c r="CD53" s="160"/>
      <c r="CE53" s="160"/>
      <c r="CF53" s="160"/>
      <c r="CG53" s="160"/>
      <c r="CH53" s="160"/>
      <c r="CI53" s="160"/>
      <c r="CJ53" s="159"/>
      <c r="CK53" s="148">
        <f t="shared" si="67"/>
        <v>0</v>
      </c>
      <c r="CN53" s="226"/>
      <c r="CO53" s="160"/>
      <c r="CP53" s="160"/>
      <c r="CQ53" s="160"/>
      <c r="CR53" s="160"/>
      <c r="CS53" s="160"/>
      <c r="CT53" s="160"/>
      <c r="CU53" s="160"/>
      <c r="CV53" s="160"/>
      <c r="CW53" s="160"/>
      <c r="CX53" s="160"/>
      <c r="CY53" s="159"/>
      <c r="CZ53" s="148">
        <f t="shared" si="68"/>
        <v>0</v>
      </c>
      <c r="DB53" s="142"/>
      <c r="DC53" s="143"/>
    </row>
    <row r="54" spans="2:107" s="217" customFormat="1" ht="15.75">
      <c r="B54" s="273" t="s">
        <v>86</v>
      </c>
      <c r="C54" s="232">
        <f t="shared" ref="C54:AB54" si="70">SUM(C45:C53)</f>
        <v>0</v>
      </c>
      <c r="D54" s="232">
        <f t="shared" si="70"/>
        <v>0</v>
      </c>
      <c r="E54" s="232">
        <f t="shared" si="70"/>
        <v>0</v>
      </c>
      <c r="F54" s="232">
        <f t="shared" si="70"/>
        <v>0</v>
      </c>
      <c r="G54" s="232">
        <f t="shared" si="70"/>
        <v>0</v>
      </c>
      <c r="H54" s="232">
        <f t="shared" si="70"/>
        <v>0</v>
      </c>
      <c r="I54" s="232">
        <f t="shared" si="70"/>
        <v>0</v>
      </c>
      <c r="J54" s="232">
        <f t="shared" si="70"/>
        <v>0</v>
      </c>
      <c r="K54" s="232">
        <f t="shared" si="70"/>
        <v>0</v>
      </c>
      <c r="L54" s="232">
        <f t="shared" si="70"/>
        <v>0</v>
      </c>
      <c r="M54" s="232">
        <f t="shared" si="70"/>
        <v>0</v>
      </c>
      <c r="N54" s="232">
        <f t="shared" si="70"/>
        <v>0</v>
      </c>
      <c r="O54" s="257">
        <f t="shared" si="70"/>
        <v>0</v>
      </c>
      <c r="P54" s="174">
        <f t="shared" si="70"/>
        <v>0</v>
      </c>
      <c r="Q54" s="232">
        <f t="shared" si="70"/>
        <v>0</v>
      </c>
      <c r="R54" s="232">
        <f t="shared" si="70"/>
        <v>0</v>
      </c>
      <c r="S54" s="232">
        <f t="shared" si="70"/>
        <v>0</v>
      </c>
      <c r="T54" s="232">
        <f t="shared" si="70"/>
        <v>0</v>
      </c>
      <c r="U54" s="232">
        <f t="shared" si="70"/>
        <v>0</v>
      </c>
      <c r="V54" s="232">
        <f t="shared" si="70"/>
        <v>0</v>
      </c>
      <c r="W54" s="232">
        <f t="shared" si="70"/>
        <v>0</v>
      </c>
      <c r="X54" s="232">
        <f t="shared" si="70"/>
        <v>0</v>
      </c>
      <c r="Y54" s="232">
        <f t="shared" si="70"/>
        <v>0</v>
      </c>
      <c r="Z54" s="232">
        <f t="shared" si="70"/>
        <v>0</v>
      </c>
      <c r="AA54" s="232">
        <f t="shared" si="70"/>
        <v>0</v>
      </c>
      <c r="AB54" s="216">
        <f t="shared" si="70"/>
        <v>0</v>
      </c>
      <c r="AE54" s="174">
        <f t="shared" ref="AE54:AQ54" si="71">SUM(AE45:AE53)</f>
        <v>0</v>
      </c>
      <c r="AF54" s="232">
        <f t="shared" si="71"/>
        <v>2580.2600000000002</v>
      </c>
      <c r="AG54" s="232">
        <f t="shared" si="71"/>
        <v>4060.27</v>
      </c>
      <c r="AH54" s="232">
        <f t="shared" si="71"/>
        <v>5231.09</v>
      </c>
      <c r="AI54" s="232">
        <f t="shared" si="71"/>
        <v>6014.37</v>
      </c>
      <c r="AJ54" s="232">
        <f t="shared" si="71"/>
        <v>3635.26</v>
      </c>
      <c r="AK54" s="232">
        <f t="shared" si="71"/>
        <v>1494.8878999999999</v>
      </c>
      <c r="AL54" s="232">
        <f t="shared" si="71"/>
        <v>6161.8200000000006</v>
      </c>
      <c r="AM54" s="232">
        <f t="shared" si="71"/>
        <v>6469.5400000000009</v>
      </c>
      <c r="AN54" s="232">
        <f t="shared" si="71"/>
        <v>6495.07</v>
      </c>
      <c r="AO54" s="232">
        <f t="shared" si="71"/>
        <v>5823.6600000000008</v>
      </c>
      <c r="AP54" s="232">
        <f t="shared" si="71"/>
        <v>2308.35</v>
      </c>
      <c r="AQ54" s="216">
        <f t="shared" si="71"/>
        <v>48596.037900000003</v>
      </c>
      <c r="AS54" s="218"/>
      <c r="AU54" s="174">
        <f t="shared" ref="AU54:BE54" si="72">SUM(AU45:AU53)</f>
        <v>1967.1399999999999</v>
      </c>
      <c r="AV54" s="232">
        <f t="shared" si="72"/>
        <v>48.389999999999993</v>
      </c>
      <c r="AW54" s="232">
        <f t="shared" si="72"/>
        <v>4608.29</v>
      </c>
      <c r="AX54" s="232">
        <f t="shared" si="72"/>
        <v>3678.4300000000003</v>
      </c>
      <c r="AY54" s="232">
        <f t="shared" si="72"/>
        <v>4127.2</v>
      </c>
      <c r="AZ54" s="232">
        <f t="shared" si="72"/>
        <v>1865.58</v>
      </c>
      <c r="BA54" s="232">
        <f t="shared" si="72"/>
        <v>1951.9599999999998</v>
      </c>
      <c r="BB54" s="232">
        <f t="shared" si="72"/>
        <v>7250.01</v>
      </c>
      <c r="BC54" s="232">
        <f t="shared" si="72"/>
        <v>11254.779999999999</v>
      </c>
      <c r="BD54" s="232">
        <f t="shared" si="72"/>
        <v>6244.57</v>
      </c>
      <c r="BE54" s="232">
        <f t="shared" si="72"/>
        <v>364.61</v>
      </c>
      <c r="BF54" s="232">
        <f>SUM(BF45:BF53)</f>
        <v>4600.9400000000005</v>
      </c>
      <c r="BG54" s="216">
        <f>SUM(BG45:BG53)</f>
        <v>47961.899999999994</v>
      </c>
      <c r="BH54" s="221"/>
      <c r="BJ54" s="174">
        <f>SUM(BJ45:BJ53)</f>
        <v>362.52</v>
      </c>
      <c r="BK54" s="232">
        <f t="shared" ref="BK54:BV54" si="73">SUM(BK45:BK53)</f>
        <v>8388.630000000001</v>
      </c>
      <c r="BL54" s="232">
        <f t="shared" si="73"/>
        <v>10129.099999999999</v>
      </c>
      <c r="BM54" s="232">
        <f t="shared" si="73"/>
        <v>9859.880000000001</v>
      </c>
      <c r="BN54" s="232">
        <f t="shared" si="73"/>
        <v>3139.49</v>
      </c>
      <c r="BO54" s="232">
        <f t="shared" si="73"/>
        <v>7828.4699999999993</v>
      </c>
      <c r="BP54" s="232">
        <f t="shared" si="73"/>
        <v>6049.99</v>
      </c>
      <c r="BQ54" s="232">
        <f t="shared" si="73"/>
        <v>6219.26</v>
      </c>
      <c r="BR54" s="232">
        <f t="shared" si="73"/>
        <v>5203.12</v>
      </c>
      <c r="BS54" s="233">
        <f t="shared" si="73"/>
        <v>7950.31</v>
      </c>
      <c r="BT54" s="233">
        <f t="shared" si="73"/>
        <v>804.67000000000007</v>
      </c>
      <c r="BU54" s="233">
        <f t="shared" si="73"/>
        <v>1700</v>
      </c>
      <c r="BV54" s="216">
        <f t="shared" si="73"/>
        <v>67635.439999999988</v>
      </c>
      <c r="BY54" s="178">
        <f t="shared" ref="BY54:CK54" si="74">SUM(BY45:BY53)</f>
        <v>750</v>
      </c>
      <c r="BZ54" s="233">
        <f t="shared" si="74"/>
        <v>250</v>
      </c>
      <c r="CA54" s="233">
        <f t="shared" si="74"/>
        <v>1750</v>
      </c>
      <c r="CB54" s="233">
        <f t="shared" si="74"/>
        <v>750</v>
      </c>
      <c r="CC54" s="233">
        <f t="shared" si="74"/>
        <v>750</v>
      </c>
      <c r="CD54" s="233">
        <f t="shared" si="74"/>
        <v>250</v>
      </c>
      <c r="CE54" s="233">
        <f t="shared" si="74"/>
        <v>250</v>
      </c>
      <c r="CF54" s="233">
        <f t="shared" si="74"/>
        <v>2250</v>
      </c>
      <c r="CG54" s="233">
        <f t="shared" si="74"/>
        <v>250</v>
      </c>
      <c r="CH54" s="233">
        <f t="shared" si="74"/>
        <v>250</v>
      </c>
      <c r="CI54" s="233">
        <f t="shared" si="74"/>
        <v>250</v>
      </c>
      <c r="CJ54" s="233">
        <f t="shared" si="74"/>
        <v>250</v>
      </c>
      <c r="CK54" s="216">
        <f t="shared" si="74"/>
        <v>8000</v>
      </c>
      <c r="CN54" s="178">
        <f t="shared" ref="CN54:CZ54" si="75">SUM(CN45:CN53)</f>
        <v>750</v>
      </c>
      <c r="CO54" s="233">
        <f t="shared" si="75"/>
        <v>250</v>
      </c>
      <c r="CP54" s="233">
        <f t="shared" si="75"/>
        <v>1750</v>
      </c>
      <c r="CQ54" s="233">
        <f t="shared" si="75"/>
        <v>750</v>
      </c>
      <c r="CR54" s="233">
        <f t="shared" si="75"/>
        <v>750</v>
      </c>
      <c r="CS54" s="233">
        <f t="shared" si="75"/>
        <v>250</v>
      </c>
      <c r="CT54" s="233">
        <f t="shared" si="75"/>
        <v>250</v>
      </c>
      <c r="CU54" s="233">
        <f t="shared" si="75"/>
        <v>2250</v>
      </c>
      <c r="CV54" s="233">
        <f t="shared" si="75"/>
        <v>250</v>
      </c>
      <c r="CW54" s="233">
        <f t="shared" si="75"/>
        <v>250</v>
      </c>
      <c r="CX54" s="233">
        <f t="shared" si="75"/>
        <v>250</v>
      </c>
      <c r="CY54" s="233">
        <f t="shared" si="75"/>
        <v>250</v>
      </c>
      <c r="CZ54" s="216">
        <f t="shared" si="75"/>
        <v>8000</v>
      </c>
      <c r="DB54" s="219"/>
      <c r="DC54" s="222"/>
    </row>
    <row r="55" spans="2:107">
      <c r="B55" s="180" t="s">
        <v>31</v>
      </c>
      <c r="C55" s="146"/>
      <c r="D55" s="146"/>
      <c r="E55" s="146"/>
      <c r="F55" s="146"/>
      <c r="G55" s="146"/>
      <c r="H55" s="146"/>
      <c r="I55" s="146"/>
      <c r="J55" s="146"/>
      <c r="K55" s="146"/>
      <c r="L55" s="146"/>
      <c r="M55" s="146"/>
      <c r="N55" s="146"/>
      <c r="O55" s="183">
        <f>O54-SUM(C54:N54)</f>
        <v>0</v>
      </c>
      <c r="P55" s="146"/>
      <c r="Q55" s="146"/>
      <c r="R55" s="146"/>
      <c r="S55" s="146"/>
      <c r="T55" s="146"/>
      <c r="U55" s="146"/>
      <c r="V55" s="146"/>
      <c r="W55" s="146"/>
      <c r="X55" s="146"/>
      <c r="Y55" s="146"/>
      <c r="Z55" s="146"/>
      <c r="AA55" s="146"/>
      <c r="AB55" s="183">
        <f>AB54-SUM(P54:AA54)</f>
        <v>0</v>
      </c>
      <c r="AE55" s="146"/>
      <c r="AF55" s="146"/>
      <c r="AG55" s="146"/>
      <c r="AH55" s="146"/>
      <c r="AI55" s="146"/>
      <c r="AJ55" s="146"/>
      <c r="AK55" s="146"/>
      <c r="AL55" s="146"/>
      <c r="AM55" s="146"/>
      <c r="AN55" s="146"/>
      <c r="AO55" s="146"/>
      <c r="AP55" s="146"/>
      <c r="AQ55" s="183">
        <f>AQ54-SUM(AE54:AP54)</f>
        <v>-1678.5400000000009</v>
      </c>
      <c r="AU55" s="146"/>
      <c r="AV55" s="146"/>
      <c r="AW55" s="146"/>
      <c r="AX55" s="146"/>
      <c r="AY55" s="146"/>
      <c r="AZ55" s="146"/>
      <c r="BA55" s="146"/>
      <c r="BB55" s="146"/>
      <c r="BC55" s="146"/>
      <c r="BD55" s="146"/>
      <c r="BE55" s="146"/>
      <c r="BF55" s="146"/>
      <c r="BG55" s="183">
        <f>BG54-SUM(AU54:BF54)</f>
        <v>0</v>
      </c>
      <c r="BH55" s="189"/>
      <c r="BJ55" s="146"/>
      <c r="BK55" s="146"/>
      <c r="BL55" s="146"/>
      <c r="BM55" s="146"/>
      <c r="BN55" s="146"/>
      <c r="BO55" s="146"/>
      <c r="BP55" s="146"/>
      <c r="BQ55" s="146"/>
      <c r="BR55" s="146"/>
      <c r="BS55" s="160"/>
      <c r="BT55" s="160"/>
      <c r="BU55" s="160"/>
      <c r="BV55" s="183">
        <f>BV54-SUM(BJ54:BU54)</f>
        <v>0</v>
      </c>
      <c r="BY55" s="160"/>
      <c r="BZ55" s="160"/>
      <c r="CA55" s="160"/>
      <c r="CB55" s="160"/>
      <c r="CC55" s="160"/>
      <c r="CD55" s="160"/>
      <c r="CE55" s="160"/>
      <c r="CF55" s="160"/>
      <c r="CG55" s="160"/>
      <c r="CH55" s="160"/>
      <c r="CI55" s="160"/>
      <c r="CJ55" s="160"/>
      <c r="CK55" s="183">
        <f>CK54-SUM(BY54:CJ54)</f>
        <v>0</v>
      </c>
      <c r="CN55" s="160"/>
      <c r="CO55" s="160"/>
      <c r="CP55" s="160"/>
      <c r="CQ55" s="160"/>
      <c r="CR55" s="160"/>
      <c r="CS55" s="160"/>
      <c r="CT55" s="160"/>
      <c r="CU55" s="160"/>
      <c r="CV55" s="160"/>
      <c r="CW55" s="160"/>
      <c r="CX55" s="160"/>
      <c r="CY55" s="160"/>
      <c r="CZ55" s="183">
        <f>CZ54-SUM(CN54:CY54)</f>
        <v>0</v>
      </c>
      <c r="DB55" s="142"/>
      <c r="DC55" s="143"/>
    </row>
    <row r="56" spans="2:107" ht="15.75" thickBot="1">
      <c r="B56" s="265"/>
      <c r="C56" s="146"/>
      <c r="D56" s="146"/>
      <c r="E56" s="146"/>
      <c r="F56" s="146"/>
      <c r="G56" s="146"/>
      <c r="H56" s="146"/>
      <c r="I56" s="146"/>
      <c r="J56" s="146"/>
      <c r="K56" s="146"/>
      <c r="L56" s="146"/>
      <c r="M56" s="146"/>
      <c r="N56" s="146"/>
      <c r="O56" s="274"/>
      <c r="P56" s="146"/>
      <c r="Q56" s="146"/>
      <c r="R56" s="146"/>
      <c r="S56" s="146"/>
      <c r="T56" s="146"/>
      <c r="U56" s="146"/>
      <c r="V56" s="146"/>
      <c r="W56" s="146"/>
      <c r="X56" s="146"/>
      <c r="Y56" s="146"/>
      <c r="Z56" s="146"/>
      <c r="AA56" s="146"/>
      <c r="AB56" s="160"/>
      <c r="AE56" s="146"/>
      <c r="AF56" s="146"/>
      <c r="AG56" s="146"/>
      <c r="AH56" s="146"/>
      <c r="AI56" s="146"/>
      <c r="AJ56" s="146"/>
      <c r="AK56" s="146"/>
      <c r="AL56" s="146"/>
      <c r="AM56" s="146"/>
      <c r="AN56" s="146"/>
      <c r="AO56" s="146"/>
      <c r="AP56" s="146"/>
      <c r="AQ56" s="160"/>
      <c r="AU56" s="146"/>
      <c r="AV56" s="146"/>
      <c r="AW56" s="146"/>
      <c r="AX56" s="146"/>
      <c r="AY56" s="146"/>
      <c r="AZ56" s="146"/>
      <c r="BA56" s="146"/>
      <c r="BB56" s="146"/>
      <c r="BC56" s="146"/>
      <c r="BD56" s="146"/>
      <c r="BE56" s="146"/>
      <c r="BF56" s="146"/>
      <c r="BG56" s="160"/>
      <c r="BH56" s="160"/>
      <c r="BJ56" s="146"/>
      <c r="BK56" s="146"/>
      <c r="BL56" s="146"/>
      <c r="BM56" s="146"/>
      <c r="BN56" s="146"/>
      <c r="BO56" s="146"/>
      <c r="BP56" s="146"/>
      <c r="BQ56" s="146"/>
      <c r="BR56" s="146"/>
      <c r="BS56" s="160"/>
      <c r="BT56" s="160"/>
      <c r="BU56" s="160"/>
      <c r="BV56" s="160"/>
      <c r="BY56" s="160"/>
      <c r="BZ56" s="160"/>
      <c r="CA56" s="160"/>
      <c r="CB56" s="160"/>
      <c r="CC56" s="160"/>
      <c r="CD56" s="160"/>
      <c r="CE56" s="160"/>
      <c r="CF56" s="160"/>
      <c r="CG56" s="160"/>
      <c r="CH56" s="160"/>
      <c r="CI56" s="160"/>
      <c r="CJ56" s="160"/>
      <c r="CK56" s="160"/>
      <c r="CN56" s="160"/>
      <c r="CO56" s="160"/>
      <c r="CP56" s="160"/>
      <c r="CQ56" s="160"/>
      <c r="CR56" s="160"/>
      <c r="CS56" s="160"/>
      <c r="CT56" s="160"/>
      <c r="CU56" s="160"/>
      <c r="CV56" s="160"/>
      <c r="CW56" s="160"/>
      <c r="CX56" s="160"/>
      <c r="CY56" s="160"/>
      <c r="CZ56" s="160"/>
      <c r="DB56" s="142"/>
      <c r="DC56" s="143"/>
    </row>
    <row r="57" spans="2:107" s="217" customFormat="1" ht="16.5" thickBot="1">
      <c r="B57" s="275" t="s">
        <v>386</v>
      </c>
      <c r="C57" s="235">
        <f t="shared" ref="C57:AB57" si="76">C42-C54</f>
        <v>0</v>
      </c>
      <c r="D57" s="235">
        <f t="shared" si="76"/>
        <v>0</v>
      </c>
      <c r="E57" s="235">
        <f t="shared" si="76"/>
        <v>0</v>
      </c>
      <c r="F57" s="235">
        <f t="shared" si="76"/>
        <v>0</v>
      </c>
      <c r="G57" s="235">
        <f t="shared" si="76"/>
        <v>0</v>
      </c>
      <c r="H57" s="235">
        <f t="shared" si="76"/>
        <v>0</v>
      </c>
      <c r="I57" s="235">
        <f t="shared" si="76"/>
        <v>0</v>
      </c>
      <c r="J57" s="235">
        <f t="shared" si="76"/>
        <v>0</v>
      </c>
      <c r="K57" s="235">
        <f t="shared" si="76"/>
        <v>0</v>
      </c>
      <c r="L57" s="235">
        <f t="shared" si="76"/>
        <v>0</v>
      </c>
      <c r="M57" s="235">
        <f t="shared" si="76"/>
        <v>0</v>
      </c>
      <c r="N57" s="235">
        <f t="shared" si="76"/>
        <v>0</v>
      </c>
      <c r="O57" s="236">
        <f t="shared" si="76"/>
        <v>0</v>
      </c>
      <c r="P57" s="235">
        <f t="shared" si="76"/>
        <v>0</v>
      </c>
      <c r="Q57" s="235">
        <f t="shared" si="76"/>
        <v>0</v>
      </c>
      <c r="R57" s="235">
        <f t="shared" si="76"/>
        <v>0</v>
      </c>
      <c r="S57" s="235">
        <f t="shared" si="76"/>
        <v>0</v>
      </c>
      <c r="T57" s="235">
        <f t="shared" si="76"/>
        <v>0</v>
      </c>
      <c r="U57" s="235">
        <f t="shared" si="76"/>
        <v>0</v>
      </c>
      <c r="V57" s="235">
        <f t="shared" si="76"/>
        <v>0</v>
      </c>
      <c r="W57" s="235">
        <f t="shared" si="76"/>
        <v>0</v>
      </c>
      <c r="X57" s="235">
        <f t="shared" si="76"/>
        <v>0</v>
      </c>
      <c r="Y57" s="235">
        <f t="shared" si="76"/>
        <v>0</v>
      </c>
      <c r="Z57" s="235">
        <f t="shared" si="76"/>
        <v>0</v>
      </c>
      <c r="AA57" s="235">
        <f t="shared" si="76"/>
        <v>0</v>
      </c>
      <c r="AB57" s="276">
        <f t="shared" si="76"/>
        <v>0</v>
      </c>
      <c r="AE57" s="238">
        <f t="shared" ref="AE57:AQ57" si="77">AE42-AE54</f>
        <v>4256.9500000000007</v>
      </c>
      <c r="AF57" s="235">
        <f t="shared" si="77"/>
        <v>-2299.29</v>
      </c>
      <c r="AG57" s="235">
        <f t="shared" si="77"/>
        <v>3858.68</v>
      </c>
      <c r="AH57" s="235">
        <f t="shared" si="77"/>
        <v>620.44000000000051</v>
      </c>
      <c r="AI57" s="235">
        <f t="shared" si="77"/>
        <v>803.3100000000004</v>
      </c>
      <c r="AJ57" s="235">
        <f t="shared" si="77"/>
        <v>-1909.9000000000003</v>
      </c>
      <c r="AK57" s="235">
        <f t="shared" si="77"/>
        <v>839.68209999999976</v>
      </c>
      <c r="AL57" s="235">
        <f t="shared" si="77"/>
        <v>27893.85</v>
      </c>
      <c r="AM57" s="235">
        <f t="shared" si="77"/>
        <v>41616.560000000005</v>
      </c>
      <c r="AN57" s="235">
        <f t="shared" si="77"/>
        <v>15458.740000000002</v>
      </c>
      <c r="AO57" s="235">
        <f t="shared" si="77"/>
        <v>-5811.8200000000006</v>
      </c>
      <c r="AP57" s="235">
        <f t="shared" si="77"/>
        <v>4730.9800000000014</v>
      </c>
      <c r="AQ57" s="276">
        <f t="shared" si="77"/>
        <v>91736.722100000014</v>
      </c>
      <c r="AS57" s="218"/>
      <c r="AT57" s="219"/>
      <c r="AU57" s="238">
        <f t="shared" ref="AU57:BG57" si="78">AU42-AU54</f>
        <v>-277.14999999999986</v>
      </c>
      <c r="AV57" s="235">
        <f t="shared" si="78"/>
        <v>5874.29</v>
      </c>
      <c r="AW57" s="235">
        <f t="shared" si="78"/>
        <v>-2782.56</v>
      </c>
      <c r="AX57" s="235">
        <f t="shared" si="78"/>
        <v>244.95999999999958</v>
      </c>
      <c r="AY57" s="235">
        <f t="shared" si="78"/>
        <v>-559.80999999999995</v>
      </c>
      <c r="AZ57" s="235">
        <f t="shared" si="78"/>
        <v>18384.370000000003</v>
      </c>
      <c r="BA57" s="235">
        <f t="shared" si="78"/>
        <v>16263.41</v>
      </c>
      <c r="BB57" s="235">
        <f t="shared" si="78"/>
        <v>46075.99</v>
      </c>
      <c r="BC57" s="235">
        <f t="shared" si="78"/>
        <v>8959.4300000000039</v>
      </c>
      <c r="BD57" s="235">
        <f t="shared" si="78"/>
        <v>-3790.7199999999993</v>
      </c>
      <c r="BE57" s="235">
        <f t="shared" si="78"/>
        <v>4673.13</v>
      </c>
      <c r="BF57" s="235">
        <f t="shared" si="78"/>
        <v>3884.1499999999996</v>
      </c>
      <c r="BG57" s="276">
        <f t="shared" si="78"/>
        <v>96949.49000000002</v>
      </c>
      <c r="BH57" s="179"/>
      <c r="BJ57" s="238">
        <f>BJ42-BJ54</f>
        <v>3555.52</v>
      </c>
      <c r="BK57" s="235">
        <f t="shared" ref="BK57:BV57" si="79">BK42-BK54</f>
        <v>-1941.1000000000013</v>
      </c>
      <c r="BL57" s="235">
        <f t="shared" si="79"/>
        <v>-5156.7299999999977</v>
      </c>
      <c r="BM57" s="235">
        <f t="shared" si="79"/>
        <v>-3908.1400000000012</v>
      </c>
      <c r="BN57" s="235">
        <f t="shared" si="79"/>
        <v>300.89999999999964</v>
      </c>
      <c r="BO57" s="235">
        <f t="shared" si="79"/>
        <v>23527.949999999997</v>
      </c>
      <c r="BP57" s="235">
        <f t="shared" si="79"/>
        <v>-2049.3199999999997</v>
      </c>
      <c r="BQ57" s="235">
        <f t="shared" si="79"/>
        <v>51937.2</v>
      </c>
      <c r="BR57" s="235">
        <f t="shared" si="79"/>
        <v>-2230.9300000000003</v>
      </c>
      <c r="BS57" s="239">
        <f t="shared" si="79"/>
        <v>2841.2200000000003</v>
      </c>
      <c r="BT57" s="239">
        <f t="shared" si="79"/>
        <v>3645.2999999999993</v>
      </c>
      <c r="BU57" s="239">
        <f t="shared" si="79"/>
        <v>4621.49</v>
      </c>
      <c r="BV57" s="276">
        <f t="shared" si="79"/>
        <v>75143.36000000003</v>
      </c>
      <c r="BY57" s="240">
        <f t="shared" ref="BY57:CK57" si="80">BY42-BY54</f>
        <v>-750</v>
      </c>
      <c r="BZ57" s="239">
        <f t="shared" si="80"/>
        <v>-250</v>
      </c>
      <c r="CA57" s="239">
        <f t="shared" si="80"/>
        <v>-1750</v>
      </c>
      <c r="CB57" s="239">
        <f t="shared" si="80"/>
        <v>-750</v>
      </c>
      <c r="CC57" s="239">
        <f t="shared" si="80"/>
        <v>-750</v>
      </c>
      <c r="CD57" s="239">
        <f t="shared" si="80"/>
        <v>31574</v>
      </c>
      <c r="CE57" s="239">
        <f t="shared" si="80"/>
        <v>63398</v>
      </c>
      <c r="CF57" s="239">
        <f t="shared" si="80"/>
        <v>29574</v>
      </c>
      <c r="CG57" s="239">
        <f t="shared" si="80"/>
        <v>7750</v>
      </c>
      <c r="CH57" s="239">
        <f t="shared" si="80"/>
        <v>7750</v>
      </c>
      <c r="CI57" s="239">
        <f t="shared" si="80"/>
        <v>-250</v>
      </c>
      <c r="CJ57" s="239">
        <f t="shared" si="80"/>
        <v>-250</v>
      </c>
      <c r="CK57" s="276">
        <f t="shared" si="80"/>
        <v>135296</v>
      </c>
      <c r="CN57" s="240">
        <f t="shared" ref="CN57:CZ57" si="81">CN42-CN54</f>
        <v>-750</v>
      </c>
      <c r="CO57" s="239">
        <f t="shared" si="81"/>
        <v>-250</v>
      </c>
      <c r="CP57" s="239">
        <f t="shared" si="81"/>
        <v>-1750</v>
      </c>
      <c r="CQ57" s="239">
        <f t="shared" si="81"/>
        <v>-750</v>
      </c>
      <c r="CR57" s="239">
        <f t="shared" si="81"/>
        <v>-750</v>
      </c>
      <c r="CS57" s="239">
        <f t="shared" si="81"/>
        <v>44390</v>
      </c>
      <c r="CT57" s="239">
        <f t="shared" si="81"/>
        <v>89030</v>
      </c>
      <c r="CU57" s="239">
        <f t="shared" si="81"/>
        <v>42390</v>
      </c>
      <c r="CV57" s="239">
        <f t="shared" si="81"/>
        <v>-250</v>
      </c>
      <c r="CW57" s="239">
        <f t="shared" si="81"/>
        <v>-250</v>
      </c>
      <c r="CX57" s="239">
        <f t="shared" si="81"/>
        <v>-250</v>
      </c>
      <c r="CY57" s="239">
        <f t="shared" si="81"/>
        <v>-250</v>
      </c>
      <c r="CZ57" s="276">
        <f t="shared" si="81"/>
        <v>170560</v>
      </c>
      <c r="DB57" s="219"/>
      <c r="DC57" s="222"/>
    </row>
    <row r="58" spans="2:107">
      <c r="B58" s="180" t="s">
        <v>31</v>
      </c>
      <c r="C58" s="277"/>
      <c r="D58" s="277"/>
      <c r="E58" s="277"/>
      <c r="F58" s="277"/>
      <c r="G58" s="277"/>
      <c r="H58" s="277"/>
      <c r="I58" s="277"/>
      <c r="J58" s="277"/>
      <c r="K58" s="277"/>
      <c r="L58" s="277"/>
      <c r="M58" s="277"/>
      <c r="N58" s="277"/>
      <c r="O58" s="183">
        <f>O57-SUM(C57:N57)</f>
        <v>0</v>
      </c>
      <c r="P58" s="277"/>
      <c r="Q58" s="277"/>
      <c r="R58" s="277"/>
      <c r="S58" s="277"/>
      <c r="T58" s="277"/>
      <c r="U58" s="277"/>
      <c r="V58" s="277"/>
      <c r="W58" s="277"/>
      <c r="X58" s="277"/>
      <c r="Y58" s="277"/>
      <c r="Z58" s="277"/>
      <c r="AA58" s="277"/>
      <c r="AB58" s="183">
        <f>AB57-SUM(P57:AA57)</f>
        <v>0</v>
      </c>
      <c r="AE58" s="277"/>
      <c r="AF58" s="277"/>
      <c r="AG58" s="277"/>
      <c r="AH58" s="277"/>
      <c r="AI58" s="277"/>
      <c r="AJ58" s="277"/>
      <c r="AK58" s="277"/>
      <c r="AL58" s="277"/>
      <c r="AM58" s="277"/>
      <c r="AN58" s="277"/>
      <c r="AO58" s="277"/>
      <c r="AP58" s="277"/>
      <c r="AQ58" s="183">
        <f>AQ57-SUM(AE57:AP57)</f>
        <v>1678.5400000000081</v>
      </c>
      <c r="AU58" s="277"/>
      <c r="AV58" s="277"/>
      <c r="AW58" s="277"/>
      <c r="AX58" s="277"/>
      <c r="AY58" s="277"/>
      <c r="AZ58" s="277"/>
      <c r="BA58" s="277"/>
      <c r="BB58" s="277"/>
      <c r="BC58" s="277"/>
      <c r="BD58" s="277"/>
      <c r="BE58" s="277"/>
      <c r="BF58" s="277"/>
      <c r="BG58" s="183">
        <f>BG57-SUM(AU57:BF57)</f>
        <v>0</v>
      </c>
      <c r="BH58" s="189"/>
      <c r="BJ58" s="277"/>
      <c r="BK58" s="277"/>
      <c r="BL58" s="277"/>
      <c r="BM58" s="277"/>
      <c r="BN58" s="277"/>
      <c r="BO58" s="277"/>
      <c r="BP58" s="277"/>
      <c r="BQ58" s="277"/>
      <c r="BR58" s="277"/>
      <c r="BS58" s="278"/>
      <c r="BT58" s="278"/>
      <c r="BU58" s="278"/>
      <c r="BV58" s="183">
        <f>BV57-SUM(BJ57:BU57)</f>
        <v>0</v>
      </c>
      <c r="BY58" s="278"/>
      <c r="BZ58" s="278"/>
      <c r="CA58" s="278"/>
      <c r="CB58" s="278"/>
      <c r="CC58" s="278"/>
      <c r="CD58" s="278"/>
      <c r="CE58" s="278"/>
      <c r="CF58" s="278"/>
      <c r="CG58" s="278"/>
      <c r="CH58" s="278"/>
      <c r="CI58" s="278"/>
      <c r="CJ58" s="278"/>
      <c r="CK58" s="183">
        <f>CK57-SUM(BY57:CJ57)</f>
        <v>0</v>
      </c>
      <c r="CN58" s="278"/>
      <c r="CO58" s="278"/>
      <c r="CP58" s="278"/>
      <c r="CQ58" s="278"/>
      <c r="CR58" s="278"/>
      <c r="CS58" s="278"/>
      <c r="CT58" s="278"/>
      <c r="CU58" s="278"/>
      <c r="CV58" s="278"/>
      <c r="CW58" s="278"/>
      <c r="CX58" s="278"/>
      <c r="CY58" s="278"/>
      <c r="CZ58" s="183">
        <f>CZ57-SUM(CN57:CY57)</f>
        <v>0</v>
      </c>
      <c r="DB58" s="142"/>
      <c r="DC58" s="143"/>
    </row>
    <row r="59" spans="2:107">
      <c r="B59" s="279" t="s">
        <v>87</v>
      </c>
      <c r="C59" s="277"/>
      <c r="D59" s="277"/>
      <c r="E59" s="277"/>
      <c r="F59" s="277"/>
      <c r="G59" s="277"/>
      <c r="H59" s="277"/>
      <c r="I59" s="277"/>
      <c r="J59" s="277"/>
      <c r="K59" s="277"/>
      <c r="L59" s="277"/>
      <c r="M59" s="277"/>
      <c r="N59" s="277"/>
      <c r="O59" s="189"/>
      <c r="P59" s="277"/>
      <c r="Q59" s="277"/>
      <c r="R59" s="277"/>
      <c r="S59" s="277"/>
      <c r="T59" s="277"/>
      <c r="U59" s="277"/>
      <c r="V59" s="277"/>
      <c r="W59" s="277"/>
      <c r="X59" s="277"/>
      <c r="Y59" s="277"/>
      <c r="Z59" s="277"/>
      <c r="AA59" s="277"/>
      <c r="AB59" s="189"/>
      <c r="AE59" s="277"/>
      <c r="AF59" s="277"/>
      <c r="AG59" s="277"/>
      <c r="AH59" s="277"/>
      <c r="AI59" s="277"/>
      <c r="AJ59" s="277"/>
      <c r="AK59" s="277"/>
      <c r="AL59" s="277"/>
      <c r="AM59" s="277"/>
      <c r="AN59" s="277"/>
      <c r="AO59" s="277"/>
      <c r="AP59" s="277"/>
      <c r="AQ59" s="189"/>
      <c r="AU59" s="277"/>
      <c r="AV59" s="277"/>
      <c r="AW59" s="277"/>
      <c r="AX59" s="277"/>
      <c r="AY59" s="277"/>
      <c r="AZ59" s="277"/>
      <c r="BA59" s="277"/>
      <c r="BB59" s="277"/>
      <c r="BC59" s="277"/>
      <c r="BD59" s="277"/>
      <c r="BE59" s="277"/>
      <c r="BF59" s="277"/>
      <c r="BG59" s="189"/>
      <c r="BH59" s="189"/>
      <c r="BJ59" s="277"/>
      <c r="BK59" s="277"/>
      <c r="BL59" s="277"/>
      <c r="BM59" s="277"/>
      <c r="BN59" s="277"/>
      <c r="BO59" s="277"/>
      <c r="BP59" s="277"/>
      <c r="BQ59" s="277"/>
      <c r="BR59" s="277"/>
      <c r="BS59" s="278"/>
      <c r="BT59" s="278"/>
      <c r="BU59" s="278"/>
      <c r="BV59" s="189"/>
      <c r="BY59" s="278"/>
      <c r="BZ59" s="278"/>
      <c r="CA59" s="278"/>
      <c r="CB59" s="278"/>
      <c r="CC59" s="278"/>
      <c r="CD59" s="278"/>
      <c r="CE59" s="278"/>
      <c r="CF59" s="278"/>
      <c r="CG59" s="278"/>
      <c r="CH59" s="278"/>
      <c r="CI59" s="278"/>
      <c r="CJ59" s="278"/>
      <c r="CK59" s="189"/>
      <c r="CN59" s="278"/>
      <c r="CO59" s="278"/>
      <c r="CP59" s="278"/>
      <c r="CQ59" s="278"/>
      <c r="CR59" s="278"/>
      <c r="CS59" s="278"/>
      <c r="CT59" s="278"/>
      <c r="CU59" s="278"/>
      <c r="CV59" s="278"/>
      <c r="CW59" s="278"/>
      <c r="CX59" s="278"/>
      <c r="CY59" s="278"/>
      <c r="CZ59" s="189"/>
      <c r="DB59" s="142"/>
      <c r="DC59" s="143"/>
    </row>
    <row r="60" spans="2:107" ht="15.75">
      <c r="B60" s="143" t="s">
        <v>88</v>
      </c>
      <c r="C60" s="277"/>
      <c r="D60" s="277"/>
      <c r="E60" s="277"/>
      <c r="F60" s="277"/>
      <c r="G60" s="277"/>
      <c r="H60" s="277"/>
      <c r="I60" s="277"/>
      <c r="J60" s="277"/>
      <c r="K60" s="277"/>
      <c r="L60" s="277"/>
      <c r="M60" s="277"/>
      <c r="N60" s="277"/>
      <c r="O60" s="189"/>
      <c r="P60" s="280"/>
      <c r="Q60" s="150"/>
      <c r="R60" s="151"/>
      <c r="S60" s="151"/>
      <c r="T60" s="151"/>
      <c r="U60" s="151"/>
      <c r="V60" s="151"/>
      <c r="W60" s="151"/>
      <c r="X60" s="151"/>
      <c r="Y60" s="150"/>
      <c r="Z60" s="281"/>
      <c r="AA60" s="150"/>
      <c r="AB60" s="202">
        <f>SUM(P60:AA60)</f>
        <v>0</v>
      </c>
      <c r="AE60" s="280"/>
      <c r="AF60" s="282"/>
      <c r="AG60" s="154">
        <f>352+(120*75+30*35)*1.1+450*1.1</f>
        <v>11902</v>
      </c>
      <c r="AH60" s="282"/>
      <c r="AI60" s="154">
        <f>2858.9</f>
        <v>2858.9</v>
      </c>
      <c r="AJ60" s="151"/>
      <c r="AK60" s="151"/>
      <c r="AL60" s="151"/>
      <c r="AM60" s="155">
        <v>75</v>
      </c>
      <c r="AN60" s="155">
        <v>900</v>
      </c>
      <c r="AO60" s="283"/>
      <c r="AP60" s="150"/>
      <c r="AQ60" s="202">
        <f>SUM(AE60:AP60)</f>
        <v>15735.9</v>
      </c>
      <c r="AU60" s="174"/>
      <c r="AV60" s="150"/>
      <c r="AW60" s="151"/>
      <c r="AX60" s="151"/>
      <c r="AY60" s="155">
        <v>180</v>
      </c>
      <c r="AZ60" s="151"/>
      <c r="BA60" s="151"/>
      <c r="BB60" s="195">
        <v>1232</v>
      </c>
      <c r="BC60" s="151"/>
      <c r="BD60" s="150"/>
      <c r="BE60" s="281"/>
      <c r="BF60" s="150"/>
      <c r="BG60" s="202">
        <f>SUM(AU60:BF60)</f>
        <v>1412</v>
      </c>
      <c r="BH60" s="160"/>
      <c r="BJ60" s="280"/>
      <c r="BK60" s="150"/>
      <c r="BL60" s="151"/>
      <c r="BM60" s="155">
        <v>365</v>
      </c>
      <c r="BN60" s="151"/>
      <c r="BO60" s="155">
        <v>400</v>
      </c>
      <c r="BP60" s="151"/>
      <c r="BQ60" s="155">
        <v>1045</v>
      </c>
      <c r="BR60" s="151"/>
      <c r="BS60" s="157"/>
      <c r="BT60" s="285"/>
      <c r="BU60" s="157"/>
      <c r="BV60" s="202">
        <f>SUM(BJ60:BU60)</f>
        <v>1810</v>
      </c>
      <c r="BY60" s="245"/>
      <c r="BZ60" s="157"/>
      <c r="CA60" s="284"/>
      <c r="CB60" s="284"/>
      <c r="CC60" s="284"/>
      <c r="CD60" s="284"/>
      <c r="CE60" s="284"/>
      <c r="CF60" s="284"/>
      <c r="CG60" s="284"/>
      <c r="CH60" s="157"/>
      <c r="CI60" s="285"/>
      <c r="CJ60" s="157"/>
      <c r="CK60" s="202">
        <f>SUM(BY60:CJ60)</f>
        <v>0</v>
      </c>
      <c r="CN60" s="245"/>
      <c r="CO60" s="157"/>
      <c r="CP60" s="284"/>
      <c r="CQ60" s="284"/>
      <c r="CR60" s="284"/>
      <c r="CS60" s="284"/>
      <c r="CT60" s="284"/>
      <c r="CU60" s="284"/>
      <c r="CV60" s="284"/>
      <c r="CW60" s="157"/>
      <c r="CX60" s="285"/>
      <c r="CY60" s="157"/>
      <c r="CZ60" s="202">
        <f>SUM(CN60:CY60)</f>
        <v>0</v>
      </c>
      <c r="DB60" s="142"/>
      <c r="DC60" s="499">
        <f>-2858.9</f>
        <v>-2858.9</v>
      </c>
    </row>
    <row r="61" spans="2:107" ht="15.75">
      <c r="B61" s="171" t="s">
        <v>89</v>
      </c>
      <c r="C61" s="277"/>
      <c r="D61" s="277"/>
      <c r="E61" s="277"/>
      <c r="F61" s="277"/>
      <c r="G61" s="277"/>
      <c r="H61" s="277"/>
      <c r="I61" s="277"/>
      <c r="J61" s="277"/>
      <c r="K61" s="277"/>
      <c r="L61" s="277"/>
      <c r="M61" s="277"/>
      <c r="N61" s="277"/>
      <c r="O61" s="189"/>
      <c r="P61" s="286">
        <f t="shared" ref="P61:AA61" si="82">SUM(P60:P60)</f>
        <v>0</v>
      </c>
      <c r="Q61" s="172">
        <f t="shared" si="82"/>
        <v>0</v>
      </c>
      <c r="R61" s="172">
        <f t="shared" si="82"/>
        <v>0</v>
      </c>
      <c r="S61" s="172">
        <f t="shared" si="82"/>
        <v>0</v>
      </c>
      <c r="T61" s="172">
        <f t="shared" si="82"/>
        <v>0</v>
      </c>
      <c r="U61" s="172">
        <f t="shared" si="82"/>
        <v>0</v>
      </c>
      <c r="V61" s="172">
        <f t="shared" si="82"/>
        <v>0</v>
      </c>
      <c r="W61" s="172">
        <f t="shared" si="82"/>
        <v>0</v>
      </c>
      <c r="X61" s="172">
        <f t="shared" si="82"/>
        <v>0</v>
      </c>
      <c r="Y61" s="172">
        <f t="shared" si="82"/>
        <v>0</v>
      </c>
      <c r="Z61" s="172">
        <f t="shared" si="82"/>
        <v>0</v>
      </c>
      <c r="AA61" s="172">
        <f t="shared" si="82"/>
        <v>0</v>
      </c>
      <c r="AB61" s="173">
        <f>AB60</f>
        <v>0</v>
      </c>
      <c r="AE61" s="286">
        <f t="shared" ref="AE61:AP61" si="83">SUM(AE60:AE60)</f>
        <v>0</v>
      </c>
      <c r="AF61" s="172">
        <f>SUM(AF60:AF60)</f>
        <v>0</v>
      </c>
      <c r="AG61" s="172">
        <f>SUM(AG60:AG60)</f>
        <v>11902</v>
      </c>
      <c r="AH61" s="172">
        <f t="shared" si="83"/>
        <v>0</v>
      </c>
      <c r="AI61" s="172">
        <f t="shared" si="83"/>
        <v>2858.9</v>
      </c>
      <c r="AJ61" s="172">
        <f t="shared" si="83"/>
        <v>0</v>
      </c>
      <c r="AK61" s="172">
        <f t="shared" si="83"/>
        <v>0</v>
      </c>
      <c r="AL61" s="172">
        <f t="shared" si="83"/>
        <v>0</v>
      </c>
      <c r="AM61" s="172">
        <f t="shared" si="83"/>
        <v>75</v>
      </c>
      <c r="AN61" s="172">
        <f t="shared" si="83"/>
        <v>900</v>
      </c>
      <c r="AO61" s="172">
        <f t="shared" si="83"/>
        <v>0</v>
      </c>
      <c r="AP61" s="172">
        <f t="shared" si="83"/>
        <v>0</v>
      </c>
      <c r="AQ61" s="173">
        <f>AQ60</f>
        <v>15735.9</v>
      </c>
      <c r="AU61" s="174">
        <f t="shared" ref="AU61:BF61" si="84">SUM(AU60:AU60)</f>
        <v>0</v>
      </c>
      <c r="AV61" s="172">
        <f t="shared" si="84"/>
        <v>0</v>
      </c>
      <c r="AW61" s="172">
        <f t="shared" si="84"/>
        <v>0</v>
      </c>
      <c r="AX61" s="172">
        <f t="shared" si="84"/>
        <v>0</v>
      </c>
      <c r="AY61" s="172">
        <f t="shared" si="84"/>
        <v>180</v>
      </c>
      <c r="AZ61" s="172">
        <f t="shared" si="84"/>
        <v>0</v>
      </c>
      <c r="BA61" s="172">
        <f t="shared" si="84"/>
        <v>0</v>
      </c>
      <c r="BB61" s="172">
        <f t="shared" si="84"/>
        <v>1232</v>
      </c>
      <c r="BC61" s="172">
        <f t="shared" si="84"/>
        <v>0</v>
      </c>
      <c r="BD61" s="172">
        <f t="shared" si="84"/>
        <v>0</v>
      </c>
      <c r="BE61" s="172">
        <f t="shared" si="84"/>
        <v>0</v>
      </c>
      <c r="BF61" s="172">
        <f t="shared" si="84"/>
        <v>0</v>
      </c>
      <c r="BG61" s="173">
        <f>BG60</f>
        <v>1412</v>
      </c>
      <c r="BH61" s="179"/>
      <c r="BJ61" s="286">
        <f t="shared" ref="BJ61:BU61" si="85">SUM(BJ60:BJ60)</f>
        <v>0</v>
      </c>
      <c r="BK61" s="172">
        <f t="shared" si="85"/>
        <v>0</v>
      </c>
      <c r="BL61" s="172">
        <f t="shared" si="85"/>
        <v>0</v>
      </c>
      <c r="BM61" s="172">
        <f t="shared" si="85"/>
        <v>365</v>
      </c>
      <c r="BN61" s="172">
        <f t="shared" si="85"/>
        <v>0</v>
      </c>
      <c r="BO61" s="172">
        <f t="shared" si="85"/>
        <v>400</v>
      </c>
      <c r="BP61" s="172">
        <f t="shared" si="85"/>
        <v>0</v>
      </c>
      <c r="BQ61" s="172">
        <f t="shared" si="85"/>
        <v>1045</v>
      </c>
      <c r="BR61" s="172">
        <f t="shared" si="85"/>
        <v>0</v>
      </c>
      <c r="BS61" s="177">
        <f t="shared" si="85"/>
        <v>0</v>
      </c>
      <c r="BT61" s="177">
        <f t="shared" si="85"/>
        <v>0</v>
      </c>
      <c r="BU61" s="177">
        <f t="shared" si="85"/>
        <v>0</v>
      </c>
      <c r="BV61" s="173">
        <f>BV60</f>
        <v>1810</v>
      </c>
      <c r="BY61" s="287">
        <f t="shared" ref="BY61:CJ61" si="86">SUM(BY60:BY60)</f>
        <v>0</v>
      </c>
      <c r="BZ61" s="177">
        <f t="shared" si="86"/>
        <v>0</v>
      </c>
      <c r="CA61" s="177">
        <f t="shared" si="86"/>
        <v>0</v>
      </c>
      <c r="CB61" s="177">
        <f t="shared" si="86"/>
        <v>0</v>
      </c>
      <c r="CC61" s="177">
        <f t="shared" si="86"/>
        <v>0</v>
      </c>
      <c r="CD61" s="177">
        <f t="shared" si="86"/>
        <v>0</v>
      </c>
      <c r="CE61" s="177">
        <f t="shared" si="86"/>
        <v>0</v>
      </c>
      <c r="CF61" s="177">
        <f t="shared" si="86"/>
        <v>0</v>
      </c>
      <c r="CG61" s="177">
        <f t="shared" si="86"/>
        <v>0</v>
      </c>
      <c r="CH61" s="177">
        <f t="shared" si="86"/>
        <v>0</v>
      </c>
      <c r="CI61" s="177">
        <f t="shared" si="86"/>
        <v>0</v>
      </c>
      <c r="CJ61" s="177">
        <f t="shared" si="86"/>
        <v>0</v>
      </c>
      <c r="CK61" s="173">
        <f>CK60</f>
        <v>0</v>
      </c>
      <c r="CN61" s="287">
        <f t="shared" ref="CN61:CY61" si="87">SUM(CN60:CN60)</f>
        <v>0</v>
      </c>
      <c r="CO61" s="177">
        <f t="shared" si="87"/>
        <v>0</v>
      </c>
      <c r="CP61" s="177">
        <f t="shared" si="87"/>
        <v>0</v>
      </c>
      <c r="CQ61" s="177">
        <f t="shared" si="87"/>
        <v>0</v>
      </c>
      <c r="CR61" s="177">
        <f t="shared" si="87"/>
        <v>0</v>
      </c>
      <c r="CS61" s="177">
        <f t="shared" si="87"/>
        <v>0</v>
      </c>
      <c r="CT61" s="177">
        <f t="shared" si="87"/>
        <v>0</v>
      </c>
      <c r="CU61" s="177">
        <f t="shared" si="87"/>
        <v>0</v>
      </c>
      <c r="CV61" s="177">
        <f t="shared" si="87"/>
        <v>0</v>
      </c>
      <c r="CW61" s="177">
        <f t="shared" si="87"/>
        <v>0</v>
      </c>
      <c r="CX61" s="177">
        <f t="shared" si="87"/>
        <v>0</v>
      </c>
      <c r="CY61" s="177">
        <f t="shared" si="87"/>
        <v>0</v>
      </c>
      <c r="CZ61" s="173">
        <f>CZ60</f>
        <v>0</v>
      </c>
      <c r="DB61" s="142"/>
      <c r="DC61" s="143"/>
    </row>
    <row r="62" spans="2:107">
      <c r="B62" s="180" t="s">
        <v>31</v>
      </c>
      <c r="C62" s="277"/>
      <c r="D62" s="277"/>
      <c r="E62" s="277"/>
      <c r="F62" s="277"/>
      <c r="G62" s="277"/>
      <c r="H62" s="277"/>
      <c r="I62" s="277"/>
      <c r="J62" s="277"/>
      <c r="K62" s="277"/>
      <c r="L62" s="277"/>
      <c r="M62" s="277"/>
      <c r="N62" s="277"/>
      <c r="O62" s="189"/>
      <c r="P62" s="277"/>
      <c r="Q62" s="277"/>
      <c r="R62" s="277"/>
      <c r="S62" s="277"/>
      <c r="T62" s="277"/>
      <c r="U62" s="277"/>
      <c r="V62" s="277"/>
      <c r="W62" s="277"/>
      <c r="X62" s="277"/>
      <c r="Y62" s="277"/>
      <c r="Z62" s="277"/>
      <c r="AA62" s="277"/>
      <c r="AB62" s="183"/>
      <c r="AE62" s="277"/>
      <c r="AF62" s="277"/>
      <c r="AG62" s="277"/>
      <c r="AH62" s="277"/>
      <c r="AI62" s="277"/>
      <c r="AJ62" s="277"/>
      <c r="AK62" s="277"/>
      <c r="AL62" s="277"/>
      <c r="AM62" s="277"/>
      <c r="AN62" s="277"/>
      <c r="AO62" s="277"/>
      <c r="AP62" s="277"/>
      <c r="AQ62" s="183"/>
      <c r="AU62" s="277"/>
      <c r="AV62" s="277"/>
      <c r="AW62" s="277"/>
      <c r="AX62" s="277"/>
      <c r="AY62" s="277"/>
      <c r="AZ62" s="277"/>
      <c r="BA62" s="277"/>
      <c r="BB62" s="277"/>
      <c r="BC62" s="277"/>
      <c r="BD62" s="277"/>
      <c r="BE62" s="277"/>
      <c r="BF62" s="277"/>
      <c r="BG62" s="183"/>
      <c r="BH62" s="189"/>
      <c r="BJ62" s="277"/>
      <c r="BK62" s="277"/>
      <c r="BL62" s="277"/>
      <c r="BM62" s="277"/>
      <c r="BN62" s="277"/>
      <c r="BO62" s="277"/>
      <c r="BP62" s="277"/>
      <c r="BQ62" s="277"/>
      <c r="BR62" s="277"/>
      <c r="BS62" s="278"/>
      <c r="BT62" s="278"/>
      <c r="BU62" s="278"/>
      <c r="BV62" s="183"/>
      <c r="BY62" s="278"/>
      <c r="BZ62" s="278"/>
      <c r="CA62" s="278"/>
      <c r="CB62" s="278"/>
      <c r="CC62" s="278"/>
      <c r="CD62" s="278"/>
      <c r="CE62" s="278"/>
      <c r="CF62" s="278"/>
      <c r="CG62" s="278"/>
      <c r="CH62" s="278"/>
      <c r="CI62" s="278"/>
      <c r="CJ62" s="278"/>
      <c r="CK62" s="183"/>
      <c r="CN62" s="278"/>
      <c r="CO62" s="278"/>
      <c r="CP62" s="278"/>
      <c r="CQ62" s="278"/>
      <c r="CR62" s="278"/>
      <c r="CS62" s="278"/>
      <c r="CT62" s="278"/>
      <c r="CU62" s="278"/>
      <c r="CV62" s="278"/>
      <c r="CW62" s="278"/>
      <c r="CX62" s="278"/>
      <c r="CY62" s="278"/>
      <c r="CZ62" s="183"/>
      <c r="DB62" s="142"/>
      <c r="DC62" s="143"/>
    </row>
    <row r="63" spans="2:107" ht="15.75">
      <c r="B63" s="288" t="s">
        <v>90</v>
      </c>
      <c r="C63" s="277"/>
      <c r="D63" s="277"/>
      <c r="E63" s="277"/>
      <c r="F63" s="277"/>
      <c r="G63" s="277"/>
      <c r="H63" s="277"/>
      <c r="I63" s="277"/>
      <c r="J63" s="277"/>
      <c r="K63" s="277"/>
      <c r="L63" s="277"/>
      <c r="M63" s="277"/>
      <c r="N63" s="277"/>
      <c r="O63" s="189"/>
      <c r="P63" s="289"/>
      <c r="Q63" s="283"/>
      <c r="R63" s="283"/>
      <c r="S63" s="283"/>
      <c r="T63" s="283"/>
      <c r="U63" s="283"/>
      <c r="V63" s="283"/>
      <c r="W63" s="283"/>
      <c r="X63" s="283"/>
      <c r="Y63" s="283"/>
      <c r="Z63" s="283"/>
      <c r="AA63" s="283"/>
      <c r="AB63" s="290">
        <f>SUM(P63:AA63)</f>
        <v>0</v>
      </c>
      <c r="AE63" s="289"/>
      <c r="AF63" s="283"/>
      <c r="AG63" s="283"/>
      <c r="AH63" s="283"/>
      <c r="AI63" s="283"/>
      <c r="AJ63" s="283"/>
      <c r="AK63" s="283"/>
      <c r="AL63" s="283"/>
      <c r="AM63" s="283"/>
      <c r="AN63" s="283"/>
      <c r="AO63" s="283"/>
      <c r="AP63" s="283"/>
      <c r="AQ63" s="290">
        <f>SUM(AE63:AP63)</f>
        <v>0</v>
      </c>
      <c r="AU63" s="174"/>
      <c r="AV63" s="283"/>
      <c r="AW63" s="283"/>
      <c r="AX63" s="283"/>
      <c r="AY63" s="283"/>
      <c r="AZ63" s="283"/>
      <c r="BA63" s="283"/>
      <c r="BB63" s="283"/>
      <c r="BC63" s="283"/>
      <c r="BD63" s="283"/>
      <c r="BE63" s="283"/>
      <c r="BF63" s="283"/>
      <c r="BG63" s="290">
        <f>SUM(AU63:BF63)</f>
        <v>0</v>
      </c>
      <c r="BH63" s="160"/>
      <c r="BJ63" s="289"/>
      <c r="BK63" s="283"/>
      <c r="BL63" s="283"/>
      <c r="BM63" s="283"/>
      <c r="BN63" s="283"/>
      <c r="BO63" s="283"/>
      <c r="BP63" s="283"/>
      <c r="BQ63" s="283"/>
      <c r="BR63" s="283"/>
      <c r="BS63" s="291"/>
      <c r="BT63" s="291"/>
      <c r="BU63" s="291"/>
      <c r="BV63" s="290">
        <f>SUM(BJ63:BU63)</f>
        <v>0</v>
      </c>
      <c r="BY63" s="292"/>
      <c r="BZ63" s="291"/>
      <c r="CA63" s="291"/>
      <c r="CB63" s="291"/>
      <c r="CC63" s="291"/>
      <c r="CD63" s="291"/>
      <c r="CE63" s="291"/>
      <c r="CF63" s="291"/>
      <c r="CG63" s="291"/>
      <c r="CH63" s="291"/>
      <c r="CI63" s="291"/>
      <c r="CJ63" s="291"/>
      <c r="CK63" s="290">
        <f>SUM(BY63:CJ63)</f>
        <v>0</v>
      </c>
      <c r="CN63" s="292"/>
      <c r="CO63" s="291"/>
      <c r="CP63" s="291"/>
      <c r="CQ63" s="291"/>
      <c r="CR63" s="291"/>
      <c r="CS63" s="291"/>
      <c r="CT63" s="291"/>
      <c r="CU63" s="291"/>
      <c r="CV63" s="291"/>
      <c r="CW63" s="291"/>
      <c r="CX63" s="291"/>
      <c r="CY63" s="291"/>
      <c r="CZ63" s="290">
        <f>SUM(CN63:CY63)</f>
        <v>0</v>
      </c>
      <c r="DB63" s="142"/>
      <c r="DC63" s="143"/>
    </row>
    <row r="64" spans="2:107">
      <c r="C64" s="277"/>
      <c r="D64" s="277"/>
      <c r="E64" s="277"/>
      <c r="F64" s="277"/>
      <c r="G64" s="277"/>
      <c r="H64" s="277"/>
      <c r="I64" s="277"/>
      <c r="J64" s="277"/>
      <c r="K64" s="277"/>
      <c r="L64" s="277"/>
      <c r="M64" s="277"/>
      <c r="N64" s="277"/>
      <c r="O64" s="189"/>
      <c r="P64" s="146"/>
      <c r="Q64" s="146"/>
      <c r="R64" s="146"/>
      <c r="S64" s="146"/>
      <c r="T64" s="146"/>
      <c r="U64" s="146"/>
      <c r="V64" s="146"/>
      <c r="W64" s="146"/>
      <c r="X64" s="146"/>
      <c r="Y64" s="146"/>
      <c r="Z64" s="146"/>
      <c r="AA64" s="146"/>
      <c r="AB64" s="160"/>
      <c r="AE64" s="146"/>
      <c r="AF64" s="146"/>
      <c r="AG64" s="146"/>
      <c r="AH64" s="146"/>
      <c r="AI64" s="146"/>
      <c r="AJ64" s="146"/>
      <c r="AK64" s="146"/>
      <c r="AL64" s="146"/>
      <c r="AM64" s="146"/>
      <c r="AN64" s="146"/>
      <c r="AO64" s="146"/>
      <c r="AP64" s="146"/>
      <c r="AQ64" s="160"/>
      <c r="AU64" s="146"/>
      <c r="AV64" s="146"/>
      <c r="AW64" s="146"/>
      <c r="AX64" s="146"/>
      <c r="AY64" s="146"/>
      <c r="AZ64" s="146"/>
      <c r="BA64" s="146"/>
      <c r="BB64" s="146"/>
      <c r="BC64" s="146"/>
      <c r="BD64" s="146"/>
      <c r="BE64" s="146"/>
      <c r="BF64" s="146"/>
      <c r="BG64" s="160"/>
      <c r="BH64" s="160"/>
      <c r="BJ64" s="146"/>
      <c r="BK64" s="146"/>
      <c r="BL64" s="146"/>
      <c r="BM64" s="146"/>
      <c r="BN64" s="146"/>
      <c r="BO64" s="146"/>
      <c r="BP64" s="146"/>
      <c r="BQ64" s="146"/>
      <c r="BR64" s="146"/>
      <c r="BS64" s="160"/>
      <c r="BT64" s="160"/>
      <c r="BU64" s="160"/>
      <c r="BV64" s="160"/>
      <c r="BY64" s="160"/>
      <c r="BZ64" s="160"/>
      <c r="CA64" s="160"/>
      <c r="CB64" s="160"/>
      <c r="CC64" s="160"/>
      <c r="CD64" s="160"/>
      <c r="CE64" s="160"/>
      <c r="CF64" s="160"/>
      <c r="CG64" s="160"/>
      <c r="CH64" s="160"/>
      <c r="CI64" s="160"/>
      <c r="CJ64" s="160"/>
      <c r="CK64" s="160"/>
      <c r="CN64" s="160"/>
      <c r="CO64" s="160"/>
      <c r="CP64" s="160"/>
      <c r="CQ64" s="160"/>
      <c r="CR64" s="160"/>
      <c r="CS64" s="160"/>
      <c r="CT64" s="160"/>
      <c r="CU64" s="160"/>
      <c r="CV64" s="160"/>
      <c r="CW64" s="160"/>
      <c r="CX64" s="160"/>
      <c r="CY64" s="160"/>
      <c r="CZ64" s="160"/>
      <c r="DB64" s="142"/>
      <c r="DC64" s="143"/>
    </row>
    <row r="65" spans="2:107" ht="15.75">
      <c r="B65" s="171" t="s">
        <v>91</v>
      </c>
      <c r="C65" s="277"/>
      <c r="D65" s="277"/>
      <c r="E65" s="277"/>
      <c r="F65" s="277"/>
      <c r="G65" s="277"/>
      <c r="H65" s="277"/>
      <c r="I65" s="277"/>
      <c r="J65" s="277"/>
      <c r="K65" s="277"/>
      <c r="L65" s="277"/>
      <c r="M65" s="277"/>
      <c r="N65" s="277"/>
      <c r="O65" s="189"/>
      <c r="P65" s="286">
        <f t="shared" ref="P65:AA65" si="88">P63+P61</f>
        <v>0</v>
      </c>
      <c r="Q65" s="172">
        <f t="shared" si="88"/>
        <v>0</v>
      </c>
      <c r="R65" s="172">
        <f t="shared" si="88"/>
        <v>0</v>
      </c>
      <c r="S65" s="172">
        <f t="shared" si="88"/>
        <v>0</v>
      </c>
      <c r="T65" s="172">
        <f t="shared" si="88"/>
        <v>0</v>
      </c>
      <c r="U65" s="172">
        <f t="shared" si="88"/>
        <v>0</v>
      </c>
      <c r="V65" s="172">
        <f t="shared" si="88"/>
        <v>0</v>
      </c>
      <c r="W65" s="172">
        <f t="shared" si="88"/>
        <v>0</v>
      </c>
      <c r="X65" s="172">
        <f t="shared" si="88"/>
        <v>0</v>
      </c>
      <c r="Y65" s="172">
        <f t="shared" si="88"/>
        <v>0</v>
      </c>
      <c r="Z65" s="172">
        <f t="shared" si="88"/>
        <v>0</v>
      </c>
      <c r="AA65" s="172">
        <f t="shared" si="88"/>
        <v>0</v>
      </c>
      <c r="AB65" s="216">
        <f>AB61+AB63</f>
        <v>0</v>
      </c>
      <c r="AE65" s="286">
        <f t="shared" ref="AE65:AP65" si="89">AE63+AE61</f>
        <v>0</v>
      </c>
      <c r="AF65" s="172">
        <f t="shared" si="89"/>
        <v>0</v>
      </c>
      <c r="AG65" s="172">
        <f t="shared" si="89"/>
        <v>11902</v>
      </c>
      <c r="AH65" s="172">
        <f t="shared" si="89"/>
        <v>0</v>
      </c>
      <c r="AI65" s="172">
        <f t="shared" si="89"/>
        <v>2858.9</v>
      </c>
      <c r="AJ65" s="172">
        <f t="shared" si="89"/>
        <v>0</v>
      </c>
      <c r="AK65" s="172">
        <f t="shared" si="89"/>
        <v>0</v>
      </c>
      <c r="AL65" s="172">
        <f t="shared" si="89"/>
        <v>0</v>
      </c>
      <c r="AM65" s="172">
        <f t="shared" si="89"/>
        <v>75</v>
      </c>
      <c r="AN65" s="172">
        <f t="shared" si="89"/>
        <v>900</v>
      </c>
      <c r="AO65" s="172">
        <f t="shared" si="89"/>
        <v>0</v>
      </c>
      <c r="AP65" s="172">
        <f t="shared" si="89"/>
        <v>0</v>
      </c>
      <c r="AQ65" s="216">
        <f>AQ61+AQ63</f>
        <v>15735.9</v>
      </c>
      <c r="AU65" s="174">
        <f t="shared" ref="AU65:BF65" si="90">AU63+AU61</f>
        <v>0</v>
      </c>
      <c r="AV65" s="172">
        <f t="shared" si="90"/>
        <v>0</v>
      </c>
      <c r="AW65" s="172">
        <f t="shared" si="90"/>
        <v>0</v>
      </c>
      <c r="AX65" s="172">
        <f t="shared" si="90"/>
        <v>0</v>
      </c>
      <c r="AY65" s="172">
        <f t="shared" si="90"/>
        <v>180</v>
      </c>
      <c r="AZ65" s="172">
        <f t="shared" si="90"/>
        <v>0</v>
      </c>
      <c r="BA65" s="172">
        <f t="shared" si="90"/>
        <v>0</v>
      </c>
      <c r="BB65" s="172">
        <f t="shared" si="90"/>
        <v>1232</v>
      </c>
      <c r="BC65" s="172">
        <f t="shared" si="90"/>
        <v>0</v>
      </c>
      <c r="BD65" s="172">
        <f t="shared" si="90"/>
        <v>0</v>
      </c>
      <c r="BE65" s="172">
        <f t="shared" si="90"/>
        <v>0</v>
      </c>
      <c r="BF65" s="172">
        <f t="shared" si="90"/>
        <v>0</v>
      </c>
      <c r="BG65" s="216">
        <f>BG61+BG63</f>
        <v>1412</v>
      </c>
      <c r="BH65" s="221"/>
      <c r="BJ65" s="286">
        <f t="shared" ref="BJ65:BU65" si="91">BJ63+BJ61</f>
        <v>0</v>
      </c>
      <c r="BK65" s="172">
        <f t="shared" si="91"/>
        <v>0</v>
      </c>
      <c r="BL65" s="172">
        <f t="shared" si="91"/>
        <v>0</v>
      </c>
      <c r="BM65" s="172">
        <f t="shared" si="91"/>
        <v>365</v>
      </c>
      <c r="BN65" s="172">
        <f t="shared" si="91"/>
        <v>0</v>
      </c>
      <c r="BO65" s="172">
        <f t="shared" si="91"/>
        <v>400</v>
      </c>
      <c r="BP65" s="172">
        <f t="shared" si="91"/>
        <v>0</v>
      </c>
      <c r="BQ65" s="172">
        <f t="shared" si="91"/>
        <v>1045</v>
      </c>
      <c r="BR65" s="172">
        <f t="shared" si="91"/>
        <v>0</v>
      </c>
      <c r="BS65" s="177">
        <f t="shared" si="91"/>
        <v>0</v>
      </c>
      <c r="BT65" s="177">
        <f t="shared" si="91"/>
        <v>0</v>
      </c>
      <c r="BU65" s="177">
        <f t="shared" si="91"/>
        <v>0</v>
      </c>
      <c r="BV65" s="216">
        <f>BV61+BV63</f>
        <v>1810</v>
      </c>
      <c r="BY65" s="287">
        <f t="shared" ref="BY65:CJ65" si="92">BY63+BY61</f>
        <v>0</v>
      </c>
      <c r="BZ65" s="177">
        <f t="shared" si="92"/>
        <v>0</v>
      </c>
      <c r="CA65" s="177">
        <f t="shared" si="92"/>
        <v>0</v>
      </c>
      <c r="CB65" s="177">
        <f t="shared" si="92"/>
        <v>0</v>
      </c>
      <c r="CC65" s="177">
        <f t="shared" si="92"/>
        <v>0</v>
      </c>
      <c r="CD65" s="177">
        <f t="shared" si="92"/>
        <v>0</v>
      </c>
      <c r="CE65" s="177">
        <f t="shared" si="92"/>
        <v>0</v>
      </c>
      <c r="CF65" s="177">
        <f t="shared" si="92"/>
        <v>0</v>
      </c>
      <c r="CG65" s="177">
        <f t="shared" si="92"/>
        <v>0</v>
      </c>
      <c r="CH65" s="177">
        <f t="shared" si="92"/>
        <v>0</v>
      </c>
      <c r="CI65" s="177">
        <f t="shared" si="92"/>
        <v>0</v>
      </c>
      <c r="CJ65" s="177">
        <f t="shared" si="92"/>
        <v>0</v>
      </c>
      <c r="CK65" s="216">
        <f>CK61+CK63</f>
        <v>0</v>
      </c>
      <c r="CN65" s="287">
        <f t="shared" ref="CN65:CY65" si="93">CN63+CN61</f>
        <v>0</v>
      </c>
      <c r="CO65" s="177">
        <f t="shared" si="93"/>
        <v>0</v>
      </c>
      <c r="CP65" s="177">
        <f t="shared" si="93"/>
        <v>0</v>
      </c>
      <c r="CQ65" s="177">
        <f t="shared" si="93"/>
        <v>0</v>
      </c>
      <c r="CR65" s="177">
        <f t="shared" si="93"/>
        <v>0</v>
      </c>
      <c r="CS65" s="177">
        <f t="shared" si="93"/>
        <v>0</v>
      </c>
      <c r="CT65" s="177">
        <f t="shared" si="93"/>
        <v>0</v>
      </c>
      <c r="CU65" s="177">
        <f t="shared" si="93"/>
        <v>0</v>
      </c>
      <c r="CV65" s="177">
        <f t="shared" si="93"/>
        <v>0</v>
      </c>
      <c r="CW65" s="177">
        <f t="shared" si="93"/>
        <v>0</v>
      </c>
      <c r="CX65" s="177">
        <f t="shared" si="93"/>
        <v>0</v>
      </c>
      <c r="CY65" s="177">
        <f t="shared" si="93"/>
        <v>0</v>
      </c>
      <c r="CZ65" s="216">
        <f>CZ61+CZ63</f>
        <v>0</v>
      </c>
      <c r="DB65" s="142"/>
      <c r="DC65" s="143"/>
    </row>
    <row r="66" spans="2:107">
      <c r="B66" s="293"/>
      <c r="C66" s="277"/>
      <c r="D66" s="277"/>
      <c r="E66" s="277"/>
      <c r="F66" s="277"/>
      <c r="G66" s="277"/>
      <c r="H66" s="277"/>
      <c r="I66" s="277"/>
      <c r="J66" s="277"/>
      <c r="K66" s="277"/>
      <c r="L66" s="277"/>
      <c r="M66" s="277"/>
      <c r="N66" s="277"/>
      <c r="O66" s="189"/>
      <c r="P66" s="277"/>
      <c r="Q66" s="277"/>
      <c r="R66" s="277"/>
      <c r="S66" s="277"/>
      <c r="T66" s="277"/>
      <c r="U66" s="277"/>
      <c r="V66" s="277"/>
      <c r="W66" s="277"/>
      <c r="X66" s="277"/>
      <c r="Y66" s="277"/>
      <c r="Z66" s="277"/>
      <c r="AA66" s="277"/>
      <c r="AB66" s="183"/>
      <c r="AE66" s="277"/>
      <c r="AF66" s="277"/>
      <c r="AG66" s="277"/>
      <c r="AH66" s="277"/>
      <c r="AI66" s="277"/>
      <c r="AJ66" s="277"/>
      <c r="AK66" s="277"/>
      <c r="AL66" s="277"/>
      <c r="AM66" s="277"/>
      <c r="AN66" s="277"/>
      <c r="AO66" s="277"/>
      <c r="AP66" s="277"/>
      <c r="AQ66" s="183">
        <f>AQ65-SUM(AE65:AP65)</f>
        <v>0</v>
      </c>
      <c r="AU66" s="277"/>
      <c r="AV66" s="277"/>
      <c r="AW66" s="277"/>
      <c r="AX66" s="277"/>
      <c r="AY66" s="277"/>
      <c r="AZ66" s="277"/>
      <c r="BA66" s="277"/>
      <c r="BB66" s="277"/>
      <c r="BC66" s="277"/>
      <c r="BD66" s="277"/>
      <c r="BE66" s="277"/>
      <c r="BF66" s="277"/>
      <c r="BG66" s="183"/>
      <c r="BH66" s="189"/>
      <c r="BJ66" s="277"/>
      <c r="BK66" s="277"/>
      <c r="BL66" s="277"/>
      <c r="BM66" s="277"/>
      <c r="BN66" s="277"/>
      <c r="BO66" s="277"/>
      <c r="BP66" s="277"/>
      <c r="BQ66" s="277"/>
      <c r="BR66" s="277"/>
      <c r="BS66" s="278"/>
      <c r="BT66" s="278"/>
      <c r="BU66" s="278"/>
      <c r="BV66" s="183"/>
      <c r="BY66" s="278"/>
      <c r="BZ66" s="278"/>
      <c r="CA66" s="278"/>
      <c r="CB66" s="278"/>
      <c r="CC66" s="278"/>
      <c r="CD66" s="278"/>
      <c r="CE66" s="278"/>
      <c r="CF66" s="278"/>
      <c r="CG66" s="278"/>
      <c r="CH66" s="278"/>
      <c r="CI66" s="278"/>
      <c r="CJ66" s="278"/>
      <c r="CK66" s="183"/>
      <c r="CN66" s="278"/>
      <c r="CO66" s="278"/>
      <c r="CP66" s="278"/>
      <c r="CQ66" s="278"/>
      <c r="CR66" s="278"/>
      <c r="CS66" s="278"/>
      <c r="CT66" s="278"/>
      <c r="CU66" s="278"/>
      <c r="CV66" s="278"/>
      <c r="CW66" s="278"/>
      <c r="CX66" s="278"/>
      <c r="CY66" s="278"/>
      <c r="CZ66" s="183"/>
      <c r="DB66" s="142"/>
      <c r="DC66" s="143"/>
    </row>
    <row r="67" spans="2:107">
      <c r="B67" s="264" t="s">
        <v>92</v>
      </c>
      <c r="C67" s="277"/>
      <c r="D67" s="277"/>
      <c r="E67" s="277"/>
      <c r="F67" s="277"/>
      <c r="G67" s="277"/>
      <c r="H67" s="277"/>
      <c r="I67" s="277"/>
      <c r="J67" s="277"/>
      <c r="K67" s="277"/>
      <c r="L67" s="277"/>
      <c r="M67" s="277"/>
      <c r="N67" s="277"/>
      <c r="O67" s="189"/>
      <c r="P67" s="165"/>
      <c r="Q67" s="165"/>
      <c r="R67" s="165"/>
      <c r="S67" s="165"/>
      <c r="T67" s="165"/>
      <c r="U67" s="165"/>
      <c r="V67" s="165"/>
      <c r="W67" s="165"/>
      <c r="X67" s="165"/>
      <c r="Y67" s="165"/>
      <c r="Z67" s="165"/>
      <c r="AA67" s="165"/>
      <c r="AB67" s="168"/>
      <c r="AE67" s="165"/>
      <c r="AF67" s="165"/>
      <c r="AG67" s="165"/>
      <c r="AH67" s="165"/>
      <c r="AI67" s="165"/>
      <c r="AJ67" s="165"/>
      <c r="AK67" s="165"/>
      <c r="AL67" s="165"/>
      <c r="AM67" s="165"/>
      <c r="AN67" s="165"/>
      <c r="AO67" s="165"/>
      <c r="AP67" s="165"/>
      <c r="AQ67" s="168"/>
      <c r="AU67" s="165"/>
      <c r="AV67" s="165"/>
      <c r="AW67" s="165"/>
      <c r="AX67" s="165"/>
      <c r="AY67" s="165"/>
      <c r="AZ67" s="165"/>
      <c r="BA67" s="165"/>
      <c r="BB67" s="165"/>
      <c r="BC67" s="165"/>
      <c r="BD67" s="165"/>
      <c r="BE67" s="165"/>
      <c r="BF67" s="165"/>
      <c r="BG67" s="168"/>
      <c r="BH67" s="160"/>
      <c r="BJ67" s="165"/>
      <c r="BK67" s="165"/>
      <c r="BL67" s="165"/>
      <c r="BM67" s="165"/>
      <c r="BN67" s="165"/>
      <c r="BO67" s="165"/>
      <c r="BP67" s="165"/>
      <c r="BQ67" s="165"/>
      <c r="BR67" s="165"/>
      <c r="BS67" s="168"/>
      <c r="BT67" s="168"/>
      <c r="BU67" s="168"/>
      <c r="BV67" s="168"/>
      <c r="BY67" s="168"/>
      <c r="BZ67" s="168"/>
      <c r="CA67" s="168"/>
      <c r="CB67" s="168"/>
      <c r="CC67" s="168"/>
      <c r="CD67" s="168"/>
      <c r="CE67" s="168"/>
      <c r="CF67" s="168"/>
      <c r="CG67" s="168"/>
      <c r="CH67" s="168"/>
      <c r="CI67" s="168"/>
      <c r="CJ67" s="168"/>
      <c r="CK67" s="168"/>
      <c r="CN67" s="168"/>
      <c r="CO67" s="168"/>
      <c r="CP67" s="168"/>
      <c r="CQ67" s="168"/>
      <c r="CR67" s="168"/>
      <c r="CS67" s="168"/>
      <c r="CT67" s="168"/>
      <c r="CU67" s="168"/>
      <c r="CV67" s="168"/>
      <c r="CW67" s="168"/>
      <c r="CX67" s="168"/>
      <c r="CY67" s="168"/>
      <c r="CZ67" s="168"/>
      <c r="DB67" s="142"/>
      <c r="DC67" s="143"/>
    </row>
    <row r="68" spans="2:107">
      <c r="B68" s="242" t="s">
        <v>79</v>
      </c>
      <c r="C68" s="277"/>
      <c r="D68" s="277"/>
      <c r="E68" s="277"/>
      <c r="F68" s="277"/>
      <c r="G68" s="277"/>
      <c r="H68" s="277"/>
      <c r="I68" s="277"/>
      <c r="J68" s="277"/>
      <c r="K68" s="277"/>
      <c r="L68" s="277"/>
      <c r="M68" s="277"/>
      <c r="N68" s="277"/>
      <c r="O68" s="189"/>
      <c r="P68" s="294"/>
      <c r="Q68" s="147"/>
      <c r="R68" s="147"/>
      <c r="S68" s="147"/>
      <c r="T68" s="147"/>
      <c r="U68" s="147"/>
      <c r="V68" s="147"/>
      <c r="W68" s="147"/>
      <c r="X68" s="147"/>
      <c r="Y68" s="147"/>
      <c r="Z68" s="146"/>
      <c r="AA68" s="146"/>
      <c r="AB68" s="148">
        <f t="shared" ref="AB68:AB71" si="94">SUM(P68:AA68)</f>
        <v>0</v>
      </c>
      <c r="AE68" s="295"/>
      <c r="AF68" s="147"/>
      <c r="AG68" s="147"/>
      <c r="AH68" s="144">
        <f>49.5+0.7</f>
        <v>50.2</v>
      </c>
      <c r="AI68" s="140"/>
      <c r="AJ68" s="147"/>
      <c r="AK68" s="147"/>
      <c r="AL68" s="147"/>
      <c r="AM68" s="144">
        <f>15*1.1</f>
        <v>16.5</v>
      </c>
      <c r="AN68" s="147"/>
      <c r="AO68" s="146"/>
      <c r="AP68" s="146"/>
      <c r="AQ68" s="148">
        <f t="shared" ref="AQ68:AQ71" si="95">SUM(AE68:AP68)</f>
        <v>66.7</v>
      </c>
      <c r="AU68" s="294"/>
      <c r="AV68" s="147"/>
      <c r="AW68" s="147"/>
      <c r="AX68" s="147"/>
      <c r="AY68" s="144">
        <v>57.2</v>
      </c>
      <c r="AZ68" s="147"/>
      <c r="BA68" s="147"/>
      <c r="BB68" s="147"/>
      <c r="BC68" s="147"/>
      <c r="BD68" s="147"/>
      <c r="BE68" s="146"/>
      <c r="BF68" s="203">
        <f>72.6+22</f>
        <v>94.6</v>
      </c>
      <c r="BG68" s="148">
        <f t="shared" ref="BG68:BG72" si="96">SUM(AU68:BF68)</f>
        <v>151.80000000000001</v>
      </c>
      <c r="BH68" s="160"/>
      <c r="BJ68" s="294"/>
      <c r="BK68" s="147"/>
      <c r="BL68" s="147"/>
      <c r="BM68" s="147"/>
      <c r="BN68" s="147"/>
      <c r="BO68" s="147"/>
      <c r="BP68" s="147"/>
      <c r="BQ68" s="147"/>
      <c r="BR68" s="147"/>
      <c r="BS68" s="169"/>
      <c r="BT68" s="160"/>
      <c r="BU68" s="160"/>
      <c r="BV68" s="148">
        <f t="shared" ref="BV68:BV72" si="97">SUM(BJ68:BU68)</f>
        <v>0</v>
      </c>
      <c r="BY68" s="296"/>
      <c r="BZ68" s="169"/>
      <c r="CA68" s="169"/>
      <c r="CB68" s="169"/>
      <c r="CC68" s="169"/>
      <c r="CD68" s="169"/>
      <c r="CE68" s="169"/>
      <c r="CF68" s="169"/>
      <c r="CG68" s="169"/>
      <c r="CH68" s="169"/>
      <c r="CI68" s="160"/>
      <c r="CJ68" s="160"/>
      <c r="CK68" s="148">
        <f t="shared" ref="CK68:CK72" si="98">SUM(BY68:CJ68)</f>
        <v>0</v>
      </c>
      <c r="CN68" s="296"/>
      <c r="CO68" s="169"/>
      <c r="CP68" s="169"/>
      <c r="CQ68" s="169"/>
      <c r="CR68" s="169"/>
      <c r="CS68" s="169"/>
      <c r="CT68" s="169"/>
      <c r="CU68" s="169"/>
      <c r="CV68" s="169"/>
      <c r="CW68" s="169"/>
      <c r="CX68" s="160"/>
      <c r="CY68" s="160"/>
      <c r="CZ68" s="148">
        <f t="shared" ref="CZ68:CZ72" si="99">SUM(CN68:CY68)</f>
        <v>0</v>
      </c>
      <c r="DB68" s="142"/>
      <c r="DC68" s="143"/>
    </row>
    <row r="69" spans="2:107">
      <c r="B69" s="242" t="s">
        <v>80</v>
      </c>
      <c r="C69" s="277"/>
      <c r="D69" s="277"/>
      <c r="E69" s="277"/>
      <c r="F69" s="277"/>
      <c r="G69" s="277"/>
      <c r="H69" s="277"/>
      <c r="I69" s="277"/>
      <c r="J69" s="277"/>
      <c r="K69" s="277"/>
      <c r="L69" s="277"/>
      <c r="M69" s="277"/>
      <c r="N69" s="277"/>
      <c r="O69" s="189"/>
      <c r="P69" s="246"/>
      <c r="Q69" s="146"/>
      <c r="R69" s="147"/>
      <c r="S69" s="147"/>
      <c r="T69" s="147"/>
      <c r="U69" s="147"/>
      <c r="V69" s="147"/>
      <c r="W69" s="146"/>
      <c r="X69" s="146"/>
      <c r="Y69" s="146"/>
      <c r="Z69" s="146"/>
      <c r="AA69" s="146"/>
      <c r="AB69" s="148">
        <f t="shared" si="94"/>
        <v>0</v>
      </c>
      <c r="AE69" s="297"/>
      <c r="AF69" s="146"/>
      <c r="AG69" s="147"/>
      <c r="AH69" s="147"/>
      <c r="AI69" s="147"/>
      <c r="AJ69" s="147"/>
      <c r="AK69" s="147"/>
      <c r="AL69" s="146"/>
      <c r="AM69" s="146"/>
      <c r="AN69" s="146"/>
      <c r="AO69" s="146"/>
      <c r="AP69" s="146"/>
      <c r="AQ69" s="148">
        <f t="shared" si="95"/>
        <v>0</v>
      </c>
      <c r="AU69" s="246"/>
      <c r="AV69" s="146"/>
      <c r="AW69" s="147"/>
      <c r="AX69" s="147"/>
      <c r="AY69" s="147"/>
      <c r="AZ69" s="147"/>
      <c r="BA69" s="147"/>
      <c r="BB69" s="146"/>
      <c r="BC69" s="146"/>
      <c r="BD69" s="146"/>
      <c r="BE69" s="146"/>
      <c r="BF69" s="146"/>
      <c r="BG69" s="148">
        <f t="shared" si="96"/>
        <v>0</v>
      </c>
      <c r="BH69" s="160"/>
      <c r="BJ69" s="246"/>
      <c r="BK69" s="146"/>
      <c r="BL69" s="147"/>
      <c r="BM69" s="147"/>
      <c r="BN69" s="147"/>
      <c r="BO69" s="147"/>
      <c r="BP69" s="147"/>
      <c r="BQ69" s="146"/>
      <c r="BR69" s="146"/>
      <c r="BS69" s="160"/>
      <c r="BT69" s="160"/>
      <c r="BU69" s="160"/>
      <c r="BV69" s="148">
        <f t="shared" si="97"/>
        <v>0</v>
      </c>
      <c r="BY69" s="226"/>
      <c r="BZ69" s="160"/>
      <c r="CA69" s="169"/>
      <c r="CB69" s="169"/>
      <c r="CC69" s="169"/>
      <c r="CD69" s="169"/>
      <c r="CE69" s="169"/>
      <c r="CF69" s="160"/>
      <c r="CG69" s="160"/>
      <c r="CH69" s="160"/>
      <c r="CI69" s="160"/>
      <c r="CJ69" s="160"/>
      <c r="CK69" s="148">
        <f t="shared" si="98"/>
        <v>0</v>
      </c>
      <c r="CN69" s="226"/>
      <c r="CO69" s="160"/>
      <c r="CP69" s="169"/>
      <c r="CQ69" s="169"/>
      <c r="CR69" s="169"/>
      <c r="CS69" s="169"/>
      <c r="CT69" s="169"/>
      <c r="CU69" s="160"/>
      <c r="CV69" s="160"/>
      <c r="CW69" s="160"/>
      <c r="CX69" s="160"/>
      <c r="CY69" s="160"/>
      <c r="CZ69" s="148">
        <f t="shared" si="99"/>
        <v>0</v>
      </c>
      <c r="DB69" s="142"/>
      <c r="DC69" s="143"/>
    </row>
    <row r="70" spans="2:107">
      <c r="B70" s="143" t="s">
        <v>60</v>
      </c>
      <c r="C70" s="277"/>
      <c r="D70" s="277"/>
      <c r="E70" s="277"/>
      <c r="F70" s="277"/>
      <c r="G70" s="277"/>
      <c r="H70" s="277"/>
      <c r="I70" s="277"/>
      <c r="J70" s="277"/>
      <c r="K70" s="277"/>
      <c r="L70" s="277"/>
      <c r="M70" s="277"/>
      <c r="N70" s="277"/>
      <c r="O70" s="189"/>
      <c r="P70" s="246"/>
      <c r="Q70" s="144"/>
      <c r="R70" s="146"/>
      <c r="S70" s="146"/>
      <c r="T70" s="146"/>
      <c r="U70" s="146"/>
      <c r="V70" s="146"/>
      <c r="W70" s="146"/>
      <c r="X70" s="146"/>
      <c r="Y70" s="146"/>
      <c r="Z70" s="146"/>
      <c r="AA70" s="146"/>
      <c r="AB70" s="148">
        <f t="shared" si="94"/>
        <v>0</v>
      </c>
      <c r="AE70" s="297"/>
      <c r="AF70" s="144"/>
      <c r="AG70" s="146"/>
      <c r="AH70" s="146"/>
      <c r="AI70" s="146"/>
      <c r="AJ70" s="146"/>
      <c r="AK70" s="146"/>
      <c r="AL70" s="146"/>
      <c r="AM70" s="146"/>
      <c r="AN70" s="146"/>
      <c r="AO70" s="146"/>
      <c r="AP70" s="146"/>
      <c r="AQ70" s="148">
        <f t="shared" si="95"/>
        <v>0</v>
      </c>
      <c r="AU70" s="246"/>
      <c r="AV70" s="144"/>
      <c r="AW70" s="146"/>
      <c r="AX70" s="146"/>
      <c r="AY70" s="146"/>
      <c r="AZ70" s="146"/>
      <c r="BA70" s="146"/>
      <c r="BB70" s="146"/>
      <c r="BC70" s="146"/>
      <c r="BD70" s="146"/>
      <c r="BE70" s="146"/>
      <c r="BF70" s="146"/>
      <c r="BG70" s="148">
        <f t="shared" si="96"/>
        <v>0</v>
      </c>
      <c r="BH70" s="160"/>
      <c r="BJ70" s="246"/>
      <c r="BK70" s="144"/>
      <c r="BL70" s="146"/>
      <c r="BM70" s="146"/>
      <c r="BN70" s="146"/>
      <c r="BO70" s="146"/>
      <c r="BP70" s="146"/>
      <c r="BQ70" s="146"/>
      <c r="BR70" s="146"/>
      <c r="BS70" s="160"/>
      <c r="BT70" s="160"/>
      <c r="BU70" s="160"/>
      <c r="BV70" s="148">
        <f t="shared" si="97"/>
        <v>0</v>
      </c>
      <c r="BY70" s="226"/>
      <c r="BZ70" s="214"/>
      <c r="CA70" s="160"/>
      <c r="CB70" s="160"/>
      <c r="CC70" s="160"/>
      <c r="CD70" s="160"/>
      <c r="CE70" s="160"/>
      <c r="CF70" s="160"/>
      <c r="CG70" s="160"/>
      <c r="CH70" s="160"/>
      <c r="CI70" s="160"/>
      <c r="CJ70" s="160"/>
      <c r="CK70" s="148">
        <f t="shared" si="98"/>
        <v>0</v>
      </c>
      <c r="CN70" s="226"/>
      <c r="CO70" s="214"/>
      <c r="CP70" s="160"/>
      <c r="CQ70" s="160"/>
      <c r="CR70" s="160"/>
      <c r="CS70" s="160"/>
      <c r="CT70" s="160"/>
      <c r="CU70" s="160"/>
      <c r="CV70" s="160"/>
      <c r="CW70" s="160"/>
      <c r="CX70" s="160"/>
      <c r="CY70" s="160"/>
      <c r="CZ70" s="148">
        <f t="shared" si="99"/>
        <v>0</v>
      </c>
      <c r="DB70" s="142"/>
      <c r="DC70" s="143"/>
    </row>
    <row r="71" spans="2:107">
      <c r="B71" s="265" t="s">
        <v>85</v>
      </c>
      <c r="C71" s="277"/>
      <c r="D71" s="277"/>
      <c r="E71" s="277"/>
      <c r="F71" s="277"/>
      <c r="G71" s="277"/>
      <c r="H71" s="277"/>
      <c r="I71" s="277"/>
      <c r="J71" s="277"/>
      <c r="K71" s="277"/>
      <c r="L71" s="277"/>
      <c r="M71" s="277"/>
      <c r="N71" s="277"/>
      <c r="O71" s="189"/>
      <c r="P71" s="250"/>
      <c r="Q71" s="146"/>
      <c r="R71" s="146"/>
      <c r="S71" s="146"/>
      <c r="T71" s="146"/>
      <c r="U71" s="146"/>
      <c r="V71" s="146"/>
      <c r="W71" s="146"/>
      <c r="X71" s="146"/>
      <c r="Y71" s="146"/>
      <c r="Z71" s="146"/>
      <c r="AA71" s="146"/>
      <c r="AB71" s="148">
        <f t="shared" si="94"/>
        <v>0</v>
      </c>
      <c r="AE71" s="297"/>
      <c r="AF71" s="146"/>
      <c r="AG71" s="146"/>
      <c r="AH71" s="146"/>
      <c r="AI71" s="146"/>
      <c r="AJ71" s="146"/>
      <c r="AK71" s="146"/>
      <c r="AL71" s="146"/>
      <c r="AM71" s="146"/>
      <c r="AN71" s="146"/>
      <c r="AO71" s="146"/>
      <c r="AP71" s="146"/>
      <c r="AQ71" s="148">
        <f t="shared" si="95"/>
        <v>0</v>
      </c>
      <c r="AU71" s="246"/>
      <c r="AV71" s="146"/>
      <c r="AW71" s="146"/>
      <c r="AX71" s="146"/>
      <c r="AY71" s="146"/>
      <c r="AZ71" s="146"/>
      <c r="BA71" s="146"/>
      <c r="BB71" s="146"/>
      <c r="BC71" s="146"/>
      <c r="BD71" s="146"/>
      <c r="BE71" s="146"/>
      <c r="BF71" s="146"/>
      <c r="BG71" s="148">
        <f t="shared" si="96"/>
        <v>0</v>
      </c>
      <c r="BH71" s="160"/>
      <c r="BJ71" s="246"/>
      <c r="BK71" s="146"/>
      <c r="BL71" s="146"/>
      <c r="BM71" s="146"/>
      <c r="BN71" s="146"/>
      <c r="BO71" s="146"/>
      <c r="BP71" s="146"/>
      <c r="BQ71" s="146"/>
      <c r="BR71" s="146"/>
      <c r="BS71" s="160"/>
      <c r="BT71" s="160"/>
      <c r="BU71" s="160"/>
      <c r="BV71" s="148">
        <f t="shared" si="97"/>
        <v>0</v>
      </c>
      <c r="BY71" s="226"/>
      <c r="BZ71" s="160"/>
      <c r="CA71" s="160"/>
      <c r="CB71" s="160"/>
      <c r="CC71" s="160"/>
      <c r="CD71" s="160"/>
      <c r="CE71" s="160"/>
      <c r="CF71" s="160"/>
      <c r="CG71" s="160"/>
      <c r="CH71" s="160"/>
      <c r="CI71" s="160"/>
      <c r="CJ71" s="160"/>
      <c r="CK71" s="148">
        <f t="shared" si="98"/>
        <v>0</v>
      </c>
      <c r="CN71" s="226"/>
      <c r="CO71" s="160"/>
      <c r="CP71" s="160"/>
      <c r="CQ71" s="160"/>
      <c r="CR71" s="160"/>
      <c r="CS71" s="160"/>
      <c r="CT71" s="160"/>
      <c r="CU71" s="160"/>
      <c r="CV71" s="160"/>
      <c r="CW71" s="160"/>
      <c r="CX71" s="160"/>
      <c r="CY71" s="160"/>
      <c r="CZ71" s="148">
        <f t="shared" si="99"/>
        <v>0</v>
      </c>
      <c r="DB71" s="142"/>
      <c r="DC71" s="143"/>
    </row>
    <row r="72" spans="2:107">
      <c r="B72" s="265" t="s">
        <v>93</v>
      </c>
      <c r="C72" s="277"/>
      <c r="D72" s="277"/>
      <c r="E72" s="277"/>
      <c r="F72" s="277"/>
      <c r="G72" s="277"/>
      <c r="H72" s="277"/>
      <c r="I72" s="277"/>
      <c r="J72" s="277"/>
      <c r="K72" s="277"/>
      <c r="L72" s="277"/>
      <c r="M72" s="277"/>
      <c r="N72" s="277"/>
      <c r="O72" s="189"/>
      <c r="P72" s="250"/>
      <c r="Q72" s="146"/>
      <c r="R72" s="146"/>
      <c r="S72" s="146"/>
      <c r="T72" s="146"/>
      <c r="U72" s="146"/>
      <c r="V72" s="146"/>
      <c r="W72" s="146"/>
      <c r="X72" s="146"/>
      <c r="Y72" s="146"/>
      <c r="Z72" s="146"/>
      <c r="AA72" s="146"/>
      <c r="AB72" s="159"/>
      <c r="AE72" s="162"/>
      <c r="AF72" s="146"/>
      <c r="AG72" s="203">
        <v>363.84</v>
      </c>
      <c r="AH72" s="146"/>
      <c r="AI72" s="146"/>
      <c r="AJ72" s="146"/>
      <c r="AK72" s="146"/>
      <c r="AL72" s="146"/>
      <c r="AM72" s="146"/>
      <c r="AN72" s="146"/>
      <c r="AO72" s="146"/>
      <c r="AP72" s="147"/>
      <c r="AQ72" s="148">
        <f>SUM(AE72:AP72)</f>
        <v>363.84</v>
      </c>
      <c r="AU72" s="250"/>
      <c r="AV72" s="146"/>
      <c r="AW72" s="146"/>
      <c r="AX72" s="146"/>
      <c r="AY72" s="146"/>
      <c r="AZ72" s="146"/>
      <c r="BA72" s="146"/>
      <c r="BB72" s="146"/>
      <c r="BC72" s="146"/>
      <c r="BD72" s="227">
        <v>120</v>
      </c>
      <c r="BE72" s="146"/>
      <c r="BF72" s="146"/>
      <c r="BG72" s="148">
        <f t="shared" si="96"/>
        <v>120</v>
      </c>
      <c r="BH72" s="160"/>
      <c r="BJ72" s="250"/>
      <c r="BK72" s="146"/>
      <c r="BL72" s="146"/>
      <c r="BM72" s="146"/>
      <c r="BN72" s="146"/>
      <c r="BO72" s="146"/>
      <c r="BP72" s="146"/>
      <c r="BQ72" s="146"/>
      <c r="BR72" s="146"/>
      <c r="BS72" s="160"/>
      <c r="BT72" s="160"/>
      <c r="BU72" s="169"/>
      <c r="BV72" s="148">
        <f t="shared" si="97"/>
        <v>0</v>
      </c>
      <c r="BY72" s="252"/>
      <c r="BZ72" s="160"/>
      <c r="CA72" s="160"/>
      <c r="CB72" s="160"/>
      <c r="CC72" s="160"/>
      <c r="CD72" s="160"/>
      <c r="CE72" s="160"/>
      <c r="CF72" s="160"/>
      <c r="CG72" s="160"/>
      <c r="CH72" s="160"/>
      <c r="CI72" s="160"/>
      <c r="CJ72" s="160"/>
      <c r="CK72" s="148">
        <f t="shared" si="98"/>
        <v>0</v>
      </c>
      <c r="CN72" s="252"/>
      <c r="CO72" s="160"/>
      <c r="CP72" s="160"/>
      <c r="CQ72" s="160"/>
      <c r="CR72" s="160"/>
      <c r="CS72" s="160"/>
      <c r="CT72" s="160"/>
      <c r="CU72" s="160"/>
      <c r="CV72" s="160"/>
      <c r="CW72" s="160"/>
      <c r="CX72" s="160"/>
      <c r="CY72" s="160"/>
      <c r="CZ72" s="148">
        <f t="shared" si="99"/>
        <v>0</v>
      </c>
      <c r="DB72" s="142"/>
      <c r="DC72" s="143"/>
    </row>
    <row r="73" spans="2:107" ht="15.75">
      <c r="B73" s="273" t="s">
        <v>94</v>
      </c>
      <c r="C73" s="277"/>
      <c r="D73" s="277"/>
      <c r="E73" s="277"/>
      <c r="F73" s="277"/>
      <c r="G73" s="277"/>
      <c r="H73" s="277"/>
      <c r="I73" s="277"/>
      <c r="J73" s="277"/>
      <c r="K73" s="277"/>
      <c r="L73" s="277"/>
      <c r="M73" s="277"/>
      <c r="N73" s="277"/>
      <c r="O73" s="189"/>
      <c r="P73" s="174">
        <f t="shared" ref="P73:AB73" si="100">SUM(P68:P71)</f>
        <v>0</v>
      </c>
      <c r="Q73" s="232">
        <f t="shared" si="100"/>
        <v>0</v>
      </c>
      <c r="R73" s="232">
        <f t="shared" si="100"/>
        <v>0</v>
      </c>
      <c r="S73" s="232">
        <f t="shared" si="100"/>
        <v>0</v>
      </c>
      <c r="T73" s="232">
        <f t="shared" si="100"/>
        <v>0</v>
      </c>
      <c r="U73" s="232">
        <f t="shared" si="100"/>
        <v>0</v>
      </c>
      <c r="V73" s="232">
        <f t="shared" si="100"/>
        <v>0</v>
      </c>
      <c r="W73" s="232">
        <f t="shared" si="100"/>
        <v>0</v>
      </c>
      <c r="X73" s="232">
        <f t="shared" si="100"/>
        <v>0</v>
      </c>
      <c r="Y73" s="232">
        <f t="shared" si="100"/>
        <v>0</v>
      </c>
      <c r="Z73" s="232">
        <f t="shared" si="100"/>
        <v>0</v>
      </c>
      <c r="AA73" s="232">
        <f t="shared" si="100"/>
        <v>0</v>
      </c>
      <c r="AB73" s="298">
        <f t="shared" si="100"/>
        <v>0</v>
      </c>
      <c r="AE73" s="174">
        <f>SUM(AE68:AE71)</f>
        <v>0</v>
      </c>
      <c r="AF73" s="232">
        <f t="shared" ref="AF73" si="101">SUM(AF68:AF71)</f>
        <v>0</v>
      </c>
      <c r="AG73" s="232">
        <f t="shared" ref="AG73:AQ73" si="102">SUM(AG68:AG72)</f>
        <v>363.84</v>
      </c>
      <c r="AH73" s="232">
        <f>SUM(AH68:AH72)</f>
        <v>50.2</v>
      </c>
      <c r="AI73" s="232">
        <f t="shared" si="102"/>
        <v>0</v>
      </c>
      <c r="AJ73" s="232">
        <f t="shared" si="102"/>
        <v>0</v>
      </c>
      <c r="AK73" s="232">
        <f t="shared" si="102"/>
        <v>0</v>
      </c>
      <c r="AL73" s="232">
        <f t="shared" si="102"/>
        <v>0</v>
      </c>
      <c r="AM73" s="232">
        <f t="shared" si="102"/>
        <v>16.5</v>
      </c>
      <c r="AN73" s="232">
        <f t="shared" si="102"/>
        <v>0</v>
      </c>
      <c r="AO73" s="232">
        <f t="shared" si="102"/>
        <v>0</v>
      </c>
      <c r="AP73" s="232">
        <f t="shared" si="102"/>
        <v>0</v>
      </c>
      <c r="AQ73" s="298">
        <f t="shared" si="102"/>
        <v>430.53999999999996</v>
      </c>
      <c r="AU73" s="174">
        <f t="shared" ref="AU73:BC73" si="103">SUM(AU68:AU71)</f>
        <v>0</v>
      </c>
      <c r="AV73" s="232">
        <f t="shared" si="103"/>
        <v>0</v>
      </c>
      <c r="AW73" s="232">
        <f t="shared" si="103"/>
        <v>0</v>
      </c>
      <c r="AX73" s="232">
        <f t="shared" si="103"/>
        <v>0</v>
      </c>
      <c r="AY73" s="232">
        <f t="shared" si="103"/>
        <v>57.2</v>
      </c>
      <c r="AZ73" s="232">
        <f t="shared" si="103"/>
        <v>0</v>
      </c>
      <c r="BA73" s="232">
        <f t="shared" si="103"/>
        <v>0</v>
      </c>
      <c r="BB73" s="232">
        <f t="shared" si="103"/>
        <v>0</v>
      </c>
      <c r="BC73" s="232">
        <f t="shared" si="103"/>
        <v>0</v>
      </c>
      <c r="BD73" s="232">
        <f>SUM(BD68:BD72)</f>
        <v>120</v>
      </c>
      <c r="BE73" s="232">
        <f>SUM(BE68:BE72)</f>
        <v>0</v>
      </c>
      <c r="BF73" s="232">
        <f>SUM(BF68:BF72)</f>
        <v>94.6</v>
      </c>
      <c r="BG73" s="298">
        <f>SUM(BG68:BG72)</f>
        <v>271.8</v>
      </c>
      <c r="BH73" s="299"/>
      <c r="BJ73" s="174">
        <f>SUM(BJ68:BJ72)</f>
        <v>0</v>
      </c>
      <c r="BK73" s="232">
        <f>SUM(BK68:BK72)</f>
        <v>0</v>
      </c>
      <c r="BL73" s="232">
        <f t="shared" ref="BL73:BU73" si="104">SUM(BL68:BL72)</f>
        <v>0</v>
      </c>
      <c r="BM73" s="232">
        <f t="shared" si="104"/>
        <v>0</v>
      </c>
      <c r="BN73" s="232">
        <f t="shared" si="104"/>
        <v>0</v>
      </c>
      <c r="BO73" s="232">
        <f t="shared" si="104"/>
        <v>0</v>
      </c>
      <c r="BP73" s="232">
        <f t="shared" si="104"/>
        <v>0</v>
      </c>
      <c r="BQ73" s="232">
        <f t="shared" si="104"/>
        <v>0</v>
      </c>
      <c r="BR73" s="232">
        <f t="shared" si="104"/>
        <v>0</v>
      </c>
      <c r="BS73" s="233">
        <f t="shared" si="104"/>
        <v>0</v>
      </c>
      <c r="BT73" s="233">
        <f t="shared" si="104"/>
        <v>0</v>
      </c>
      <c r="BU73" s="233">
        <f t="shared" si="104"/>
        <v>0</v>
      </c>
      <c r="BV73" s="298">
        <f>SUM(BV68:BV72)</f>
        <v>0</v>
      </c>
      <c r="BY73" s="178">
        <f>SUM(BY68:BY72)</f>
        <v>0</v>
      </c>
      <c r="BZ73" s="233">
        <f>SUM(BZ68:BZ72)</f>
        <v>0</v>
      </c>
      <c r="CA73" s="233">
        <f t="shared" ref="CA73:CJ73" si="105">SUM(CA68:CA72)</f>
        <v>0</v>
      </c>
      <c r="CB73" s="233">
        <f t="shared" si="105"/>
        <v>0</v>
      </c>
      <c r="CC73" s="233">
        <f t="shared" si="105"/>
        <v>0</v>
      </c>
      <c r="CD73" s="233">
        <f t="shared" si="105"/>
        <v>0</v>
      </c>
      <c r="CE73" s="233">
        <f t="shared" si="105"/>
        <v>0</v>
      </c>
      <c r="CF73" s="233">
        <f t="shared" si="105"/>
        <v>0</v>
      </c>
      <c r="CG73" s="233">
        <f t="shared" si="105"/>
        <v>0</v>
      </c>
      <c r="CH73" s="233">
        <f t="shared" si="105"/>
        <v>0</v>
      </c>
      <c r="CI73" s="233">
        <f t="shared" si="105"/>
        <v>0</v>
      </c>
      <c r="CJ73" s="233">
        <f t="shared" si="105"/>
        <v>0</v>
      </c>
      <c r="CK73" s="298">
        <f>SUM(CK68:CK72)</f>
        <v>0</v>
      </c>
      <c r="CN73" s="178">
        <f>SUM(CN68:CN72)</f>
        <v>0</v>
      </c>
      <c r="CO73" s="233">
        <f>SUM(CO68:CO72)</f>
        <v>0</v>
      </c>
      <c r="CP73" s="233">
        <f t="shared" ref="CP73:CY73" si="106">SUM(CP68:CP72)</f>
        <v>0</v>
      </c>
      <c r="CQ73" s="233">
        <f t="shared" si="106"/>
        <v>0</v>
      </c>
      <c r="CR73" s="233">
        <f t="shared" si="106"/>
        <v>0</v>
      </c>
      <c r="CS73" s="233">
        <f t="shared" si="106"/>
        <v>0</v>
      </c>
      <c r="CT73" s="233">
        <f t="shared" si="106"/>
        <v>0</v>
      </c>
      <c r="CU73" s="233">
        <f t="shared" si="106"/>
        <v>0</v>
      </c>
      <c r="CV73" s="233">
        <f t="shared" si="106"/>
        <v>0</v>
      </c>
      <c r="CW73" s="233">
        <f t="shared" si="106"/>
        <v>0</v>
      </c>
      <c r="CX73" s="233">
        <f t="shared" si="106"/>
        <v>0</v>
      </c>
      <c r="CY73" s="233">
        <f t="shared" si="106"/>
        <v>0</v>
      </c>
      <c r="CZ73" s="298">
        <f>SUM(CZ68:CZ72)</f>
        <v>0</v>
      </c>
      <c r="DB73" s="142"/>
      <c r="DC73" s="143"/>
    </row>
    <row r="74" spans="2:107" ht="15.75" thickBot="1">
      <c r="B74" s="180" t="s">
        <v>31</v>
      </c>
      <c r="C74" s="277"/>
      <c r="D74" s="277"/>
      <c r="E74" s="277"/>
      <c r="F74" s="277"/>
      <c r="G74" s="277"/>
      <c r="H74" s="277"/>
      <c r="I74" s="277"/>
      <c r="J74" s="277"/>
      <c r="K74" s="277"/>
      <c r="L74" s="277"/>
      <c r="M74" s="277"/>
      <c r="N74" s="277"/>
      <c r="O74" s="189"/>
      <c r="P74" s="277"/>
      <c r="Q74" s="277"/>
      <c r="R74" s="277"/>
      <c r="S74" s="277"/>
      <c r="T74" s="277"/>
      <c r="U74" s="277"/>
      <c r="V74" s="277"/>
      <c r="W74" s="277"/>
      <c r="X74" s="277"/>
      <c r="Y74" s="277"/>
      <c r="Z74" s="277"/>
      <c r="AA74" s="277"/>
      <c r="AB74" s="183"/>
      <c r="AE74" s="277"/>
      <c r="AF74" s="277"/>
      <c r="AG74" s="277"/>
      <c r="AH74" s="277"/>
      <c r="AI74" s="277"/>
      <c r="AJ74" s="277"/>
      <c r="AK74" s="277"/>
      <c r="AL74" s="277"/>
      <c r="AM74" s="277"/>
      <c r="AN74" s="277"/>
      <c r="AO74" s="277"/>
      <c r="AP74" s="277"/>
      <c r="AQ74" s="183">
        <f>AQ73-SUM(AE73:AP73)</f>
        <v>0</v>
      </c>
      <c r="AU74" s="277"/>
      <c r="AV74" s="277"/>
      <c r="AW74" s="277"/>
      <c r="AX74" s="277"/>
      <c r="AY74" s="277"/>
      <c r="AZ74" s="277"/>
      <c r="BA74" s="277"/>
      <c r="BB74" s="277"/>
      <c r="BC74" s="277"/>
      <c r="BD74" s="277"/>
      <c r="BE74" s="277"/>
      <c r="BF74" s="277"/>
      <c r="BG74" s="183"/>
      <c r="BH74" s="189"/>
      <c r="BJ74" s="277"/>
      <c r="BK74" s="277"/>
      <c r="BL74" s="277"/>
      <c r="BM74" s="277"/>
      <c r="BN74" s="277"/>
      <c r="BO74" s="277"/>
      <c r="BP74" s="277"/>
      <c r="BQ74" s="277"/>
      <c r="BR74" s="277"/>
      <c r="BS74" s="278"/>
      <c r="BT74" s="278"/>
      <c r="BU74" s="278"/>
      <c r="BV74" s="183"/>
      <c r="BY74" s="278"/>
      <c r="BZ74" s="278"/>
      <c r="CA74" s="278"/>
      <c r="CB74" s="278"/>
      <c r="CC74" s="278"/>
      <c r="CD74" s="278"/>
      <c r="CE74" s="278"/>
      <c r="CF74" s="278"/>
      <c r="CG74" s="278"/>
      <c r="CH74" s="278"/>
      <c r="CI74" s="278"/>
      <c r="CJ74" s="278"/>
      <c r="CK74" s="183"/>
      <c r="CN74" s="278"/>
      <c r="CO74" s="278"/>
      <c r="CP74" s="278"/>
      <c r="CQ74" s="278"/>
      <c r="CR74" s="278"/>
      <c r="CS74" s="278"/>
      <c r="CT74" s="278"/>
      <c r="CU74" s="278"/>
      <c r="CV74" s="278"/>
      <c r="CW74" s="278"/>
      <c r="CX74" s="278"/>
      <c r="CY74" s="278"/>
      <c r="CZ74" s="183"/>
      <c r="DB74" s="142"/>
      <c r="DC74" s="143"/>
    </row>
    <row r="75" spans="2:107" ht="16.5" thickBot="1">
      <c r="B75" s="502" t="s">
        <v>387</v>
      </c>
      <c r="C75" s="277"/>
      <c r="D75" s="277"/>
      <c r="E75" s="277"/>
      <c r="F75" s="277"/>
      <c r="G75" s="277"/>
      <c r="H75" s="277"/>
      <c r="I75" s="277"/>
      <c r="J75" s="277"/>
      <c r="K75" s="277"/>
      <c r="L75" s="277"/>
      <c r="M75" s="277"/>
      <c r="N75" s="277"/>
      <c r="O75" s="189"/>
      <c r="P75" s="300">
        <f t="shared" ref="P75:AB75" si="107">P65-P73</f>
        <v>0</v>
      </c>
      <c r="Q75" s="235">
        <f t="shared" si="107"/>
        <v>0</v>
      </c>
      <c r="R75" s="235">
        <f t="shared" si="107"/>
        <v>0</v>
      </c>
      <c r="S75" s="235">
        <f t="shared" si="107"/>
        <v>0</v>
      </c>
      <c r="T75" s="235">
        <f t="shared" si="107"/>
        <v>0</v>
      </c>
      <c r="U75" s="235">
        <f t="shared" si="107"/>
        <v>0</v>
      </c>
      <c r="V75" s="235">
        <f t="shared" si="107"/>
        <v>0</v>
      </c>
      <c r="W75" s="235">
        <f t="shared" si="107"/>
        <v>0</v>
      </c>
      <c r="X75" s="235">
        <f t="shared" si="107"/>
        <v>0</v>
      </c>
      <c r="Y75" s="235">
        <f t="shared" si="107"/>
        <v>0</v>
      </c>
      <c r="Z75" s="235">
        <f t="shared" si="107"/>
        <v>0</v>
      </c>
      <c r="AA75" s="235">
        <f t="shared" si="107"/>
        <v>0</v>
      </c>
      <c r="AB75" s="276">
        <f t="shared" si="107"/>
        <v>0</v>
      </c>
      <c r="AE75" s="300">
        <f t="shared" ref="AE75:AQ75" si="108">AE65-AE73</f>
        <v>0</v>
      </c>
      <c r="AF75" s="235">
        <f t="shared" si="108"/>
        <v>0</v>
      </c>
      <c r="AG75" s="235">
        <f t="shared" si="108"/>
        <v>11538.16</v>
      </c>
      <c r="AH75" s="235">
        <f t="shared" si="108"/>
        <v>-50.2</v>
      </c>
      <c r="AI75" s="235">
        <f t="shared" si="108"/>
        <v>2858.9</v>
      </c>
      <c r="AJ75" s="235">
        <f t="shared" si="108"/>
        <v>0</v>
      </c>
      <c r="AK75" s="235">
        <f t="shared" si="108"/>
        <v>0</v>
      </c>
      <c r="AL75" s="235">
        <f t="shared" si="108"/>
        <v>0</v>
      </c>
      <c r="AM75" s="235">
        <f t="shared" si="108"/>
        <v>58.5</v>
      </c>
      <c r="AN75" s="235">
        <f t="shared" si="108"/>
        <v>900</v>
      </c>
      <c r="AO75" s="235">
        <f t="shared" si="108"/>
        <v>0</v>
      </c>
      <c r="AP75" s="235">
        <f t="shared" si="108"/>
        <v>0</v>
      </c>
      <c r="AQ75" s="276">
        <f t="shared" si="108"/>
        <v>15305.36</v>
      </c>
      <c r="AU75" s="300">
        <f t="shared" ref="AU75:BG75" si="109">AU65-AU73</f>
        <v>0</v>
      </c>
      <c r="AV75" s="235">
        <f t="shared" si="109"/>
        <v>0</v>
      </c>
      <c r="AW75" s="235">
        <f t="shared" si="109"/>
        <v>0</v>
      </c>
      <c r="AX75" s="235">
        <f t="shared" si="109"/>
        <v>0</v>
      </c>
      <c r="AY75" s="235">
        <f t="shared" si="109"/>
        <v>122.8</v>
      </c>
      <c r="AZ75" s="235">
        <f t="shared" si="109"/>
        <v>0</v>
      </c>
      <c r="BA75" s="235">
        <f t="shared" si="109"/>
        <v>0</v>
      </c>
      <c r="BB75" s="235">
        <f t="shared" si="109"/>
        <v>1232</v>
      </c>
      <c r="BC75" s="235">
        <f t="shared" si="109"/>
        <v>0</v>
      </c>
      <c r="BD75" s="235">
        <f t="shared" si="109"/>
        <v>-120</v>
      </c>
      <c r="BE75" s="235">
        <f t="shared" si="109"/>
        <v>0</v>
      </c>
      <c r="BF75" s="235">
        <f t="shared" si="109"/>
        <v>-94.6</v>
      </c>
      <c r="BG75" s="276">
        <f t="shared" si="109"/>
        <v>1140.2</v>
      </c>
      <c r="BH75" s="179"/>
      <c r="BJ75" s="300">
        <f>BJ65-BJ73</f>
        <v>0</v>
      </c>
      <c r="BK75" s="235">
        <f t="shared" ref="BK75:BV75" si="110">BK65-BK73</f>
        <v>0</v>
      </c>
      <c r="BL75" s="235">
        <f t="shared" si="110"/>
        <v>0</v>
      </c>
      <c r="BM75" s="235">
        <f t="shared" si="110"/>
        <v>365</v>
      </c>
      <c r="BN75" s="235">
        <f t="shared" si="110"/>
        <v>0</v>
      </c>
      <c r="BO75" s="235">
        <f t="shared" si="110"/>
        <v>400</v>
      </c>
      <c r="BP75" s="235">
        <f t="shared" si="110"/>
        <v>0</v>
      </c>
      <c r="BQ75" s="235">
        <f t="shared" si="110"/>
        <v>1045</v>
      </c>
      <c r="BR75" s="235">
        <f t="shared" si="110"/>
        <v>0</v>
      </c>
      <c r="BS75" s="239">
        <f t="shared" si="110"/>
        <v>0</v>
      </c>
      <c r="BT75" s="239">
        <f t="shared" si="110"/>
        <v>0</v>
      </c>
      <c r="BU75" s="239">
        <f t="shared" si="110"/>
        <v>0</v>
      </c>
      <c r="BV75" s="276">
        <f t="shared" si="110"/>
        <v>1810</v>
      </c>
      <c r="BY75" s="301">
        <f t="shared" ref="BY75:CK75" si="111">BY65-BY73</f>
        <v>0</v>
      </c>
      <c r="BZ75" s="239">
        <f t="shared" si="111"/>
        <v>0</v>
      </c>
      <c r="CA75" s="239">
        <f t="shared" si="111"/>
        <v>0</v>
      </c>
      <c r="CB75" s="239">
        <f t="shared" si="111"/>
        <v>0</v>
      </c>
      <c r="CC75" s="239">
        <f t="shared" si="111"/>
        <v>0</v>
      </c>
      <c r="CD75" s="239">
        <f t="shared" si="111"/>
        <v>0</v>
      </c>
      <c r="CE75" s="239">
        <f t="shared" si="111"/>
        <v>0</v>
      </c>
      <c r="CF75" s="239">
        <f t="shared" si="111"/>
        <v>0</v>
      </c>
      <c r="CG75" s="239">
        <f t="shared" si="111"/>
        <v>0</v>
      </c>
      <c r="CH75" s="239">
        <f t="shared" si="111"/>
        <v>0</v>
      </c>
      <c r="CI75" s="239">
        <f t="shared" si="111"/>
        <v>0</v>
      </c>
      <c r="CJ75" s="239">
        <f t="shared" si="111"/>
        <v>0</v>
      </c>
      <c r="CK75" s="276">
        <f t="shared" si="111"/>
        <v>0</v>
      </c>
      <c r="CN75" s="301">
        <f t="shared" ref="CN75:CZ75" si="112">CN65-CN73</f>
        <v>0</v>
      </c>
      <c r="CO75" s="239">
        <f t="shared" si="112"/>
        <v>0</v>
      </c>
      <c r="CP75" s="239">
        <f t="shared" si="112"/>
        <v>0</v>
      </c>
      <c r="CQ75" s="239">
        <f t="shared" si="112"/>
        <v>0</v>
      </c>
      <c r="CR75" s="239">
        <f t="shared" si="112"/>
        <v>0</v>
      </c>
      <c r="CS75" s="239">
        <f t="shared" si="112"/>
        <v>0</v>
      </c>
      <c r="CT75" s="239">
        <f t="shared" si="112"/>
        <v>0</v>
      </c>
      <c r="CU75" s="239">
        <f t="shared" si="112"/>
        <v>0</v>
      </c>
      <c r="CV75" s="239">
        <f t="shared" si="112"/>
        <v>0</v>
      </c>
      <c r="CW75" s="239">
        <f t="shared" si="112"/>
        <v>0</v>
      </c>
      <c r="CX75" s="239">
        <f t="shared" si="112"/>
        <v>0</v>
      </c>
      <c r="CY75" s="239">
        <f t="shared" si="112"/>
        <v>0</v>
      </c>
      <c r="CZ75" s="276">
        <f t="shared" si="112"/>
        <v>0</v>
      </c>
      <c r="DB75" s="142"/>
      <c r="DC75" s="143"/>
    </row>
    <row r="76" spans="2:107">
      <c r="B76" s="293" t="s">
        <v>31</v>
      </c>
      <c r="C76" s="277"/>
      <c r="D76" s="277"/>
      <c r="E76" s="277"/>
      <c r="F76" s="277"/>
      <c r="G76" s="277"/>
      <c r="H76" s="277"/>
      <c r="I76" s="277"/>
      <c r="J76" s="277"/>
      <c r="K76" s="277"/>
      <c r="L76" s="277"/>
      <c r="M76" s="277"/>
      <c r="N76" s="277"/>
      <c r="O76" s="189"/>
      <c r="P76" s="277"/>
      <c r="Q76" s="277"/>
      <c r="R76" s="277"/>
      <c r="S76" s="277"/>
      <c r="T76" s="277"/>
      <c r="U76" s="277"/>
      <c r="V76" s="277"/>
      <c r="W76" s="277"/>
      <c r="X76" s="277"/>
      <c r="Y76" s="277"/>
      <c r="Z76" s="277"/>
      <c r="AA76" s="277"/>
      <c r="AB76" s="189"/>
      <c r="AE76" s="277"/>
      <c r="AF76" s="277"/>
      <c r="AG76" s="277"/>
      <c r="AH76" s="277"/>
      <c r="AI76" s="277"/>
      <c r="AJ76" s="277"/>
      <c r="AK76" s="277"/>
      <c r="AL76" s="277"/>
      <c r="AM76" s="277"/>
      <c r="AN76" s="277"/>
      <c r="AO76" s="277"/>
      <c r="AP76" s="277"/>
      <c r="AQ76" s="183">
        <f>AQ75-SUM(AE75:AP75)</f>
        <v>0</v>
      </c>
      <c r="AU76" s="277"/>
      <c r="AV76" s="277"/>
      <c r="AW76" s="277"/>
      <c r="AX76" s="277"/>
      <c r="AY76" s="277"/>
      <c r="AZ76" s="277"/>
      <c r="BA76" s="277"/>
      <c r="BB76" s="277"/>
      <c r="BC76" s="277"/>
      <c r="BD76" s="277"/>
      <c r="BE76" s="277"/>
      <c r="BF76" s="277"/>
      <c r="BG76" s="189"/>
      <c r="BH76" s="189"/>
      <c r="BJ76" s="277"/>
      <c r="BK76" s="277"/>
      <c r="BL76" s="277"/>
      <c r="BM76" s="277"/>
      <c r="BN76" s="277"/>
      <c r="BO76" s="277"/>
      <c r="BP76" s="277"/>
      <c r="BQ76" s="277"/>
      <c r="BR76" s="277"/>
      <c r="BS76" s="278"/>
      <c r="BT76" s="278"/>
      <c r="BU76" s="278"/>
      <c r="BV76" s="189"/>
      <c r="BY76" s="278"/>
      <c r="BZ76" s="278"/>
      <c r="CA76" s="278"/>
      <c r="CB76" s="278"/>
      <c r="CC76" s="278"/>
      <c r="CD76" s="278"/>
      <c r="CE76" s="278"/>
      <c r="CF76" s="278"/>
      <c r="CG76" s="278"/>
      <c r="CH76" s="278"/>
      <c r="CI76" s="278"/>
      <c r="CJ76" s="278"/>
      <c r="CK76" s="189"/>
      <c r="CN76" s="278"/>
      <c r="CO76" s="278"/>
      <c r="CP76" s="278"/>
      <c r="CQ76" s="278"/>
      <c r="CR76" s="278"/>
      <c r="CS76" s="278"/>
      <c r="CT76" s="278"/>
      <c r="CU76" s="278"/>
      <c r="CV76" s="278"/>
      <c r="CW76" s="278"/>
      <c r="CX76" s="278"/>
      <c r="CY76" s="278"/>
      <c r="CZ76" s="189"/>
      <c r="DB76" s="142"/>
      <c r="DC76" s="143"/>
    </row>
    <row r="77" spans="2:107">
      <c r="B77" s="264" t="s">
        <v>22</v>
      </c>
      <c r="C77" s="302"/>
      <c r="D77" s="302"/>
      <c r="E77" s="302"/>
      <c r="F77" s="302"/>
      <c r="G77" s="302"/>
      <c r="H77" s="302"/>
      <c r="I77" s="302"/>
      <c r="J77" s="302"/>
      <c r="K77" s="302"/>
      <c r="L77" s="302"/>
      <c r="M77" s="302"/>
      <c r="N77" s="302"/>
      <c r="O77" s="303"/>
      <c r="P77" s="302"/>
      <c r="Q77" s="302"/>
      <c r="R77" s="302"/>
      <c r="S77" s="302"/>
      <c r="T77" s="302"/>
      <c r="U77" s="302"/>
      <c r="V77" s="302"/>
      <c r="W77" s="302"/>
      <c r="X77" s="302"/>
      <c r="Y77" s="302"/>
      <c r="Z77" s="302"/>
      <c r="AA77" s="302"/>
      <c r="AB77" s="303"/>
      <c r="AE77" s="302"/>
      <c r="AF77" s="302"/>
      <c r="AG77" s="302"/>
      <c r="AH77" s="302"/>
      <c r="AI77" s="302"/>
      <c r="AJ77" s="302"/>
      <c r="AK77" s="302"/>
      <c r="AL77" s="302"/>
      <c r="AM77" s="302"/>
      <c r="AN77" s="302"/>
      <c r="AO77" s="302"/>
      <c r="AP77" s="302"/>
      <c r="AQ77" s="303"/>
      <c r="AU77" s="302"/>
      <c r="AV77" s="302"/>
      <c r="AW77" s="302"/>
      <c r="AX77" s="302"/>
      <c r="AY77" s="302"/>
      <c r="AZ77" s="302"/>
      <c r="BA77" s="302"/>
      <c r="BB77" s="302"/>
      <c r="BC77" s="302"/>
      <c r="BD77" s="302"/>
      <c r="BE77" s="302"/>
      <c r="BF77" s="302"/>
      <c r="BG77" s="303"/>
      <c r="BH77" s="304"/>
      <c r="BJ77" s="302"/>
      <c r="BK77" s="302"/>
      <c r="BL77" s="302"/>
      <c r="BM77" s="302"/>
      <c r="BN77" s="302"/>
      <c r="BO77" s="302"/>
      <c r="BP77" s="302"/>
      <c r="BQ77" s="302"/>
      <c r="BR77" s="302"/>
      <c r="BS77" s="303"/>
      <c r="BT77" s="303"/>
      <c r="BU77" s="303"/>
      <c r="BV77" s="303"/>
      <c r="BY77" s="303"/>
      <c r="BZ77" s="303"/>
      <c r="CA77" s="303"/>
      <c r="CB77" s="303"/>
      <c r="CC77" s="303"/>
      <c r="CD77" s="303"/>
      <c r="CE77" s="303"/>
      <c r="CF77" s="303"/>
      <c r="CG77" s="303"/>
      <c r="CH77" s="303"/>
      <c r="CI77" s="303"/>
      <c r="CJ77" s="303"/>
      <c r="CK77" s="303"/>
      <c r="CN77" s="303"/>
      <c r="CO77" s="303"/>
      <c r="CP77" s="303"/>
      <c r="CQ77" s="303"/>
      <c r="CR77" s="303"/>
      <c r="CS77" s="303"/>
      <c r="CT77" s="303"/>
      <c r="CU77" s="303"/>
      <c r="CV77" s="303"/>
      <c r="CW77" s="303"/>
      <c r="CX77" s="303"/>
      <c r="CY77" s="303"/>
      <c r="CZ77" s="303"/>
      <c r="DB77" s="142"/>
      <c r="DC77" s="143"/>
    </row>
    <row r="78" spans="2:107">
      <c r="B78" s="143" t="s">
        <v>95</v>
      </c>
      <c r="C78" s="145"/>
      <c r="D78" s="203"/>
      <c r="E78" s="203"/>
      <c r="F78" s="203"/>
      <c r="G78" s="140"/>
      <c r="H78" s="203"/>
      <c r="I78" s="266"/>
      <c r="J78" s="266"/>
      <c r="K78" s="146"/>
      <c r="L78" s="144"/>
      <c r="M78" s="211"/>
      <c r="N78" s="146"/>
      <c r="O78" s="148">
        <f>SUM(C78:N78)</f>
        <v>0</v>
      </c>
      <c r="P78" s="280"/>
      <c r="Q78" s="147"/>
      <c r="R78" s="147"/>
      <c r="S78" s="147"/>
      <c r="T78" s="147"/>
      <c r="U78" s="305"/>
      <c r="V78" s="147"/>
      <c r="W78" s="147"/>
      <c r="X78" s="147"/>
      <c r="Y78" s="147"/>
      <c r="Z78" s="147"/>
      <c r="AA78" s="147"/>
      <c r="AB78" s="148">
        <f t="shared" ref="AB78:AB88" si="113">SUM(P78:AA78)</f>
        <v>0</v>
      </c>
      <c r="AE78" s="153"/>
      <c r="AF78" s="144"/>
      <c r="AG78" s="144"/>
      <c r="AH78" s="144">
        <v>6185.7</v>
      </c>
      <c r="AI78" s="144"/>
      <c r="AJ78" s="144"/>
      <c r="AK78" s="144"/>
      <c r="AL78" s="144"/>
      <c r="AM78" s="144"/>
      <c r="AN78" s="144"/>
      <c r="AO78" s="144">
        <f>5842.92</f>
        <v>5842.92</v>
      </c>
      <c r="AP78" s="144">
        <f>6355.44+6379.12+6164.32+9023.85</f>
        <v>27922.729999999996</v>
      </c>
      <c r="AQ78" s="148">
        <f t="shared" ref="AQ78:AQ88" si="114">SUM(AE78:AP78)</f>
        <v>39951.349999999991</v>
      </c>
      <c r="AU78" s="465">
        <f>'Alimento y ventas'!O216</f>
        <v>0</v>
      </c>
      <c r="AV78" s="144">
        <f>'Alimento y ventas'!P216*0+5834.73</f>
        <v>5834.73</v>
      </c>
      <c r="AW78" s="211">
        <f>'Alimento y ventas'!Q216</f>
        <v>0</v>
      </c>
      <c r="AX78" s="211">
        <f>'Alimento y ventas'!R216</f>
        <v>0</v>
      </c>
      <c r="AY78" s="211">
        <f>'Alimento y ventas'!S216*0</f>
        <v>0</v>
      </c>
      <c r="AZ78" s="144">
        <f>'Alimento y ventas'!T216*0+6676.86</f>
        <v>6676.86</v>
      </c>
      <c r="BA78" s="211">
        <f>'Alimento y ventas'!U216</f>
        <v>0</v>
      </c>
      <c r="BB78" s="211">
        <f>'Alimento y ventas'!V216</f>
        <v>0</v>
      </c>
      <c r="BC78" s="211">
        <f>'Alimento y ventas'!W216</f>
        <v>0</v>
      </c>
      <c r="BD78" s="211">
        <f>'Alimento y ventas'!X216*0</f>
        <v>0</v>
      </c>
      <c r="BE78" s="211">
        <f>'Alimento y ventas'!Y216</f>
        <v>0</v>
      </c>
      <c r="BF78" s="144">
        <f>'Alimento y ventas'!Z216+6017.44</f>
        <v>6017.44</v>
      </c>
      <c r="BG78" s="148">
        <f>SUM(AU78:BF78)</f>
        <v>18529.03</v>
      </c>
      <c r="BH78" s="160"/>
      <c r="BJ78" s="465">
        <f>'Alimento y ventas'!AA216*0</f>
        <v>0</v>
      </c>
      <c r="BK78" s="144">
        <f>'Alimento y ventas'!AB216*0+5413.82</f>
        <v>5413.82</v>
      </c>
      <c r="BL78" s="144">
        <f>'Alimento y ventas'!AC216+9.64*225*1.04-3.64*225*1.04</f>
        <v>1404.0000000000002</v>
      </c>
      <c r="BM78" s="211">
        <f>'Alimento y ventas'!AD216</f>
        <v>0</v>
      </c>
      <c r="BN78" s="211">
        <f>'Alimento y ventas'!AE216*0</f>
        <v>0</v>
      </c>
      <c r="BO78" s="211">
        <f>'Alimento y ventas'!AF216*0</f>
        <v>0</v>
      </c>
      <c r="BP78" s="211">
        <f>'Alimento y ventas'!AG216*0</f>
        <v>0</v>
      </c>
      <c r="BQ78" s="211">
        <f>'Alimento y ventas'!AH216*0</f>
        <v>0</v>
      </c>
      <c r="BR78" s="144">
        <f>'Alimento y ventas'!AI216+6872.2</f>
        <v>6872.2</v>
      </c>
      <c r="BS78" s="169">
        <f>'Alimento y ventas'!AJ216</f>
        <v>6058</v>
      </c>
      <c r="BT78" s="169">
        <f>'Alimento y ventas'!AK216</f>
        <v>0</v>
      </c>
      <c r="BU78" s="169">
        <f>'Alimento y ventas'!AL216</f>
        <v>0</v>
      </c>
      <c r="BV78" s="148">
        <f t="shared" ref="BV78:BV87" si="115">SUM(BJ78:BU78)</f>
        <v>19748.02</v>
      </c>
      <c r="BY78" s="245">
        <f>'Alimento y ventas'!AM216</f>
        <v>6058</v>
      </c>
      <c r="BZ78" s="169">
        <f>'Alimento y ventas'!AN216</f>
        <v>0</v>
      </c>
      <c r="CA78" s="169">
        <f>'Alimento y ventas'!AO216</f>
        <v>0</v>
      </c>
      <c r="CB78" s="169">
        <f>'Alimento y ventas'!AP216</f>
        <v>0</v>
      </c>
      <c r="CC78" s="169">
        <f>'Alimento y ventas'!AQ216</f>
        <v>0</v>
      </c>
      <c r="CD78" s="169">
        <f>'Alimento y ventas'!AR216</f>
        <v>0</v>
      </c>
      <c r="CE78" s="169">
        <f>'Alimento y ventas'!AS216</f>
        <v>6058</v>
      </c>
      <c r="CF78" s="169">
        <f>'Alimento y ventas'!AT216</f>
        <v>0</v>
      </c>
      <c r="CG78" s="169">
        <f>'Alimento y ventas'!AU216</f>
        <v>6058</v>
      </c>
      <c r="CH78" s="169">
        <f>'Alimento y ventas'!AV216</f>
        <v>0</v>
      </c>
      <c r="CI78" s="169">
        <f>'Alimento y ventas'!AW216</f>
        <v>6058</v>
      </c>
      <c r="CJ78" s="169">
        <f>'Alimento y ventas'!AX216</f>
        <v>0</v>
      </c>
      <c r="CK78" s="148">
        <f t="shared" ref="CK78:CK86" si="116">SUM(BY78:CJ78)</f>
        <v>24232</v>
      </c>
      <c r="CN78" s="245">
        <f>'Alimento y ventas'!AY216</f>
        <v>5668</v>
      </c>
      <c r="CO78" s="169">
        <f>'Alimento y ventas'!AZ216</f>
        <v>0</v>
      </c>
      <c r="CP78" s="169">
        <f>'Alimento y ventas'!BA216</f>
        <v>0</v>
      </c>
      <c r="CQ78" s="169">
        <f>'Alimento y ventas'!BB216</f>
        <v>0</v>
      </c>
      <c r="CR78" s="169">
        <f>'Alimento y ventas'!BC216</f>
        <v>0</v>
      </c>
      <c r="CS78" s="169">
        <f>'Alimento y ventas'!BD216</f>
        <v>5668</v>
      </c>
      <c r="CT78" s="169">
        <f>'Alimento y ventas'!BE216</f>
        <v>0</v>
      </c>
      <c r="CU78" s="169">
        <f>'Alimento y ventas'!BF216</f>
        <v>0</v>
      </c>
      <c r="CV78" s="169">
        <f>'Alimento y ventas'!BG216</f>
        <v>5668</v>
      </c>
      <c r="CW78" s="169">
        <f>'Alimento y ventas'!BH216</f>
        <v>5668</v>
      </c>
      <c r="CX78" s="169">
        <f>'Alimento y ventas'!BI216</f>
        <v>0</v>
      </c>
      <c r="CY78" s="169">
        <f>'Alimento y ventas'!BJ216</f>
        <v>0</v>
      </c>
      <c r="CZ78" s="148">
        <f t="shared" ref="CZ78:CZ98" si="117">SUM(CN78:CY78)</f>
        <v>22672</v>
      </c>
      <c r="DB78" s="142"/>
      <c r="DC78" s="499">
        <f>1677.06+528</f>
        <v>2205.06</v>
      </c>
    </row>
    <row r="79" spans="2:107">
      <c r="B79" s="143" t="s">
        <v>96</v>
      </c>
      <c r="C79" s="145"/>
      <c r="D79" s="203"/>
      <c r="E79" s="203"/>
      <c r="F79" s="203"/>
      <c r="G79" s="140"/>
      <c r="H79" s="203"/>
      <c r="I79" s="266"/>
      <c r="J79" s="266"/>
      <c r="K79" s="146"/>
      <c r="L79" s="144"/>
      <c r="M79" s="211"/>
      <c r="N79" s="146"/>
      <c r="O79" s="148">
        <f t="shared" ref="O79:O88" si="118">SUM(C79:N79)</f>
        <v>0</v>
      </c>
      <c r="P79" s="225"/>
      <c r="Q79" s="147"/>
      <c r="R79" s="147"/>
      <c r="S79" s="147"/>
      <c r="T79" s="147"/>
      <c r="U79" s="305"/>
      <c r="V79" s="147"/>
      <c r="W79" s="147"/>
      <c r="X79" s="147"/>
      <c r="Y79" s="147"/>
      <c r="Z79" s="147"/>
      <c r="AA79" s="147"/>
      <c r="AB79" s="148">
        <f t="shared" si="113"/>
        <v>0</v>
      </c>
      <c r="AE79" s="162"/>
      <c r="AF79" s="144"/>
      <c r="AG79" s="144"/>
      <c r="AH79" s="144"/>
      <c r="AI79" s="144"/>
      <c r="AJ79" s="144"/>
      <c r="AK79" s="144"/>
      <c r="AL79" s="144"/>
      <c r="AM79" s="144"/>
      <c r="AN79" s="144"/>
      <c r="AO79" s="144"/>
      <c r="AP79" s="144"/>
      <c r="AQ79" s="148">
        <f t="shared" si="114"/>
        <v>0</v>
      </c>
      <c r="AU79" s="324">
        <f>'Alimento y ventas'!O223</f>
        <v>0</v>
      </c>
      <c r="AV79" s="211">
        <f>'Alimento y ventas'!O223</f>
        <v>0</v>
      </c>
      <c r="AW79" s="211">
        <f>'Alimento y ventas'!P223</f>
        <v>0</v>
      </c>
      <c r="AX79" s="211">
        <f>'Alimento y ventas'!Q223</f>
        <v>0</v>
      </c>
      <c r="AY79" s="211">
        <f>'Alimento y ventas'!R223</f>
        <v>0</v>
      </c>
      <c r="AZ79" s="211">
        <f>'Alimento y ventas'!S223</f>
        <v>0</v>
      </c>
      <c r="BA79" s="211">
        <f>'Alimento y ventas'!T223</f>
        <v>0</v>
      </c>
      <c r="BB79" s="211">
        <f>'Alimento y ventas'!U223</f>
        <v>0</v>
      </c>
      <c r="BC79" s="211">
        <f>'Alimento y ventas'!V223</f>
        <v>0</v>
      </c>
      <c r="BD79" s="211">
        <f>'Alimento y ventas'!W223</f>
        <v>0</v>
      </c>
      <c r="BE79" s="211">
        <f>'Alimento y ventas'!X223</f>
        <v>0</v>
      </c>
      <c r="BF79" s="211">
        <f>'Alimento y ventas'!Y223</f>
        <v>0</v>
      </c>
      <c r="BG79" s="148">
        <f t="shared" ref="BG79:BG87" si="119">SUM(AU79:BF79)</f>
        <v>0</v>
      </c>
      <c r="BH79" s="160"/>
      <c r="BJ79" s="324">
        <f>'Alimento y ventas'!AA223*0</f>
        <v>0</v>
      </c>
      <c r="BK79" s="144">
        <f>'Alimento y ventas'!AB223*0+7804.99</f>
        <v>7804.99</v>
      </c>
      <c r="BL79" s="203">
        <f>'Alimento y ventas'!AC223*0+6758.67-9.64*225*1.04</f>
        <v>4502.91</v>
      </c>
      <c r="BM79" s="211">
        <f>'Alimento y ventas'!AD223</f>
        <v>0</v>
      </c>
      <c r="BN79" s="211">
        <f>'Alimento y ventas'!AE223</f>
        <v>0</v>
      </c>
      <c r="BO79" s="211">
        <f>'Alimento y ventas'!AF223</f>
        <v>0</v>
      </c>
      <c r="BP79" s="211">
        <f>'Alimento y ventas'!AG223</f>
        <v>0</v>
      </c>
      <c r="BQ79" s="211">
        <f>'Alimento y ventas'!AH223*0</f>
        <v>0</v>
      </c>
      <c r="BR79" s="211">
        <f>'Alimento y ventas'!AI223</f>
        <v>0</v>
      </c>
      <c r="BS79" s="169">
        <f>'Alimento y ventas'!AJ223</f>
        <v>7080</v>
      </c>
      <c r="BT79" s="169">
        <f>'Alimento y ventas'!AK223</f>
        <v>0</v>
      </c>
      <c r="BU79" s="169">
        <f>'Alimento y ventas'!AL223</f>
        <v>0</v>
      </c>
      <c r="BV79" s="148">
        <f t="shared" si="115"/>
        <v>19387.900000000001</v>
      </c>
      <c r="BY79" s="228">
        <f>'Alimento y ventas'!AM223</f>
        <v>7080</v>
      </c>
      <c r="BZ79" s="169">
        <f>'Alimento y ventas'!AN223</f>
        <v>0</v>
      </c>
      <c r="CA79" s="169">
        <f>'Alimento y ventas'!AO223</f>
        <v>0</v>
      </c>
      <c r="CB79" s="169">
        <f>'Alimento y ventas'!AP223</f>
        <v>7080</v>
      </c>
      <c r="CC79" s="169">
        <f>'Alimento y ventas'!AQ223</f>
        <v>0</v>
      </c>
      <c r="CD79" s="169">
        <f>'Alimento y ventas'!AR223</f>
        <v>0</v>
      </c>
      <c r="CE79" s="169">
        <f>'Alimento y ventas'!AS223</f>
        <v>0</v>
      </c>
      <c r="CF79" s="169">
        <f>'Alimento y ventas'!AT223</f>
        <v>0</v>
      </c>
      <c r="CG79" s="169">
        <f>'Alimento y ventas'!AU223</f>
        <v>7080</v>
      </c>
      <c r="CH79" s="169">
        <f>'Alimento y ventas'!AV223</f>
        <v>0</v>
      </c>
      <c r="CI79" s="169">
        <f>'Alimento y ventas'!AW223</f>
        <v>7080</v>
      </c>
      <c r="CJ79" s="169">
        <f>'Alimento y ventas'!AX223</f>
        <v>0</v>
      </c>
      <c r="CK79" s="148">
        <f t="shared" si="116"/>
        <v>28320</v>
      </c>
      <c r="CN79" s="228">
        <f>'Alimento y ventas'!AY223</f>
        <v>9048</v>
      </c>
      <c r="CO79" s="169">
        <f>'Alimento y ventas'!AZ223</f>
        <v>0</v>
      </c>
      <c r="CP79" s="169">
        <f>'Alimento y ventas'!BA223</f>
        <v>0</v>
      </c>
      <c r="CQ79" s="169">
        <f>'Alimento y ventas'!BB223</f>
        <v>0</v>
      </c>
      <c r="CR79" s="169">
        <f>'Alimento y ventas'!BC223</f>
        <v>0</v>
      </c>
      <c r="CS79" s="169">
        <f>'Alimento y ventas'!BD223</f>
        <v>0</v>
      </c>
      <c r="CT79" s="169">
        <f>'Alimento y ventas'!BE223</f>
        <v>9048</v>
      </c>
      <c r="CU79" s="169">
        <f>'Alimento y ventas'!BF223</f>
        <v>0</v>
      </c>
      <c r="CV79" s="169">
        <f>'Alimento y ventas'!BG223</f>
        <v>9048</v>
      </c>
      <c r="CW79" s="169">
        <f>'Alimento y ventas'!BH223</f>
        <v>0</v>
      </c>
      <c r="CX79" s="169">
        <f>'Alimento y ventas'!BI223</f>
        <v>0</v>
      </c>
      <c r="CY79" s="169">
        <f>'Alimento y ventas'!BJ223</f>
        <v>4524</v>
      </c>
      <c r="CZ79" s="148">
        <f t="shared" si="117"/>
        <v>31668</v>
      </c>
      <c r="DB79" s="142"/>
      <c r="DC79" s="306"/>
    </row>
    <row r="80" spans="2:107">
      <c r="B80" s="143" t="s">
        <v>97</v>
      </c>
      <c r="C80" s="145"/>
      <c r="D80" s="203"/>
      <c r="E80" s="203"/>
      <c r="F80" s="203"/>
      <c r="G80" s="140"/>
      <c r="H80" s="203"/>
      <c r="I80" s="266"/>
      <c r="J80" s="266"/>
      <c r="K80" s="146"/>
      <c r="L80" s="144"/>
      <c r="M80" s="211"/>
      <c r="N80" s="146"/>
      <c r="O80" s="148">
        <f t="shared" si="118"/>
        <v>0</v>
      </c>
      <c r="P80" s="225"/>
      <c r="Q80" s="147"/>
      <c r="R80" s="147"/>
      <c r="S80" s="147"/>
      <c r="T80" s="147"/>
      <c r="U80" s="305"/>
      <c r="V80" s="147"/>
      <c r="W80" s="147"/>
      <c r="X80" s="147"/>
      <c r="Y80" s="147"/>
      <c r="Z80" s="147"/>
      <c r="AA80" s="147"/>
      <c r="AB80" s="148">
        <f t="shared" si="113"/>
        <v>0</v>
      </c>
      <c r="AE80" s="162">
        <f>1350</f>
        <v>1350</v>
      </c>
      <c r="AF80" s="144">
        <f>1674.36+1848+1800</f>
        <v>5322.36</v>
      </c>
      <c r="AG80" s="144">
        <f>-1350</f>
        <v>-1350</v>
      </c>
      <c r="AH80" s="144">
        <f>1422.85+508.2+508.2+1853.5+1623.6</f>
        <v>5916.35</v>
      </c>
      <c r="AI80" s="144">
        <f>1450.59+387.2</f>
        <v>1837.79</v>
      </c>
      <c r="AJ80" s="144">
        <f>600</f>
        <v>600</v>
      </c>
      <c r="AK80" s="144"/>
      <c r="AL80" s="144"/>
      <c r="AM80" s="144"/>
      <c r="AN80" s="144">
        <f>1155+2640+330+4836.49</f>
        <v>8961.49</v>
      </c>
      <c r="AO80" s="144"/>
      <c r="AP80" s="144">
        <f>11000/3*0+4182.75</f>
        <v>4182.75</v>
      </c>
      <c r="AQ80" s="148">
        <f t="shared" si="114"/>
        <v>26820.739999999998</v>
      </c>
      <c r="AU80" s="324">
        <v>0</v>
      </c>
      <c r="AV80" s="211">
        <v>0</v>
      </c>
      <c r="AW80" s="211">
        <f>'Alimento y ventas'!Q230</f>
        <v>0</v>
      </c>
      <c r="AX80" s="211">
        <f>'Alimento y ventas'!R230</f>
        <v>0</v>
      </c>
      <c r="AY80" s="211">
        <f>'Alimento y ventas'!S230</f>
        <v>0</v>
      </c>
      <c r="AZ80" s="211">
        <f>'Alimento y ventas'!T230</f>
        <v>0</v>
      </c>
      <c r="BA80" s="211">
        <f>'Alimento y ventas'!U230</f>
        <v>0</v>
      </c>
      <c r="BB80" s="144">
        <f>'Alimento y ventas'!V230+1974.5</f>
        <v>1974.5</v>
      </c>
      <c r="BC80" s="211">
        <f>'Alimento y ventas'!W230*0</f>
        <v>0</v>
      </c>
      <c r="BD80" s="211">
        <f>'Alimento y ventas'!X230</f>
        <v>0</v>
      </c>
      <c r="BE80" s="211">
        <f>'Alimento y ventas'!Y230</f>
        <v>0</v>
      </c>
      <c r="BF80" s="211">
        <f>'Alimento y ventas'!Z243*0</f>
        <v>0</v>
      </c>
      <c r="BG80" s="148">
        <f t="shared" si="119"/>
        <v>1974.5</v>
      </c>
      <c r="BH80" s="160"/>
      <c r="BJ80" s="324">
        <f>'Alimento y ventas'!AA230</f>
        <v>0</v>
      </c>
      <c r="BK80" s="211">
        <f>'Alimento y ventas'!AB200</f>
        <v>0</v>
      </c>
      <c r="BL80" s="211">
        <f>'Alimento y ventas'!AC230</f>
        <v>0</v>
      </c>
      <c r="BM80" s="144">
        <f>'Alimento y ventas'!AD200*0+750.98</f>
        <v>750.98</v>
      </c>
      <c r="BN80" s="211">
        <f>'Alimento y ventas'!AE200</f>
        <v>0</v>
      </c>
      <c r="BO80" s="211">
        <f>'Alimento y ventas'!AF224</f>
        <v>0</v>
      </c>
      <c r="BP80" s="211">
        <f>'Alimento y ventas'!AG200</f>
        <v>0</v>
      </c>
      <c r="BQ80" s="211">
        <f>'Alimento y ventas'!AH200</f>
        <v>0</v>
      </c>
      <c r="BR80" s="211">
        <f>'Alimento y ventas'!AI200</f>
        <v>0</v>
      </c>
      <c r="BS80" s="274">
        <f>'Alimento y ventas'!AJ200+(270.9+90+615+1290)+(108+350+840+201.6)-1720</f>
        <v>2045.5</v>
      </c>
      <c r="BT80" s="169">
        <f>'Alimento y ventas'!AK200</f>
        <v>0</v>
      </c>
      <c r="BU80" s="169">
        <f>'Alimento y ventas'!AL200</f>
        <v>0</v>
      </c>
      <c r="BV80" s="148">
        <f t="shared" si="115"/>
        <v>2796.48</v>
      </c>
      <c r="BY80" s="228">
        <f>'Alimento y ventas'!AM230</f>
        <v>0</v>
      </c>
      <c r="BZ80" s="169">
        <f>'Alimento y ventas'!AN200</f>
        <v>0</v>
      </c>
      <c r="CA80" s="169">
        <f>'Alimento y ventas'!AO200</f>
        <v>0</v>
      </c>
      <c r="CB80" s="169">
        <f>'Alimento y ventas'!AP200</f>
        <v>0</v>
      </c>
      <c r="CC80" s="169">
        <f>'Alimento y ventas'!AQ200</f>
        <v>0</v>
      </c>
      <c r="CD80" s="169">
        <f>'Alimento y ventas'!AR200</f>
        <v>0</v>
      </c>
      <c r="CE80" s="169">
        <f>'Alimento y ventas'!AS200</f>
        <v>0</v>
      </c>
      <c r="CF80" s="169">
        <f>'Alimento y ventas'!AT200</f>
        <v>0</v>
      </c>
      <c r="CG80" s="169">
        <f>'Alimento y ventas'!AU200</f>
        <v>0</v>
      </c>
      <c r="CH80" s="169">
        <f>'Alimento y ventas'!AV200</f>
        <v>0</v>
      </c>
      <c r="CI80" s="169">
        <f>'Alimento y ventas'!AW200</f>
        <v>0</v>
      </c>
      <c r="CJ80" s="169">
        <f>'Alimento y ventas'!AX200</f>
        <v>0</v>
      </c>
      <c r="CK80" s="148">
        <f t="shared" si="116"/>
        <v>0</v>
      </c>
      <c r="CN80" s="228">
        <f>'Alimento y ventas'!AY230</f>
        <v>0</v>
      </c>
      <c r="CO80" s="169">
        <f>'Alimento y ventas'!AZ230</f>
        <v>0</v>
      </c>
      <c r="CP80" s="169">
        <f>'Alimento y ventas'!BA230</f>
        <v>0</v>
      </c>
      <c r="CQ80" s="169">
        <f>'Alimento y ventas'!BB230</f>
        <v>0</v>
      </c>
      <c r="CR80" s="169">
        <f>'Alimento y ventas'!BC230</f>
        <v>0</v>
      </c>
      <c r="CS80" s="169">
        <f>'Alimento y ventas'!BD230</f>
        <v>0</v>
      </c>
      <c r="CT80" s="169">
        <f>'Alimento y ventas'!BE230</f>
        <v>0</v>
      </c>
      <c r="CU80" s="169">
        <f>'Alimento y ventas'!BF230</f>
        <v>0</v>
      </c>
      <c r="CV80" s="169">
        <f>'Alimento y ventas'!BG230</f>
        <v>0</v>
      </c>
      <c r="CW80" s="169">
        <f>'Alimento y ventas'!BH230</f>
        <v>0</v>
      </c>
      <c r="CX80" s="169">
        <f>'Alimento y ventas'!BI230</f>
        <v>0</v>
      </c>
      <c r="CY80" s="169">
        <f>'Alimento y ventas'!BJ230</f>
        <v>0</v>
      </c>
      <c r="CZ80" s="148">
        <f t="shared" si="117"/>
        <v>0</v>
      </c>
      <c r="DB80" s="142"/>
      <c r="DC80" s="306"/>
    </row>
    <row r="81" spans="2:107">
      <c r="B81" s="143" t="s">
        <v>425</v>
      </c>
      <c r="C81" s="145"/>
      <c r="D81" s="203"/>
      <c r="E81" s="203"/>
      <c r="F81" s="203"/>
      <c r="G81" s="140"/>
      <c r="H81" s="203"/>
      <c r="I81" s="266"/>
      <c r="J81" s="266"/>
      <c r="K81" s="146"/>
      <c r="L81" s="144"/>
      <c r="M81" s="211"/>
      <c r="N81" s="146"/>
      <c r="O81" s="148">
        <f t="shared" si="118"/>
        <v>0</v>
      </c>
      <c r="P81" s="225"/>
      <c r="Q81" s="147"/>
      <c r="R81" s="147"/>
      <c r="S81" s="147"/>
      <c r="T81" s="147"/>
      <c r="U81" s="305"/>
      <c r="V81" s="147"/>
      <c r="W81" s="147"/>
      <c r="X81" s="147"/>
      <c r="Y81" s="147"/>
      <c r="Z81" s="147"/>
      <c r="AA81" s="147"/>
      <c r="AB81" s="148">
        <f t="shared" si="113"/>
        <v>0</v>
      </c>
      <c r="AE81" s="162"/>
      <c r="AF81" s="144"/>
      <c r="AG81" s="144"/>
      <c r="AH81" s="144"/>
      <c r="AI81" s="144"/>
      <c r="AJ81" s="144"/>
      <c r="AK81" s="144"/>
      <c r="AL81" s="144"/>
      <c r="AM81" s="144"/>
      <c r="AN81" s="144"/>
      <c r="AO81" s="144"/>
      <c r="AP81" s="144"/>
      <c r="AQ81" s="148">
        <f t="shared" si="114"/>
        <v>0</v>
      </c>
      <c r="AU81" s="324">
        <v>0</v>
      </c>
      <c r="AV81" s="211">
        <f>'Alimento y ventas'!P244</f>
        <v>0</v>
      </c>
      <c r="AW81" s="211">
        <f>'Alimento y ventas'!Q244</f>
        <v>0</v>
      </c>
      <c r="AX81" s="211">
        <f>'Alimento y ventas'!R244</f>
        <v>0</v>
      </c>
      <c r="AY81" s="211">
        <f>'Alimento y ventas'!S244</f>
        <v>0</v>
      </c>
      <c r="AZ81" s="211">
        <f>'Alimento y ventas'!T244</f>
        <v>0</v>
      </c>
      <c r="BA81" s="211">
        <f>'Alimento y ventas'!U244</f>
        <v>0</v>
      </c>
      <c r="BB81" s="211">
        <f>'Alimento y ventas'!V244</f>
        <v>0</v>
      </c>
      <c r="BC81" s="211">
        <f>'Alimento y ventas'!W244</f>
        <v>0</v>
      </c>
      <c r="BD81" s="211">
        <f>'Alimento y ventas'!X244</f>
        <v>0</v>
      </c>
      <c r="BE81" s="211">
        <f>'Alimento y ventas'!Y244</f>
        <v>0</v>
      </c>
      <c r="BF81" s="211">
        <f>'Alimento y ventas'!Z244*0</f>
        <v>0</v>
      </c>
      <c r="BG81" s="148">
        <f t="shared" si="119"/>
        <v>0</v>
      </c>
      <c r="BH81" s="160"/>
      <c r="BJ81" s="294">
        <f>'Alimento y ventas'!AA244*0+1847.26</f>
        <v>1847.26</v>
      </c>
      <c r="BK81" s="211">
        <f>'Alimento y ventas'!AB244</f>
        <v>0</v>
      </c>
      <c r="BL81" s="211">
        <f>'Alimento y ventas'!AC244</f>
        <v>0</v>
      </c>
      <c r="BM81" s="211">
        <f>'Alimento y ventas'!AD244</f>
        <v>0</v>
      </c>
      <c r="BN81" s="211">
        <f>'Alimento y ventas'!AE244</f>
        <v>0</v>
      </c>
      <c r="BO81" s="211">
        <f>'Alimento y ventas'!AF244</f>
        <v>0</v>
      </c>
      <c r="BP81" s="211">
        <f>'Alimento y ventas'!AG244*0</f>
        <v>0</v>
      </c>
      <c r="BQ81" s="211">
        <f>'Alimento y ventas'!AH244*0</f>
        <v>0</v>
      </c>
      <c r="BR81" s="211">
        <f>'Alimento y ventas'!AI244</f>
        <v>0</v>
      </c>
      <c r="BS81" s="230">
        <f>'Alimento y ventas'!AJ244</f>
        <v>0</v>
      </c>
      <c r="BT81" s="169">
        <f>'Alimento y ventas'!AK244</f>
        <v>0</v>
      </c>
      <c r="BU81" s="169">
        <f>'Alimento y ventas'!AL244</f>
        <v>0</v>
      </c>
      <c r="BV81" s="148">
        <f t="shared" si="115"/>
        <v>1847.26</v>
      </c>
      <c r="BY81" s="228">
        <f>'Alimento y ventas'!AM244</f>
        <v>220.76999999999998</v>
      </c>
      <c r="BZ81" s="169">
        <f>'Alimento y ventas'!AN244</f>
        <v>0</v>
      </c>
      <c r="CA81" s="169">
        <f>'Alimento y ventas'!AO244</f>
        <v>0</v>
      </c>
      <c r="CB81" s="169">
        <f>'Alimento y ventas'!AP244</f>
        <v>0</v>
      </c>
      <c r="CC81" s="169">
        <f>'Alimento y ventas'!AQ244</f>
        <v>0</v>
      </c>
      <c r="CD81" s="169">
        <f>'Alimento y ventas'!AR244</f>
        <v>0</v>
      </c>
      <c r="CE81" s="169">
        <f>'Alimento y ventas'!AS244</f>
        <v>220.76999999999998</v>
      </c>
      <c r="CF81" s="169">
        <f>'Alimento y ventas'!AT244</f>
        <v>0</v>
      </c>
      <c r="CG81" s="169">
        <f>'Alimento y ventas'!AU244</f>
        <v>0</v>
      </c>
      <c r="CH81" s="169">
        <f>'Alimento y ventas'!AV244</f>
        <v>0</v>
      </c>
      <c r="CI81" s="169">
        <f>'Alimento y ventas'!AW244</f>
        <v>0</v>
      </c>
      <c r="CJ81" s="169">
        <f>'Alimento y ventas'!AX244</f>
        <v>0</v>
      </c>
      <c r="CK81" s="148">
        <f t="shared" si="116"/>
        <v>441.53999999999996</v>
      </c>
      <c r="CN81" s="228">
        <f>'Alimento y ventas'!AY244</f>
        <v>216.68349999999998</v>
      </c>
      <c r="CO81" s="169">
        <f>'Alimento y ventas'!AZ244</f>
        <v>0</v>
      </c>
      <c r="CP81" s="169">
        <f>'Alimento y ventas'!BA244</f>
        <v>0</v>
      </c>
      <c r="CQ81" s="169">
        <f>'Alimento y ventas'!BB244</f>
        <v>0</v>
      </c>
      <c r="CR81" s="169">
        <f>'Alimento y ventas'!BC244</f>
        <v>0</v>
      </c>
      <c r="CS81" s="169">
        <f>'Alimento y ventas'!BD244</f>
        <v>0</v>
      </c>
      <c r="CT81" s="169">
        <f>'Alimento y ventas'!BE244</f>
        <v>216.68349999999998</v>
      </c>
      <c r="CU81" s="169">
        <f>'Alimento y ventas'!BF244</f>
        <v>0</v>
      </c>
      <c r="CV81" s="169">
        <f>'Alimento y ventas'!BG244</f>
        <v>0</v>
      </c>
      <c r="CW81" s="169">
        <f>'Alimento y ventas'!BH244</f>
        <v>0</v>
      </c>
      <c r="CX81" s="169">
        <f>'Alimento y ventas'!BI244</f>
        <v>0</v>
      </c>
      <c r="CY81" s="169">
        <f>'Alimento y ventas'!BJ244</f>
        <v>0</v>
      </c>
      <c r="CZ81" s="148">
        <f t="shared" si="117"/>
        <v>433.36699999999996</v>
      </c>
      <c r="DB81" s="142"/>
      <c r="DC81" s="306"/>
    </row>
    <row r="82" spans="2:107">
      <c r="B82" s="143" t="s">
        <v>426</v>
      </c>
      <c r="C82" s="145"/>
      <c r="D82" s="203"/>
      <c r="E82" s="203"/>
      <c r="F82" s="203"/>
      <c r="G82" s="140"/>
      <c r="H82" s="203"/>
      <c r="I82" s="266"/>
      <c r="J82" s="266"/>
      <c r="K82" s="146"/>
      <c r="L82" s="144"/>
      <c r="M82" s="211"/>
      <c r="N82" s="146"/>
      <c r="O82" s="148">
        <f t="shared" si="118"/>
        <v>0</v>
      </c>
      <c r="P82" s="225"/>
      <c r="Q82" s="147"/>
      <c r="R82" s="147"/>
      <c r="S82" s="147"/>
      <c r="T82" s="147"/>
      <c r="U82" s="305"/>
      <c r="V82" s="147"/>
      <c r="W82" s="147"/>
      <c r="X82" s="147"/>
      <c r="Y82" s="147"/>
      <c r="Z82" s="147"/>
      <c r="AA82" s="147"/>
      <c r="AB82" s="148">
        <f t="shared" si="113"/>
        <v>0</v>
      </c>
      <c r="AE82" s="162"/>
      <c r="AF82" s="144"/>
      <c r="AG82" s="144"/>
      <c r="AH82" s="144"/>
      <c r="AI82" s="144"/>
      <c r="AJ82" s="144"/>
      <c r="AK82" s="144"/>
      <c r="AL82" s="144"/>
      <c r="AM82" s="144"/>
      <c r="AN82" s="144"/>
      <c r="AO82" s="144"/>
      <c r="AP82" s="144"/>
      <c r="AQ82" s="148">
        <f t="shared" si="114"/>
        <v>0</v>
      </c>
      <c r="AU82" s="324">
        <v>0</v>
      </c>
      <c r="AV82" s="211">
        <f>'Alimento y ventas'!P251*0</f>
        <v>0</v>
      </c>
      <c r="AW82" s="144">
        <f>'Alimento y ventas'!Q251+2015.6</f>
        <v>2015.6</v>
      </c>
      <c r="AX82" s="211">
        <f>'Alimento y ventas'!R251</f>
        <v>0</v>
      </c>
      <c r="AY82" s="211">
        <f>'Alimento y ventas'!S251</f>
        <v>0</v>
      </c>
      <c r="AZ82" s="211">
        <f>'Alimento y ventas'!T251</f>
        <v>0</v>
      </c>
      <c r="BA82" s="211">
        <f>'Alimento y ventas'!U251</f>
        <v>0</v>
      </c>
      <c r="BB82" s="144">
        <f>'Alimento y ventas'!V251+5838.02</f>
        <v>5838.02</v>
      </c>
      <c r="BC82" s="144">
        <f>'Alimento y ventas'!W251*0+5474.29</f>
        <v>5474.29</v>
      </c>
      <c r="BD82" s="211">
        <f>'Alimento y ventas'!X251</f>
        <v>0</v>
      </c>
      <c r="BE82" s="211">
        <f>'Alimento y ventas'!Y251</f>
        <v>0</v>
      </c>
      <c r="BF82" s="211">
        <f>'Alimento y ventas'!Z251*0</f>
        <v>0</v>
      </c>
      <c r="BG82" s="148">
        <f>SUM(AU82:BF82)</f>
        <v>13327.91</v>
      </c>
      <c r="BH82" s="160"/>
      <c r="BJ82" s="294">
        <f>'Alimento y ventas'!AA251*0+4239.06</f>
        <v>4239.0600000000004</v>
      </c>
      <c r="BK82" s="211">
        <f>'Alimento y ventas'!AB251</f>
        <v>0</v>
      </c>
      <c r="BL82" s="211">
        <f>'Alimento y ventas'!AC251</f>
        <v>0</v>
      </c>
      <c r="BM82" s="211">
        <f>'Alimento y ventas'!AD251*0</f>
        <v>0</v>
      </c>
      <c r="BN82" s="211">
        <f>'Alimento y ventas'!AE251</f>
        <v>0</v>
      </c>
      <c r="BO82" s="211">
        <f>'Alimento y ventas'!AF251*0</f>
        <v>0</v>
      </c>
      <c r="BP82" s="211">
        <f>'Alimento y ventas'!AG251*0</f>
        <v>0</v>
      </c>
      <c r="BQ82" s="211">
        <f>'Alimento y ventas'!AH251*0</f>
        <v>0</v>
      </c>
      <c r="BR82" s="144">
        <f>'Alimento y ventas'!AI251+5067.74</f>
        <v>5067.74</v>
      </c>
      <c r="BS82" s="230">
        <f>'Alimento y ventas'!AJ251</f>
        <v>0</v>
      </c>
      <c r="BT82" s="169">
        <f>'Alimento y ventas'!AK251</f>
        <v>0</v>
      </c>
      <c r="BU82" s="169">
        <f>'Alimento y ventas'!AL251</f>
        <v>1665.54</v>
      </c>
      <c r="BV82" s="148">
        <f t="shared" si="115"/>
        <v>10972.34</v>
      </c>
      <c r="BY82" s="228">
        <f>'Alimento y ventas'!AM251</f>
        <v>4441.4400000000005</v>
      </c>
      <c r="BZ82" s="169">
        <f>'Alimento y ventas'!AN251</f>
        <v>0</v>
      </c>
      <c r="CA82" s="169">
        <f>'Alimento y ventas'!AO251</f>
        <v>0</v>
      </c>
      <c r="CB82" s="169">
        <f>'Alimento y ventas'!AP251</f>
        <v>4441.4400000000005</v>
      </c>
      <c r="CC82" s="169">
        <f>'Alimento y ventas'!AQ251</f>
        <v>0</v>
      </c>
      <c r="CD82" s="169">
        <f>'Alimento y ventas'!AR251</f>
        <v>0</v>
      </c>
      <c r="CE82" s="169">
        <f>'Alimento y ventas'!AS251</f>
        <v>0</v>
      </c>
      <c r="CF82" s="169">
        <f>'Alimento y ventas'!AT251</f>
        <v>4441.4400000000005</v>
      </c>
      <c r="CG82" s="169">
        <f>'Alimento y ventas'!AU251</f>
        <v>0</v>
      </c>
      <c r="CH82" s="169">
        <f>'Alimento y ventas'!AV251</f>
        <v>0</v>
      </c>
      <c r="CI82" s="169">
        <f>'Alimento y ventas'!AW251</f>
        <v>4441.4400000000005</v>
      </c>
      <c r="CJ82" s="169">
        <f>'Alimento y ventas'!AX251</f>
        <v>0</v>
      </c>
      <c r="CK82" s="148">
        <f t="shared" si="116"/>
        <v>17765.760000000002</v>
      </c>
      <c r="CN82" s="228">
        <f>'Alimento y ventas'!AY251</f>
        <v>0</v>
      </c>
      <c r="CO82" s="169">
        <f>'Alimento y ventas'!AZ251</f>
        <v>0</v>
      </c>
      <c r="CP82" s="169">
        <f>'Alimento y ventas'!BA251</f>
        <v>4595.2</v>
      </c>
      <c r="CQ82" s="169">
        <f>'Alimento y ventas'!BB251</f>
        <v>0</v>
      </c>
      <c r="CR82" s="169">
        <f>'Alimento y ventas'!BC251</f>
        <v>0</v>
      </c>
      <c r="CS82" s="169">
        <f>'Alimento y ventas'!BD251</f>
        <v>4595.2</v>
      </c>
      <c r="CT82" s="169">
        <f>'Alimento y ventas'!BE251</f>
        <v>0</v>
      </c>
      <c r="CU82" s="169">
        <f>'Alimento y ventas'!BF251</f>
        <v>0</v>
      </c>
      <c r="CV82" s="169">
        <f>'Alimento y ventas'!BG251</f>
        <v>0</v>
      </c>
      <c r="CW82" s="169">
        <f>'Alimento y ventas'!BH251</f>
        <v>0</v>
      </c>
      <c r="CX82" s="169">
        <f>'Alimento y ventas'!BI251</f>
        <v>4595.2</v>
      </c>
      <c r="CY82" s="169">
        <f>'Alimento y ventas'!BJ251</f>
        <v>0</v>
      </c>
      <c r="CZ82" s="148">
        <f t="shared" si="117"/>
        <v>13785.599999999999</v>
      </c>
      <c r="DB82" s="142"/>
      <c r="DC82" s="306"/>
    </row>
    <row r="83" spans="2:107">
      <c r="B83" s="265" t="s">
        <v>432</v>
      </c>
      <c r="C83" s="145"/>
      <c r="D83" s="203"/>
      <c r="E83" s="203"/>
      <c r="F83" s="203"/>
      <c r="G83" s="140"/>
      <c r="H83" s="203"/>
      <c r="I83" s="266"/>
      <c r="J83" s="266"/>
      <c r="K83" s="146"/>
      <c r="L83" s="144"/>
      <c r="M83" s="211"/>
      <c r="N83" s="146"/>
      <c r="O83" s="148">
        <f t="shared" si="118"/>
        <v>0</v>
      </c>
      <c r="P83" s="225"/>
      <c r="Q83" s="147"/>
      <c r="R83" s="147"/>
      <c r="S83" s="147"/>
      <c r="T83" s="147"/>
      <c r="U83" s="305"/>
      <c r="V83" s="147"/>
      <c r="W83" s="147"/>
      <c r="X83" s="147"/>
      <c r="Y83" s="147"/>
      <c r="Z83" s="147"/>
      <c r="AA83" s="147"/>
      <c r="AB83" s="148">
        <f t="shared" si="113"/>
        <v>0</v>
      </c>
      <c r="AE83" s="162"/>
      <c r="AF83" s="144"/>
      <c r="AG83" s="144"/>
      <c r="AH83" s="144"/>
      <c r="AI83" s="144"/>
      <c r="AJ83" s="144"/>
      <c r="AK83" s="144"/>
      <c r="AL83" s="144"/>
      <c r="AM83" s="144"/>
      <c r="AN83" s="144"/>
      <c r="AO83" s="144">
        <v>5836.84</v>
      </c>
      <c r="AP83" s="144">
        <f>+(5027.48-185.49)+4100.82+10541.75</f>
        <v>19484.559999999998</v>
      </c>
      <c r="AQ83" s="148">
        <f t="shared" si="114"/>
        <v>25321.399999999998</v>
      </c>
      <c r="AU83" s="324">
        <v>0</v>
      </c>
      <c r="AV83" s="211">
        <f>'Alimento y ventas'!P258*0</f>
        <v>0</v>
      </c>
      <c r="AW83" s="144">
        <f>'Alimento y ventas'!Q258*0+9408.2</f>
        <v>9408.2000000000007</v>
      </c>
      <c r="AX83" s="211">
        <f>'Alimento y ventas'!R258*0</f>
        <v>0</v>
      </c>
      <c r="AY83" s="144">
        <f>'Alimento y ventas'!S258*0+8315.34+8385.51</f>
        <v>16700.849999999999</v>
      </c>
      <c r="AZ83" s="144">
        <f>'Alimento y ventas'!T258*0+4157.8-725.11+4252.74-185.49</f>
        <v>7499.9400000000005</v>
      </c>
      <c r="BA83" s="211">
        <f>'Alimento y ventas'!U258</f>
        <v>0</v>
      </c>
      <c r="BB83" s="211">
        <f>'Alimento y ventas'!V258</f>
        <v>0</v>
      </c>
      <c r="BC83" s="144">
        <f>'Alimento y ventas'!W258-191.47-191.37</f>
        <v>-382.84000000000003</v>
      </c>
      <c r="BD83" s="211">
        <f>'Alimento y ventas'!X258</f>
        <v>0</v>
      </c>
      <c r="BE83" s="211">
        <f>'Alimento y ventas'!Y258</f>
        <v>0</v>
      </c>
      <c r="BF83" s="211">
        <f>'Alimento y ventas'!Z258</f>
        <v>0</v>
      </c>
      <c r="BG83" s="148">
        <f t="shared" si="119"/>
        <v>33226.15</v>
      </c>
      <c r="BH83" s="160"/>
      <c r="BJ83" s="324">
        <f>'Alimento y ventas'!AA258</f>
        <v>0</v>
      </c>
      <c r="BK83" s="144">
        <f>'Alimento y ventas'!AB258*0+3609.43</f>
        <v>3609.43</v>
      </c>
      <c r="BL83" s="203">
        <f>'Alimento y ventas'!AC258*0+5925.92+3504.77+6025.56</f>
        <v>15456.25</v>
      </c>
      <c r="BM83" s="144">
        <f>'Alimento y ventas'!AD258*0+6045.57-219.22</f>
        <v>5826.3499999999995</v>
      </c>
      <c r="BN83" s="211">
        <f>'Alimento y ventas'!AE258*0</f>
        <v>0</v>
      </c>
      <c r="BO83" s="144">
        <f>'Alimento y ventas'!AF258*0+6051.58-269.81+6112.57</f>
        <v>11894.34</v>
      </c>
      <c r="BP83" s="211">
        <f>'Alimento y ventas'!AG258</f>
        <v>0</v>
      </c>
      <c r="BQ83" s="211">
        <f>'Alimento y ventas'!AH258</f>
        <v>0</v>
      </c>
      <c r="BR83" s="211">
        <f>'Alimento y ventas'!AI258</f>
        <v>0</v>
      </c>
      <c r="BS83" s="230">
        <f>'Alimento y ventas'!AJ258</f>
        <v>0</v>
      </c>
      <c r="BT83" s="169">
        <f>'Alimento y ventas'!AK258</f>
        <v>0</v>
      </c>
      <c r="BU83" s="169">
        <f>'Alimento y ventas'!AL258</f>
        <v>0</v>
      </c>
      <c r="BV83" s="148">
        <f t="shared" si="115"/>
        <v>36786.369999999995</v>
      </c>
      <c r="BY83" s="228">
        <f>'Alimento y ventas'!AM258</f>
        <v>0</v>
      </c>
      <c r="BZ83" s="169">
        <f>'Alimento y ventas'!AN258</f>
        <v>8154.72</v>
      </c>
      <c r="CA83" s="169">
        <f>'Alimento y ventas'!AO258</f>
        <v>8154.72</v>
      </c>
      <c r="CB83" s="169">
        <f>'Alimento y ventas'!AP258</f>
        <v>8154.72</v>
      </c>
      <c r="CC83" s="169">
        <f>'Alimento y ventas'!AQ258</f>
        <v>8154.72</v>
      </c>
      <c r="CD83" s="169">
        <f>'Alimento y ventas'!AR258</f>
        <v>5096.7000000000007</v>
      </c>
      <c r="CE83" s="169">
        <f>'Alimento y ventas'!AS258</f>
        <v>0</v>
      </c>
      <c r="CF83" s="169">
        <f>'Alimento y ventas'!AT258</f>
        <v>0</v>
      </c>
      <c r="CG83" s="169">
        <f>'Alimento y ventas'!AU258</f>
        <v>0</v>
      </c>
      <c r="CH83" s="169">
        <f>'Alimento y ventas'!AV258</f>
        <v>0</v>
      </c>
      <c r="CI83" s="169">
        <f>'Alimento y ventas'!AW258</f>
        <v>0</v>
      </c>
      <c r="CJ83" s="169">
        <f>'Alimento y ventas'!AX258</f>
        <v>0</v>
      </c>
      <c r="CK83" s="148">
        <f t="shared" si="116"/>
        <v>37715.58</v>
      </c>
      <c r="CN83" s="228">
        <f>'Alimento y ventas'!AY258</f>
        <v>0</v>
      </c>
      <c r="CO83" s="169">
        <f>'Alimento y ventas'!AZ258</f>
        <v>8645.0399999999991</v>
      </c>
      <c r="CP83" s="169">
        <f>'Alimento y ventas'!BA258</f>
        <v>8645.0399999999991</v>
      </c>
      <c r="CQ83" s="169">
        <f>'Alimento y ventas'!BB258</f>
        <v>8645.0399999999991</v>
      </c>
      <c r="CR83" s="169">
        <f>'Alimento y ventas'!BC258</f>
        <v>8645.0399999999991</v>
      </c>
      <c r="CS83" s="169">
        <f>'Alimento y ventas'!BD258</f>
        <v>6123.57</v>
      </c>
      <c r="CT83" s="169">
        <f>'Alimento y ventas'!BE258</f>
        <v>0</v>
      </c>
      <c r="CU83" s="169">
        <f>'Alimento y ventas'!BF258</f>
        <v>0</v>
      </c>
      <c r="CV83" s="169">
        <f>'Alimento y ventas'!BG258</f>
        <v>0</v>
      </c>
      <c r="CW83" s="169">
        <f>'Alimento y ventas'!BH258</f>
        <v>0</v>
      </c>
      <c r="CX83" s="169">
        <f>'Alimento y ventas'!BI258</f>
        <v>0</v>
      </c>
      <c r="CY83" s="169">
        <f>'Alimento y ventas'!BJ258</f>
        <v>0</v>
      </c>
      <c r="CZ83" s="148">
        <f t="shared" si="117"/>
        <v>40703.729999999996</v>
      </c>
      <c r="DB83" s="142"/>
      <c r="DC83" s="306"/>
    </row>
    <row r="84" spans="2:107">
      <c r="B84" s="127" t="s">
        <v>427</v>
      </c>
      <c r="C84" s="145"/>
      <c r="D84" s="203"/>
      <c r="E84" s="203"/>
      <c r="F84" s="203"/>
      <c r="G84" s="140"/>
      <c r="H84" s="203"/>
      <c r="I84" s="266"/>
      <c r="J84" s="266"/>
      <c r="K84" s="146"/>
      <c r="L84" s="144"/>
      <c r="M84" s="211"/>
      <c r="N84" s="146"/>
      <c r="O84" s="148">
        <f t="shared" si="118"/>
        <v>0</v>
      </c>
      <c r="P84" s="225"/>
      <c r="Q84" s="147"/>
      <c r="R84" s="147"/>
      <c r="S84" s="147"/>
      <c r="T84" s="147"/>
      <c r="U84" s="305"/>
      <c r="V84" s="147"/>
      <c r="W84" s="147"/>
      <c r="X84" s="147"/>
      <c r="Y84" s="147"/>
      <c r="Z84" s="147"/>
      <c r="AA84" s="147"/>
      <c r="AB84" s="148">
        <f t="shared" si="113"/>
        <v>0</v>
      </c>
      <c r="AE84" s="162"/>
      <c r="AF84" s="144"/>
      <c r="AG84" s="144"/>
      <c r="AH84" s="144"/>
      <c r="AI84" s="144">
        <f>10234.68</f>
        <v>10234.68</v>
      </c>
      <c r="AJ84" s="144"/>
      <c r="AK84" s="144"/>
      <c r="AL84" s="144"/>
      <c r="AM84" s="144"/>
      <c r="AN84" s="144"/>
      <c r="AO84" s="144"/>
      <c r="AP84" s="144">
        <f>11194.8</f>
        <v>11194.8</v>
      </c>
      <c r="AQ84" s="148">
        <f t="shared" si="114"/>
        <v>21429.48</v>
      </c>
      <c r="AU84" s="324">
        <v>0</v>
      </c>
      <c r="AV84" s="211">
        <f>'Alimento y ventas'!P265</f>
        <v>0</v>
      </c>
      <c r="AW84" s="211">
        <f>'Alimento y ventas'!Q265</f>
        <v>0</v>
      </c>
      <c r="AX84" s="211">
        <f>'Alimento y ventas'!R265*0</f>
        <v>0</v>
      </c>
      <c r="AY84" s="211">
        <f>'Alimento y ventas'!S265*0</f>
        <v>0</v>
      </c>
      <c r="AZ84" s="211">
        <f>'Alimento y ventas'!T265</f>
        <v>0</v>
      </c>
      <c r="BA84" s="211">
        <f>'Alimento y ventas'!U265</f>
        <v>0</v>
      </c>
      <c r="BB84" s="211">
        <f>'Alimento y ventas'!V265</f>
        <v>0</v>
      </c>
      <c r="BC84" s="211">
        <f>'Alimento y ventas'!W265*0</f>
        <v>0</v>
      </c>
      <c r="BD84" s="144">
        <f>'Alimento y ventas'!X265+968</f>
        <v>968</v>
      </c>
      <c r="BE84" s="211">
        <f>'Alimento y ventas'!Y265</f>
        <v>0</v>
      </c>
      <c r="BF84" s="211">
        <f>'Alimento y ventas'!Z265</f>
        <v>0</v>
      </c>
      <c r="BG84" s="148">
        <f t="shared" si="119"/>
        <v>968</v>
      </c>
      <c r="BH84" s="160"/>
      <c r="BJ84" s="324">
        <f>'Alimento y ventas'!AA265*0</f>
        <v>0</v>
      </c>
      <c r="BK84" s="211">
        <f>'Alimento y ventas'!AB265*0</f>
        <v>0</v>
      </c>
      <c r="BL84" s="211">
        <f>'Alimento y ventas'!AC265*0</f>
        <v>0</v>
      </c>
      <c r="BM84" s="211">
        <f>'Alimento y ventas'!AD265</f>
        <v>0</v>
      </c>
      <c r="BN84" s="211">
        <f>'Alimento y ventas'!AE265</f>
        <v>0</v>
      </c>
      <c r="BO84" s="211">
        <f>'Alimento y ventas'!AF265</f>
        <v>0</v>
      </c>
      <c r="BP84" s="211">
        <f>'Alimento y ventas'!AG265</f>
        <v>0</v>
      </c>
      <c r="BQ84" s="211">
        <f>'Alimento y ventas'!AH265</f>
        <v>0</v>
      </c>
      <c r="BR84" s="211">
        <f>'Alimento y ventas'!AI265</f>
        <v>0</v>
      </c>
      <c r="BS84" s="230">
        <f>'Alimento y ventas'!AJ265</f>
        <v>0</v>
      </c>
      <c r="BT84" s="169">
        <f>'Alimento y ventas'!AK265</f>
        <v>0</v>
      </c>
      <c r="BU84" s="169">
        <f>'Alimento y ventas'!AL265</f>
        <v>0</v>
      </c>
      <c r="BV84" s="148">
        <f t="shared" si="115"/>
        <v>0</v>
      </c>
      <c r="BY84" s="228">
        <f>'Alimento y ventas'!AM265</f>
        <v>0</v>
      </c>
      <c r="BZ84" s="169">
        <f>'Alimento y ventas'!AN265</f>
        <v>237.5</v>
      </c>
      <c r="CA84" s="169">
        <f>'Alimento y ventas'!AO265</f>
        <v>0</v>
      </c>
      <c r="CB84" s="169">
        <f>'Alimento y ventas'!AP265</f>
        <v>0</v>
      </c>
      <c r="CC84" s="169">
        <f>'Alimento y ventas'!AQ265</f>
        <v>0</v>
      </c>
      <c r="CD84" s="169">
        <f>'Alimento y ventas'!AR265</f>
        <v>0</v>
      </c>
      <c r="CE84" s="169">
        <f>'Alimento y ventas'!AS265</f>
        <v>0</v>
      </c>
      <c r="CF84" s="169">
        <f>'Alimento y ventas'!AT265</f>
        <v>475</v>
      </c>
      <c r="CG84" s="169">
        <f>'Alimento y ventas'!AU265</f>
        <v>0</v>
      </c>
      <c r="CH84" s="169">
        <f>'Alimento y ventas'!AV265</f>
        <v>0</v>
      </c>
      <c r="CI84" s="169">
        <f>'Alimento y ventas'!AW265</f>
        <v>475</v>
      </c>
      <c r="CJ84" s="169">
        <f>'Alimento y ventas'!AX265</f>
        <v>0</v>
      </c>
      <c r="CK84" s="148">
        <f t="shared" si="116"/>
        <v>1187.5</v>
      </c>
      <c r="CN84" s="228">
        <f>'Alimento y ventas'!AY265</f>
        <v>0</v>
      </c>
      <c r="CO84" s="169">
        <f>'Alimento y ventas'!AZ265</f>
        <v>0</v>
      </c>
      <c r="CP84" s="169">
        <f>'Alimento y ventas'!BA265</f>
        <v>0</v>
      </c>
      <c r="CQ84" s="169">
        <f>'Alimento y ventas'!BB265</f>
        <v>0</v>
      </c>
      <c r="CR84" s="169">
        <f>'Alimento y ventas'!BC265</f>
        <v>0</v>
      </c>
      <c r="CS84" s="169">
        <f>'Alimento y ventas'!BD265</f>
        <v>0</v>
      </c>
      <c r="CT84" s="169">
        <f>'Alimento y ventas'!BE265</f>
        <v>450</v>
      </c>
      <c r="CU84" s="169">
        <f>'Alimento y ventas'!BF265</f>
        <v>0</v>
      </c>
      <c r="CV84" s="169">
        <f>'Alimento y ventas'!BG265</f>
        <v>0</v>
      </c>
      <c r="CW84" s="169">
        <f>'Alimento y ventas'!BH265</f>
        <v>315</v>
      </c>
      <c r="CX84" s="169">
        <f>'Alimento y ventas'!BI265</f>
        <v>0</v>
      </c>
      <c r="CY84" s="169">
        <f>'Alimento y ventas'!BJ265</f>
        <v>0</v>
      </c>
      <c r="CZ84" s="148">
        <f t="shared" si="117"/>
        <v>765</v>
      </c>
      <c r="DB84" s="142"/>
      <c r="DC84" s="306"/>
    </row>
    <row r="85" spans="2:107">
      <c r="B85" s="127" t="s">
        <v>438</v>
      </c>
      <c r="C85" s="145"/>
      <c r="D85" s="203"/>
      <c r="E85" s="203"/>
      <c r="F85" s="203"/>
      <c r="G85" s="140"/>
      <c r="H85" s="203"/>
      <c r="I85" s="266"/>
      <c r="J85" s="266"/>
      <c r="K85" s="146"/>
      <c r="L85" s="144"/>
      <c r="M85" s="211"/>
      <c r="N85" s="146"/>
      <c r="O85" s="148">
        <f t="shared" si="118"/>
        <v>0</v>
      </c>
      <c r="P85" s="225"/>
      <c r="Q85" s="147"/>
      <c r="R85" s="147"/>
      <c r="S85" s="147"/>
      <c r="T85" s="147"/>
      <c r="U85" s="305"/>
      <c r="V85" s="147"/>
      <c r="W85" s="147"/>
      <c r="X85" s="147"/>
      <c r="Y85" s="147"/>
      <c r="Z85" s="147"/>
      <c r="AA85" s="147"/>
      <c r="AB85" s="148">
        <f t="shared" si="113"/>
        <v>0</v>
      </c>
      <c r="AE85" s="162"/>
      <c r="AF85" s="144"/>
      <c r="AG85" s="144"/>
      <c r="AH85" s="144"/>
      <c r="AI85" s="144">
        <f>9671.83</f>
        <v>9671.83</v>
      </c>
      <c r="AJ85" s="144"/>
      <c r="AK85" s="144"/>
      <c r="AL85" s="144"/>
      <c r="AM85" s="144"/>
      <c r="AN85" s="144"/>
      <c r="AO85" s="144"/>
      <c r="AP85" s="144">
        <f>5233.25+10214.42</f>
        <v>15447.67</v>
      </c>
      <c r="AQ85" s="148">
        <f>SUM(AE85:AP85)</f>
        <v>25119.5</v>
      </c>
      <c r="AU85" s="324">
        <v>0</v>
      </c>
      <c r="AV85" s="144">
        <f>'Alimento y ventas'!P272*0+7255.25</f>
        <v>7255.25</v>
      </c>
      <c r="AW85" s="211">
        <f>'Alimento y ventas'!Q272</f>
        <v>0</v>
      </c>
      <c r="AX85" s="211">
        <f>'Alimento y ventas'!R272</f>
        <v>0</v>
      </c>
      <c r="AY85" s="211">
        <f>'Alimento y ventas'!S272*0</f>
        <v>0</v>
      </c>
      <c r="AZ85" s="211">
        <f>'Alimento y ventas'!T272</f>
        <v>0</v>
      </c>
      <c r="BA85" s="211">
        <f>'Alimento y ventas'!U272</f>
        <v>0</v>
      </c>
      <c r="BB85" s="144">
        <f>'Alimento y ventas'!V272+7282.08+6636.06</f>
        <v>13918.14</v>
      </c>
      <c r="BC85" s="211">
        <f>'Alimento y ventas'!W272*0</f>
        <v>0</v>
      </c>
      <c r="BD85" s="211">
        <f>'Alimento y ventas'!X272</f>
        <v>0</v>
      </c>
      <c r="BE85" s="211">
        <f>'Alimento y ventas'!Y272*0</f>
        <v>0</v>
      </c>
      <c r="BF85" s="144">
        <f>'Alimento y ventas'!Z272*0+7452.63</f>
        <v>7452.63</v>
      </c>
      <c r="BG85" s="148">
        <f t="shared" si="119"/>
        <v>28626.02</v>
      </c>
      <c r="BH85" s="160"/>
      <c r="BJ85" s="294">
        <f>'Alimento y ventas'!AA272*0+6873.19+6801.7</f>
        <v>13674.89</v>
      </c>
      <c r="BK85" s="211">
        <f>'Alimento y ventas'!AB272*0</f>
        <v>0</v>
      </c>
      <c r="BL85" s="211">
        <f>'Alimento y ventas'!AC272*0</f>
        <v>0</v>
      </c>
      <c r="BM85" s="203">
        <f>'Alimento y ventas'!AD272+6957.14</f>
        <v>6957.14</v>
      </c>
      <c r="BN85" s="144">
        <f>'Alimento y ventas'!AE272*0+7239.34</f>
        <v>7239.34</v>
      </c>
      <c r="BO85" s="211">
        <f>'Alimento y ventas'!AF272</f>
        <v>0</v>
      </c>
      <c r="BP85" s="144">
        <f>'Alimento y ventas'!AG272*0+7046.08</f>
        <v>7046.08</v>
      </c>
      <c r="BQ85" s="211">
        <f>'Alimento y ventas'!AH272</f>
        <v>0</v>
      </c>
      <c r="BR85" s="144">
        <f>'Alimento y ventas'!AI272*0+7280.02+12.64</f>
        <v>7292.6600000000008</v>
      </c>
      <c r="BS85" s="230">
        <f>'Alimento y ventas'!AJ272</f>
        <v>0</v>
      </c>
      <c r="BT85" s="169">
        <f>'Alimento y ventas'!AK272+7587.44</f>
        <v>12287.439999999999</v>
      </c>
      <c r="BU85" s="169">
        <f>'Alimento y ventas'!AL272</f>
        <v>0</v>
      </c>
      <c r="BV85" s="148">
        <f t="shared" si="115"/>
        <v>54497.55</v>
      </c>
      <c r="BY85" s="228">
        <f>'Alimento y ventas'!AM272</f>
        <v>6768</v>
      </c>
      <c r="BZ85" s="169">
        <f>'Alimento y ventas'!AN272</f>
        <v>6768</v>
      </c>
      <c r="CA85" s="169">
        <f>'Alimento y ventas'!AO272</f>
        <v>6768</v>
      </c>
      <c r="CB85" s="169">
        <f>'Alimento y ventas'!AP272</f>
        <v>6768</v>
      </c>
      <c r="CC85" s="169">
        <f>'Alimento y ventas'!AQ272</f>
        <v>0</v>
      </c>
      <c r="CD85" s="169">
        <f>'Alimento y ventas'!AR272</f>
        <v>0</v>
      </c>
      <c r="CE85" s="169">
        <f>'Alimento y ventas'!AS272</f>
        <v>0</v>
      </c>
      <c r="CF85" s="169">
        <f>'Alimento y ventas'!AT272</f>
        <v>0</v>
      </c>
      <c r="CG85" s="169">
        <f>'Alimento y ventas'!AU272</f>
        <v>6768</v>
      </c>
      <c r="CH85" s="169">
        <f>'Alimento y ventas'!AV272</f>
        <v>0</v>
      </c>
      <c r="CI85" s="169">
        <f>'Alimento y ventas'!AW272</f>
        <v>0</v>
      </c>
      <c r="CJ85" s="169">
        <f>'Alimento y ventas'!AX272</f>
        <v>6768</v>
      </c>
      <c r="CK85" s="148">
        <f t="shared" si="116"/>
        <v>40608</v>
      </c>
      <c r="CN85" s="228">
        <f>'Alimento y ventas'!AY272</f>
        <v>0</v>
      </c>
      <c r="CO85" s="169">
        <f>'Alimento y ventas'!AZ272</f>
        <v>6552</v>
      </c>
      <c r="CP85" s="169">
        <f>'Alimento y ventas'!BA272</f>
        <v>0</v>
      </c>
      <c r="CQ85" s="169">
        <f>'Alimento y ventas'!BB272</f>
        <v>0</v>
      </c>
      <c r="CR85" s="169">
        <f>'Alimento y ventas'!BC272</f>
        <v>0</v>
      </c>
      <c r="CS85" s="169">
        <f>'Alimento y ventas'!BD272</f>
        <v>0</v>
      </c>
      <c r="CT85" s="169">
        <f>'Alimento y ventas'!BE272</f>
        <v>0</v>
      </c>
      <c r="CU85" s="169">
        <f>'Alimento y ventas'!BF272</f>
        <v>0</v>
      </c>
      <c r="CV85" s="169">
        <f>'Alimento y ventas'!BG272</f>
        <v>6552</v>
      </c>
      <c r="CW85" s="169">
        <f>'Alimento y ventas'!BH272</f>
        <v>0</v>
      </c>
      <c r="CX85" s="169">
        <f>'Alimento y ventas'!BI272</f>
        <v>0</v>
      </c>
      <c r="CY85" s="169">
        <f>'Alimento y ventas'!BJ272</f>
        <v>1820</v>
      </c>
      <c r="CZ85" s="148">
        <f t="shared" si="117"/>
        <v>14924</v>
      </c>
      <c r="DB85" s="142"/>
      <c r="DC85" s="306"/>
    </row>
    <row r="86" spans="2:107">
      <c r="B86" s="127" t="s">
        <v>435</v>
      </c>
      <c r="C86" s="145"/>
      <c r="D86" s="203"/>
      <c r="E86" s="203"/>
      <c r="F86" s="203"/>
      <c r="G86" s="140"/>
      <c r="H86" s="203"/>
      <c r="I86" s="266"/>
      <c r="J86" s="266"/>
      <c r="K86" s="146"/>
      <c r="L86" s="144"/>
      <c r="M86" s="211"/>
      <c r="N86" s="146"/>
      <c r="O86" s="148">
        <f t="shared" si="118"/>
        <v>0</v>
      </c>
      <c r="P86" s="225"/>
      <c r="Q86" s="147"/>
      <c r="R86" s="147"/>
      <c r="S86" s="147"/>
      <c r="T86" s="147"/>
      <c r="U86" s="305"/>
      <c r="V86" s="147"/>
      <c r="W86" s="147"/>
      <c r="X86" s="147"/>
      <c r="Y86" s="147"/>
      <c r="Z86" s="147"/>
      <c r="AA86" s="147"/>
      <c r="AB86" s="148">
        <f t="shared" si="113"/>
        <v>0</v>
      </c>
      <c r="AE86" s="162"/>
      <c r="AF86" s="144"/>
      <c r="AG86" s="144"/>
      <c r="AH86" s="144"/>
      <c r="AI86" s="144"/>
      <c r="AJ86" s="144"/>
      <c r="AK86" s="144"/>
      <c r="AL86" s="144"/>
      <c r="AM86" s="144"/>
      <c r="AN86" s="144"/>
      <c r="AO86" s="144"/>
      <c r="AP86" s="144"/>
      <c r="AQ86" s="148">
        <f>SUM(AE86:AP86)</f>
        <v>0</v>
      </c>
      <c r="AU86" s="324">
        <v>0</v>
      </c>
      <c r="AV86" s="211">
        <v>0</v>
      </c>
      <c r="AW86" s="144">
        <f>'Alimento y ventas'!Q279*0+6012.75</f>
        <v>6012.75</v>
      </c>
      <c r="AX86" s="211">
        <f>'Alimento y ventas'!R279</f>
        <v>0</v>
      </c>
      <c r="AY86" s="144">
        <f>'Alimento y ventas'!S279+763.4</f>
        <v>763.4</v>
      </c>
      <c r="AZ86" s="211">
        <f>'Alimento y ventas'!T279</f>
        <v>0</v>
      </c>
      <c r="BA86" s="211">
        <f>'Alimento y ventas'!U279</f>
        <v>0</v>
      </c>
      <c r="BB86" s="211">
        <f>'Alimento y ventas'!V279</f>
        <v>0</v>
      </c>
      <c r="BC86" s="211">
        <f>'Alimento y ventas'!W279</f>
        <v>0</v>
      </c>
      <c r="BD86" s="211">
        <f>'Alimento y ventas'!X279</f>
        <v>0</v>
      </c>
      <c r="BE86" s="211">
        <f>'Alimento y ventas'!Y279</f>
        <v>0</v>
      </c>
      <c r="BF86" s="211">
        <f>'Alimento y ventas'!Z279</f>
        <v>0</v>
      </c>
      <c r="BG86" s="148">
        <f t="shared" si="119"/>
        <v>6776.15</v>
      </c>
      <c r="BH86" s="160"/>
      <c r="BJ86" s="324">
        <f>'Alimento y ventas'!AA279</f>
        <v>0</v>
      </c>
      <c r="BK86" s="211">
        <f>'Alimento y ventas'!AB279*0</f>
        <v>0</v>
      </c>
      <c r="BL86" s="144">
        <f>'Alimento y ventas'!AC279*0+1889.9</f>
        <v>1889.9</v>
      </c>
      <c r="BM86" s="144">
        <f>'Alimento y ventas'!AD279*0+2440.48</f>
        <v>2440.48</v>
      </c>
      <c r="BN86" s="144">
        <f>'Alimento y ventas'!AE279*0+5712.94</f>
        <v>5712.94</v>
      </c>
      <c r="BO86" s="211">
        <f>'Alimento y ventas'!AF279</f>
        <v>0</v>
      </c>
      <c r="BP86" s="144">
        <f>'Alimento y ventas'!AG279+5467.92</f>
        <v>5467.92</v>
      </c>
      <c r="BQ86" s="211">
        <f>'Alimento y ventas'!AH279</f>
        <v>0</v>
      </c>
      <c r="BR86" s="211">
        <f>'Alimento y ventas'!AI279</f>
        <v>0</v>
      </c>
      <c r="BS86" s="230">
        <f>'Alimento y ventas'!AJ279</f>
        <v>0</v>
      </c>
      <c r="BT86" s="169">
        <f>'Alimento y ventas'!AK279</f>
        <v>0</v>
      </c>
      <c r="BU86" s="169">
        <f>'Alimento y ventas'!AL279</f>
        <v>0</v>
      </c>
      <c r="BV86" s="148">
        <f t="shared" si="115"/>
        <v>15511.24</v>
      </c>
      <c r="BY86" s="228"/>
      <c r="BZ86" s="169"/>
      <c r="CA86" s="169"/>
      <c r="CB86" s="169"/>
      <c r="CC86" s="169"/>
      <c r="CD86" s="169"/>
      <c r="CE86" s="169"/>
      <c r="CF86" s="169"/>
      <c r="CG86" s="169"/>
      <c r="CH86" s="169"/>
      <c r="CI86" s="169"/>
      <c r="CJ86" s="169"/>
      <c r="CK86" s="148">
        <f t="shared" si="116"/>
        <v>0</v>
      </c>
      <c r="CN86" s="228"/>
      <c r="CO86" s="169"/>
      <c r="CP86" s="169"/>
      <c r="CQ86" s="169"/>
      <c r="CR86" s="169"/>
      <c r="CS86" s="169"/>
      <c r="CT86" s="169"/>
      <c r="CU86" s="169"/>
      <c r="CV86" s="169"/>
      <c r="CW86" s="169"/>
      <c r="CX86" s="169"/>
      <c r="CY86" s="169"/>
      <c r="CZ86" s="148">
        <f t="shared" si="117"/>
        <v>0</v>
      </c>
      <c r="DB86" s="142"/>
      <c r="DC86" s="306"/>
    </row>
    <row r="87" spans="2:107">
      <c r="B87" s="265"/>
      <c r="C87" s="140"/>
      <c r="D87" s="140"/>
      <c r="E87" s="203"/>
      <c r="F87" s="140"/>
      <c r="G87" s="140"/>
      <c r="H87" s="147"/>
      <c r="I87" s="140"/>
      <c r="J87" s="140"/>
      <c r="K87" s="140"/>
      <c r="L87" s="140"/>
      <c r="M87" s="147"/>
      <c r="N87" s="146"/>
      <c r="O87" s="148">
        <f t="shared" ref="O87" si="120">SUM(C87:N87)</f>
        <v>0</v>
      </c>
      <c r="P87" s="246"/>
      <c r="Q87" s="146"/>
      <c r="R87" s="147"/>
      <c r="S87" s="147"/>
      <c r="T87" s="147"/>
      <c r="U87" s="147"/>
      <c r="V87" s="147"/>
      <c r="W87" s="147"/>
      <c r="X87" s="147"/>
      <c r="Y87" s="146"/>
      <c r="Z87" s="146"/>
      <c r="AA87" s="146"/>
      <c r="AB87" s="148"/>
      <c r="AE87" s="162"/>
      <c r="AF87" s="144"/>
      <c r="AG87" s="144"/>
      <c r="AH87" s="144"/>
      <c r="AI87" s="144"/>
      <c r="AJ87" s="144"/>
      <c r="AK87" s="144"/>
      <c r="AL87" s="144"/>
      <c r="AM87" s="144"/>
      <c r="AN87" s="144"/>
      <c r="AO87" s="144"/>
      <c r="AP87" s="144"/>
      <c r="AQ87" s="148">
        <f t="shared" ref="AQ87" si="121">SUM(AE87:AP87)</f>
        <v>0</v>
      </c>
      <c r="AU87" s="324"/>
      <c r="AV87" s="211"/>
      <c r="AW87" s="147"/>
      <c r="AX87" s="147"/>
      <c r="AY87" s="211"/>
      <c r="AZ87" s="147"/>
      <c r="BA87" s="147"/>
      <c r="BB87" s="147"/>
      <c r="BC87" s="211"/>
      <c r="BD87" s="147"/>
      <c r="BE87" s="211"/>
      <c r="BF87" s="147"/>
      <c r="BG87" s="148">
        <f t="shared" si="119"/>
        <v>0</v>
      </c>
      <c r="BH87" s="160"/>
      <c r="BJ87" s="225"/>
      <c r="BK87" s="147"/>
      <c r="BL87" s="147"/>
      <c r="BM87" s="147"/>
      <c r="BN87" s="147"/>
      <c r="BO87" s="305"/>
      <c r="BP87" s="147"/>
      <c r="BQ87" s="147"/>
      <c r="BR87" s="211"/>
      <c r="BS87" s="230"/>
      <c r="BT87" s="169"/>
      <c r="BU87" s="169"/>
      <c r="BV87" s="148">
        <f t="shared" si="115"/>
        <v>0</v>
      </c>
      <c r="BY87" s="228"/>
      <c r="BZ87" s="169"/>
      <c r="CA87" s="169"/>
      <c r="CB87" s="169"/>
      <c r="CC87" s="169"/>
      <c r="CD87" s="307"/>
      <c r="CE87" s="169"/>
      <c r="CF87" s="169"/>
      <c r="CG87" s="169"/>
      <c r="CH87" s="169"/>
      <c r="CI87" s="169"/>
      <c r="CJ87" s="169"/>
      <c r="CK87" s="148">
        <f t="shared" ref="CK87" si="122">SUM(BY87:CJ87)</f>
        <v>0</v>
      </c>
      <c r="CN87" s="228"/>
      <c r="CO87" s="169"/>
      <c r="CP87" s="169"/>
      <c r="CQ87" s="169"/>
      <c r="CR87" s="169"/>
      <c r="CS87" s="307"/>
      <c r="CT87" s="169"/>
      <c r="CU87" s="169"/>
      <c r="CV87" s="169"/>
      <c r="CW87" s="169"/>
      <c r="CX87" s="169"/>
      <c r="CY87" s="169"/>
      <c r="CZ87" s="148">
        <f t="shared" si="117"/>
        <v>0</v>
      </c>
      <c r="DB87" s="142"/>
      <c r="DC87" s="143"/>
    </row>
    <row r="88" spans="2:107">
      <c r="B88" s="308" t="s">
        <v>98</v>
      </c>
      <c r="C88" s="309"/>
      <c r="D88" s="310"/>
      <c r="E88" s="311"/>
      <c r="F88" s="312"/>
      <c r="G88" s="312"/>
      <c r="H88" s="312"/>
      <c r="I88" s="312"/>
      <c r="J88" s="312"/>
      <c r="K88" s="312"/>
      <c r="L88" s="312"/>
      <c r="M88" s="283"/>
      <c r="N88" s="312"/>
      <c r="O88" s="290">
        <f t="shared" si="118"/>
        <v>0</v>
      </c>
      <c r="P88" s="313"/>
      <c r="Q88" s="283"/>
      <c r="R88" s="283"/>
      <c r="S88" s="283"/>
      <c r="T88" s="283"/>
      <c r="U88" s="283"/>
      <c r="V88" s="283"/>
      <c r="W88" s="283"/>
      <c r="X88" s="283"/>
      <c r="Y88" s="283"/>
      <c r="Z88" s="283"/>
      <c r="AA88" s="283"/>
      <c r="AB88" s="290">
        <f t="shared" si="113"/>
        <v>0</v>
      </c>
      <c r="AC88" s="288"/>
      <c r="AD88" s="288"/>
      <c r="AE88" s="314">
        <f>'Alimento y ventas'!C300*0</f>
        <v>0</v>
      </c>
      <c r="AF88" s="315">
        <f>'Alimento y ventas'!D300*0+108</f>
        <v>108</v>
      </c>
      <c r="AG88" s="315">
        <f>'Alimento y ventas'!E300*0+1870+508.2</f>
        <v>2378.1999999999998</v>
      </c>
      <c r="AH88" s="315">
        <f>25845.6</f>
        <v>25845.599999999999</v>
      </c>
      <c r="AI88" s="315">
        <f>360.1</f>
        <v>360.1</v>
      </c>
      <c r="AJ88" s="315">
        <f>'Alimento y ventas'!H300</f>
        <v>0</v>
      </c>
      <c r="AK88" s="315">
        <f>'Alimento y ventas'!I300</f>
        <v>0</v>
      </c>
      <c r="AL88" s="315">
        <f>'Alimento y ventas'!J300</f>
        <v>0</v>
      </c>
      <c r="AM88" s="315">
        <f>'Alimento y ventas'!K300</f>
        <v>0</v>
      </c>
      <c r="AN88" s="315">
        <f>'Alimento y ventas'!L300</f>
        <v>0</v>
      </c>
      <c r="AO88" s="315">
        <f>'Alimento y ventas'!M300+2948.4</f>
        <v>2948.4</v>
      </c>
      <c r="AP88" s="315">
        <f>'Alimento y ventas'!N300+4573.04</f>
        <v>4573.04</v>
      </c>
      <c r="AQ88" s="290">
        <f t="shared" si="114"/>
        <v>36213.339999999997</v>
      </c>
      <c r="AU88" s="466">
        <f>'Alimento y ventas'!O300</f>
        <v>0</v>
      </c>
      <c r="AV88" s="315">
        <f>'Alimento y ventas'!P300*0+2860</f>
        <v>2860</v>
      </c>
      <c r="AW88" s="315">
        <f>'Alimento y ventas'!Q300*0+16381.64+544.5</f>
        <v>16926.14</v>
      </c>
      <c r="AX88" s="315">
        <f>'Alimento y ventas'!R300*0+12439.68+544.5</f>
        <v>12984.18</v>
      </c>
      <c r="AY88" s="485">
        <f>'Alimento y ventas'!S300</f>
        <v>0</v>
      </c>
      <c r="AZ88" s="315">
        <f>'Alimento y ventas'!T300+111.32</f>
        <v>111.32</v>
      </c>
      <c r="BA88" s="485">
        <f>'Alimento y ventas'!U300</f>
        <v>0</v>
      </c>
      <c r="BB88" s="485">
        <f>'Alimento y ventas'!V300</f>
        <v>0</v>
      </c>
      <c r="BC88" s="485">
        <f>'Alimento y ventas'!W300</f>
        <v>0</v>
      </c>
      <c r="BD88" s="315">
        <v>8499.82</v>
      </c>
      <c r="BE88" s="485">
        <f>'Alimento y ventas'!Y300*0</f>
        <v>0</v>
      </c>
      <c r="BF88" s="315">
        <f>'Alimento y ventas'!Z300+120.95</f>
        <v>120.95</v>
      </c>
      <c r="BG88" s="290">
        <f>SUM(AU88:BF88)</f>
        <v>41502.409999999996</v>
      </c>
      <c r="BH88" s="160"/>
      <c r="BJ88" s="512">
        <f>'Alimento y ventas'!AA300*0+15340</f>
        <v>15340</v>
      </c>
      <c r="BK88" s="485">
        <f>('Alimento y ventas'!AB300)</f>
        <v>0</v>
      </c>
      <c r="BL88" s="315">
        <f>'Alimento y ventas'!AC300+3.64*225*1.04</f>
        <v>851.76</v>
      </c>
      <c r="BM88" s="315">
        <f>'Alimento y ventas'!AD300*0+(5*9*45)*1.21</f>
        <v>2450.25</v>
      </c>
      <c r="BN88" s="485">
        <f>'Alimento y ventas'!AE300</f>
        <v>0</v>
      </c>
      <c r="BO88" s="485">
        <f>'Alimento y ventas'!AF300</f>
        <v>0</v>
      </c>
      <c r="BP88" s="315">
        <f>'Alimento y ventas'!AG300+3015.14+2952.94</f>
        <v>5968.08</v>
      </c>
      <c r="BQ88" s="485">
        <f>'Alimento y ventas'!AH300</f>
        <v>0</v>
      </c>
      <c r="BR88" s="485">
        <f>'Alimento y ventas'!AI300</f>
        <v>0</v>
      </c>
      <c r="BS88" s="577">
        <f>'Alimento y ventas'!AJ300</f>
        <v>0</v>
      </c>
      <c r="BT88" s="291">
        <f>'Alimento y ventas'!AK300</f>
        <v>0</v>
      </c>
      <c r="BU88" s="291">
        <f>'Alimento y ventas'!AL300</f>
        <v>0</v>
      </c>
      <c r="BV88" s="290">
        <f t="shared" ref="BV88" si="123">SUM(BJ88:BU88)</f>
        <v>24610.090000000004</v>
      </c>
      <c r="BY88" s="316">
        <f>'Alimento y ventas'!AM300</f>
        <v>15500</v>
      </c>
      <c r="BZ88" s="291">
        <f>'Alimento y ventas'!AN300</f>
        <v>0</v>
      </c>
      <c r="CA88" s="291">
        <f>'Alimento y ventas'!AO300</f>
        <v>0</v>
      </c>
      <c r="CB88" s="291">
        <f>'Alimento y ventas'!AP300</f>
        <v>0</v>
      </c>
      <c r="CC88" s="291">
        <f>'Alimento y ventas'!AQ300</f>
        <v>0</v>
      </c>
      <c r="CD88" s="291">
        <f>'Alimento y ventas'!AR300</f>
        <v>0</v>
      </c>
      <c r="CE88" s="291">
        <f>'Alimento y ventas'!AS300</f>
        <v>0</v>
      </c>
      <c r="CF88" s="291">
        <f>'Alimento y ventas'!AT300</f>
        <v>0</v>
      </c>
      <c r="CG88" s="291">
        <f>'Alimento y ventas'!AU300</f>
        <v>0</v>
      </c>
      <c r="CH88" s="291">
        <f>'Alimento y ventas'!AV300</f>
        <v>0</v>
      </c>
      <c r="CI88" s="291">
        <f>'Alimento y ventas'!AW300</f>
        <v>5500</v>
      </c>
      <c r="CJ88" s="291">
        <f>'Alimento y ventas'!AX300</f>
        <v>5500</v>
      </c>
      <c r="CK88" s="290">
        <f t="shared" ref="CK88:CK98" si="124">SUM(BY88:CJ88)</f>
        <v>26500</v>
      </c>
      <c r="CN88" s="316">
        <f>'Alimento y ventas'!AY300</f>
        <v>5500</v>
      </c>
      <c r="CO88" s="291">
        <f>'Alimento y ventas'!AZ300</f>
        <v>0</v>
      </c>
      <c r="CP88" s="291">
        <f>'Alimento y ventas'!BA300</f>
        <v>0</v>
      </c>
      <c r="CQ88" s="291">
        <f>'Alimento y ventas'!BB300</f>
        <v>0</v>
      </c>
      <c r="CR88" s="291">
        <f>'Alimento y ventas'!BC300</f>
        <v>0</v>
      </c>
      <c r="CS88" s="291">
        <f>'Alimento y ventas'!BD300</f>
        <v>0</v>
      </c>
      <c r="CT88" s="291">
        <f>'Alimento y ventas'!BE300</f>
        <v>0</v>
      </c>
      <c r="CU88" s="291">
        <f>'Alimento y ventas'!BF300</f>
        <v>0</v>
      </c>
      <c r="CV88" s="291">
        <f>'Alimento y ventas'!BG300</f>
        <v>0</v>
      </c>
      <c r="CW88" s="291">
        <f>'Alimento y ventas'!BH300</f>
        <v>0</v>
      </c>
      <c r="CX88" s="291">
        <f>'Alimento y ventas'!BI300</f>
        <v>5500</v>
      </c>
      <c r="CY88" s="291">
        <f>'Alimento y ventas'!BJ300</f>
        <v>5500</v>
      </c>
      <c r="CZ88" s="290">
        <f t="shared" si="117"/>
        <v>16500</v>
      </c>
      <c r="DB88" s="142"/>
      <c r="DC88" s="143"/>
    </row>
    <row r="89" spans="2:107">
      <c r="B89" s="143" t="s">
        <v>99</v>
      </c>
      <c r="C89" s="203"/>
      <c r="D89" s="146"/>
      <c r="E89" s="146"/>
      <c r="F89" s="146"/>
      <c r="G89" s="146"/>
      <c r="H89" s="146"/>
      <c r="I89" s="146"/>
      <c r="J89" s="146"/>
      <c r="K89" s="144"/>
      <c r="L89" s="146"/>
      <c r="M89" s="146"/>
      <c r="N89" s="205"/>
      <c r="O89" s="148">
        <f t="shared" ref="O89:O120" si="125">SUM(C89:N89)</f>
        <v>0</v>
      </c>
      <c r="P89" s="246"/>
      <c r="Q89" s="146"/>
      <c r="R89" s="146"/>
      <c r="S89" s="146"/>
      <c r="T89" s="146"/>
      <c r="U89" s="146"/>
      <c r="V89" s="146"/>
      <c r="W89" s="146"/>
      <c r="X89" s="147"/>
      <c r="Y89" s="146"/>
      <c r="Z89" s="146"/>
      <c r="AA89" s="205"/>
      <c r="AB89" s="148">
        <f t="shared" ref="AB89:AB120" si="126">SUM(P89:AA89)</f>
        <v>0</v>
      </c>
      <c r="AC89" s="317"/>
      <c r="AE89" s="246"/>
      <c r="AF89" s="146"/>
      <c r="AG89" s="146"/>
      <c r="AH89" s="146"/>
      <c r="AI89" s="146"/>
      <c r="AJ89" s="146"/>
      <c r="AK89" s="146"/>
      <c r="AL89" s="146"/>
      <c r="AM89" s="147"/>
      <c r="AN89" s="147"/>
      <c r="AO89" s="146"/>
      <c r="AP89" s="205"/>
      <c r="AQ89" s="148">
        <f t="shared" ref="AQ89:AQ120" si="127">SUM(AE89:AP89)</f>
        <v>0</v>
      </c>
      <c r="AU89" s="246"/>
      <c r="AV89" s="146"/>
      <c r="AW89" s="146"/>
      <c r="AX89" s="146"/>
      <c r="AY89" s="146"/>
      <c r="AZ89" s="146"/>
      <c r="BA89" s="146"/>
      <c r="BB89" s="146"/>
      <c r="BC89" s="147"/>
      <c r="BD89" s="211"/>
      <c r="BE89" s="211"/>
      <c r="BF89" s="211"/>
      <c r="BG89" s="148">
        <f>SUM(AU89:BF89)</f>
        <v>0</v>
      </c>
      <c r="BH89" s="160"/>
      <c r="BJ89" s="244">
        <v>517.91999999999996</v>
      </c>
      <c r="BK89" s="211"/>
      <c r="BL89" s="211"/>
      <c r="BM89" s="211">
        <f>665.87*0</f>
        <v>0</v>
      </c>
      <c r="BN89" s="211"/>
      <c r="BO89" s="146"/>
      <c r="BP89" s="146"/>
      <c r="BQ89" s="146"/>
      <c r="BR89" s="211"/>
      <c r="BS89" s="169">
        <v>639.26</v>
      </c>
      <c r="BT89" s="160"/>
      <c r="BU89" s="159"/>
      <c r="BV89" s="148">
        <f t="shared" ref="BV89:BV120" si="128">SUM(BJ89:BU89)</f>
        <v>1157.1799999999998</v>
      </c>
      <c r="BY89" s="228"/>
      <c r="BZ89" s="169"/>
      <c r="CA89" s="169"/>
      <c r="CB89" s="169"/>
      <c r="CC89" s="169"/>
      <c r="CD89" s="169"/>
      <c r="CE89" s="169"/>
      <c r="CF89" s="169"/>
      <c r="CG89" s="169">
        <v>639.26</v>
      </c>
      <c r="CH89" s="169"/>
      <c r="CI89" s="169"/>
      <c r="CJ89" s="170"/>
      <c r="CK89" s="148">
        <f t="shared" si="124"/>
        <v>639.26</v>
      </c>
      <c r="CN89" s="228"/>
      <c r="CO89" s="169"/>
      <c r="CP89" s="169"/>
      <c r="CQ89" s="169"/>
      <c r="CR89" s="169"/>
      <c r="CS89" s="169"/>
      <c r="CT89" s="169"/>
      <c r="CU89" s="169"/>
      <c r="CV89" s="169">
        <v>639.26</v>
      </c>
      <c r="CW89" s="169"/>
      <c r="CX89" s="169"/>
      <c r="CY89" s="170"/>
      <c r="CZ89" s="148">
        <f t="shared" si="117"/>
        <v>639.26</v>
      </c>
      <c r="DB89" s="142"/>
      <c r="DC89" s="143"/>
    </row>
    <row r="90" spans="2:107">
      <c r="B90" s="143" t="s">
        <v>100</v>
      </c>
      <c r="C90" s="203"/>
      <c r="D90" s="146"/>
      <c r="E90" s="146"/>
      <c r="F90" s="146"/>
      <c r="G90" s="146"/>
      <c r="H90" s="146"/>
      <c r="I90" s="144"/>
      <c r="J90" s="147"/>
      <c r="K90" s="144"/>
      <c r="L90" s="144"/>
      <c r="M90" s="211"/>
      <c r="N90" s="205"/>
      <c r="O90" s="148">
        <f t="shared" si="125"/>
        <v>0</v>
      </c>
      <c r="P90" s="246"/>
      <c r="Q90" s="146"/>
      <c r="R90" s="146"/>
      <c r="S90" s="146"/>
      <c r="T90" s="146"/>
      <c r="U90" s="146"/>
      <c r="V90" s="147"/>
      <c r="W90" s="147"/>
      <c r="X90" s="147"/>
      <c r="Y90" s="147"/>
      <c r="Z90" s="146"/>
      <c r="AA90" s="205"/>
      <c r="AB90" s="148">
        <f t="shared" si="126"/>
        <v>0</v>
      </c>
      <c r="AE90" s="246"/>
      <c r="AF90" s="146"/>
      <c r="AG90" s="146"/>
      <c r="AH90" s="140"/>
      <c r="AI90" s="140"/>
      <c r="AJ90" s="140"/>
      <c r="AK90" s="140"/>
      <c r="AL90" s="140"/>
      <c r="AM90" s="144">
        <v>201.74</v>
      </c>
      <c r="AN90" s="147"/>
      <c r="AO90" s="140"/>
      <c r="AP90" s="205"/>
      <c r="AQ90" s="148">
        <f t="shared" si="127"/>
        <v>201.74</v>
      </c>
      <c r="AU90" s="370">
        <v>444.67</v>
      </c>
      <c r="AV90" s="146"/>
      <c r="AW90" s="146"/>
      <c r="AX90" s="146"/>
      <c r="AY90" s="146"/>
      <c r="AZ90" s="146"/>
      <c r="BA90" s="146"/>
      <c r="BB90" s="146"/>
      <c r="BC90" s="203">
        <v>228.18</v>
      </c>
      <c r="BD90" s="146"/>
      <c r="BE90" s="146"/>
      <c r="BF90" s="205"/>
      <c r="BG90" s="148">
        <f t="shared" ref="BG90:BG116" si="129">SUM(AU90:BF90)</f>
        <v>672.85</v>
      </c>
      <c r="BH90" s="160"/>
      <c r="BJ90" s="246"/>
      <c r="BK90" s="146"/>
      <c r="BL90" s="146"/>
      <c r="BM90" s="144">
        <v>333.19</v>
      </c>
      <c r="BN90" s="212">
        <v>49.8</v>
      </c>
      <c r="BO90" s="144">
        <v>49.8</v>
      </c>
      <c r="BP90" s="203">
        <v>49.8</v>
      </c>
      <c r="BQ90" s="203">
        <v>49.8</v>
      </c>
      <c r="BR90" s="203">
        <f>49.8+258.21</f>
        <v>308.01</v>
      </c>
      <c r="BS90" s="208">
        <v>49.8</v>
      </c>
      <c r="BT90" s="160"/>
      <c r="BU90" s="159"/>
      <c r="BV90" s="148">
        <f t="shared" si="128"/>
        <v>890.19999999999993</v>
      </c>
      <c r="BY90" s="228"/>
      <c r="BZ90" s="169"/>
      <c r="CA90" s="169"/>
      <c r="CB90" s="169"/>
      <c r="CC90" s="169"/>
      <c r="CD90" s="169"/>
      <c r="CE90" s="169"/>
      <c r="CF90" s="169"/>
      <c r="CG90" s="169"/>
      <c r="CH90" s="169"/>
      <c r="CI90" s="169"/>
      <c r="CJ90" s="170"/>
      <c r="CK90" s="148">
        <f t="shared" si="124"/>
        <v>0</v>
      </c>
      <c r="CN90" s="228"/>
      <c r="CO90" s="169"/>
      <c r="CP90" s="169"/>
      <c r="CQ90" s="169"/>
      <c r="CR90" s="169"/>
      <c r="CS90" s="169"/>
      <c r="CT90" s="169"/>
      <c r="CU90" s="169"/>
      <c r="CV90" s="169"/>
      <c r="CW90" s="169"/>
      <c r="CX90" s="169"/>
      <c r="CY90" s="170"/>
      <c r="CZ90" s="148">
        <f t="shared" si="117"/>
        <v>0</v>
      </c>
      <c r="DB90" s="142"/>
      <c r="DC90" s="143"/>
    </row>
    <row r="91" spans="2:107">
      <c r="B91" s="143" t="s">
        <v>101</v>
      </c>
      <c r="C91" s="203"/>
      <c r="D91" s="146"/>
      <c r="E91" s="146"/>
      <c r="F91" s="146"/>
      <c r="G91" s="146"/>
      <c r="H91" s="146"/>
      <c r="I91" s="144"/>
      <c r="J91" s="147"/>
      <c r="K91" s="144"/>
      <c r="L91" s="144"/>
      <c r="M91" s="211"/>
      <c r="N91" s="146"/>
      <c r="O91" s="148">
        <f t="shared" si="125"/>
        <v>0</v>
      </c>
      <c r="P91" s="246"/>
      <c r="Q91" s="146"/>
      <c r="R91" s="146"/>
      <c r="S91" s="146"/>
      <c r="T91" s="146"/>
      <c r="U91" s="146"/>
      <c r="V91" s="147"/>
      <c r="W91" s="147"/>
      <c r="X91" s="147"/>
      <c r="Y91" s="147"/>
      <c r="Z91" s="146"/>
      <c r="AA91" s="146"/>
      <c r="AB91" s="148">
        <f t="shared" si="126"/>
        <v>0</v>
      </c>
      <c r="AE91" s="246"/>
      <c r="AF91" s="146"/>
      <c r="AG91" s="146"/>
      <c r="AH91" s="146"/>
      <c r="AI91" s="146"/>
      <c r="AJ91" s="140"/>
      <c r="AK91" s="140"/>
      <c r="AL91" s="140"/>
      <c r="AM91" s="147"/>
      <c r="AN91" s="147"/>
      <c r="AO91" s="140"/>
      <c r="AP91" s="146"/>
      <c r="AQ91" s="148">
        <f t="shared" si="127"/>
        <v>0</v>
      </c>
      <c r="AU91" s="246"/>
      <c r="AV91" s="146"/>
      <c r="AW91" s="146"/>
      <c r="AX91" s="144">
        <v>292.31</v>
      </c>
      <c r="AY91" s="146"/>
      <c r="AZ91" s="494"/>
      <c r="BA91" s="494"/>
      <c r="BB91" s="494"/>
      <c r="BC91" s="147"/>
      <c r="BD91" s="147"/>
      <c r="BE91" s="146"/>
      <c r="BF91" s="146"/>
      <c r="BG91" s="148">
        <f t="shared" si="129"/>
        <v>292.31</v>
      </c>
      <c r="BH91" s="160"/>
      <c r="BJ91" s="246"/>
      <c r="BK91" s="146"/>
      <c r="BL91" s="146"/>
      <c r="BM91" s="144">
        <v>68.12</v>
      </c>
      <c r="BN91" s="144">
        <v>69.37</v>
      </c>
      <c r="BO91" s="144">
        <f>67.97</f>
        <v>67.97</v>
      </c>
      <c r="BP91" s="144">
        <v>67.97</v>
      </c>
      <c r="BQ91" s="144">
        <v>67.97</v>
      </c>
      <c r="BR91" s="144">
        <v>67.97</v>
      </c>
      <c r="BS91" s="214">
        <v>67.97</v>
      </c>
      <c r="BT91" s="169">
        <f>54.68*0</f>
        <v>0</v>
      </c>
      <c r="BU91" s="160"/>
      <c r="BV91" s="148">
        <f t="shared" si="128"/>
        <v>477.34000000000003</v>
      </c>
      <c r="BY91" s="228"/>
      <c r="BZ91" s="169"/>
      <c r="CA91" s="169"/>
      <c r="CB91" s="169"/>
      <c r="CC91" s="169"/>
      <c r="CD91" s="169">
        <v>54.68</v>
      </c>
      <c r="CE91" s="169"/>
      <c r="CF91" s="169"/>
      <c r="CG91" s="169"/>
      <c r="CH91" s="169"/>
      <c r="CI91" s="169"/>
      <c r="CJ91" s="169"/>
      <c r="CK91" s="148">
        <f t="shared" si="124"/>
        <v>54.68</v>
      </c>
      <c r="CN91" s="228"/>
      <c r="CO91" s="169"/>
      <c r="CP91" s="169"/>
      <c r="CQ91" s="169"/>
      <c r="CR91" s="169"/>
      <c r="CS91" s="169">
        <v>54.68</v>
      </c>
      <c r="CT91" s="169"/>
      <c r="CU91" s="169"/>
      <c r="CV91" s="169"/>
      <c r="CW91" s="169"/>
      <c r="CX91" s="169"/>
      <c r="CY91" s="169"/>
      <c r="CZ91" s="148">
        <f t="shared" si="117"/>
        <v>54.68</v>
      </c>
      <c r="DB91" s="142"/>
      <c r="DC91" s="143"/>
    </row>
    <row r="92" spans="2:107">
      <c r="B92" s="143" t="s">
        <v>102</v>
      </c>
      <c r="C92" s="207"/>
      <c r="D92" s="144"/>
      <c r="E92" s="144"/>
      <c r="F92" s="144"/>
      <c r="G92" s="144"/>
      <c r="H92" s="140"/>
      <c r="I92" s="144"/>
      <c r="J92" s="140"/>
      <c r="K92" s="212"/>
      <c r="L92" s="147"/>
      <c r="M92" s="144"/>
      <c r="N92" s="147"/>
      <c r="O92" s="148">
        <f t="shared" si="125"/>
        <v>0</v>
      </c>
      <c r="P92" s="246"/>
      <c r="Q92" s="147"/>
      <c r="R92" s="146"/>
      <c r="S92" s="146"/>
      <c r="T92" s="147"/>
      <c r="U92" s="147"/>
      <c r="V92" s="146"/>
      <c r="W92" s="147"/>
      <c r="X92" s="146"/>
      <c r="Y92" s="146"/>
      <c r="Z92" s="147"/>
      <c r="AA92" s="146"/>
      <c r="AB92" s="148">
        <f t="shared" si="126"/>
        <v>0</v>
      </c>
      <c r="AE92" s="246"/>
      <c r="AF92" s="147"/>
      <c r="AG92" s="203">
        <v>2341.56</v>
      </c>
      <c r="AH92" s="203">
        <v>3213.57</v>
      </c>
      <c r="AI92" s="147"/>
      <c r="AJ92" s="147"/>
      <c r="AK92" s="140"/>
      <c r="AL92" s="203">
        <v>1291.5899999999999</v>
      </c>
      <c r="AM92" s="203">
        <f>4995.46</f>
        <v>4995.46</v>
      </c>
      <c r="AN92" s="146"/>
      <c r="AO92" s="146"/>
      <c r="AP92" s="146"/>
      <c r="AQ92" s="148">
        <f t="shared" si="127"/>
        <v>11842.18</v>
      </c>
      <c r="AU92" s="246"/>
      <c r="AV92" s="147"/>
      <c r="AW92" s="146"/>
      <c r="AX92" s="146"/>
      <c r="AY92" s="147"/>
      <c r="AZ92" s="203">
        <f>-1333.46</f>
        <v>-1333.46</v>
      </c>
      <c r="BA92" s="203">
        <v>4014.25</v>
      </c>
      <c r="BB92" s="212">
        <v>419.06</v>
      </c>
      <c r="BC92" s="144">
        <v>128.72</v>
      </c>
      <c r="BD92" s="211"/>
      <c r="BE92" s="144">
        <f>-2511.12</f>
        <v>-2511.12</v>
      </c>
      <c r="BF92" s="144">
        <v>-6730.35</v>
      </c>
      <c r="BG92" s="148">
        <f t="shared" si="129"/>
        <v>-6012.9000000000005</v>
      </c>
      <c r="BH92" s="160"/>
      <c r="BJ92" s="370">
        <v>4638.0200000000004</v>
      </c>
      <c r="BK92" s="146"/>
      <c r="BL92" s="203">
        <f>2343.02-2111.26-1117.61-1752.01</f>
        <v>-2637.86</v>
      </c>
      <c r="BM92" s="203">
        <f>-2969.99</f>
        <v>-2969.99</v>
      </c>
      <c r="BN92" s="147"/>
      <c r="BO92" s="203">
        <f>12.58-3049.36</f>
        <v>-3036.78</v>
      </c>
      <c r="BP92" s="203">
        <v>1159.4000000000001</v>
      </c>
      <c r="BQ92" s="146"/>
      <c r="BR92" s="146"/>
      <c r="BS92" s="160"/>
      <c r="BT92" s="160">
        <f>-580.3-4995.15-1475.15-224.93-1515.59</f>
        <v>-8791.1200000000008</v>
      </c>
      <c r="BU92" s="160"/>
      <c r="BV92" s="148">
        <f t="shared" si="128"/>
        <v>-11638.33</v>
      </c>
      <c r="BY92" s="228"/>
      <c r="BZ92" s="169"/>
      <c r="CA92" s="169"/>
      <c r="CB92" s="169"/>
      <c r="CC92" s="169"/>
      <c r="CD92" s="169"/>
      <c r="CE92" s="169"/>
      <c r="CF92" s="169"/>
      <c r="CG92" s="169"/>
      <c r="CH92" s="169"/>
      <c r="CI92" s="169"/>
      <c r="CJ92" s="169"/>
      <c r="CK92" s="148">
        <f t="shared" si="124"/>
        <v>0</v>
      </c>
      <c r="CN92" s="228"/>
      <c r="CO92" s="169"/>
      <c r="CP92" s="169"/>
      <c r="CQ92" s="169"/>
      <c r="CR92" s="169"/>
      <c r="CS92" s="169"/>
      <c r="CT92" s="169"/>
      <c r="CU92" s="169"/>
      <c r="CV92" s="169"/>
      <c r="CW92" s="169"/>
      <c r="CX92" s="169"/>
      <c r="CY92" s="169"/>
      <c r="CZ92" s="148">
        <f t="shared" si="117"/>
        <v>0</v>
      </c>
      <c r="DB92" s="142"/>
      <c r="DC92" s="143"/>
    </row>
    <row r="93" spans="2:107">
      <c r="B93" s="143" t="s">
        <v>103</v>
      </c>
      <c r="C93" s="207"/>
      <c r="D93" s="144"/>
      <c r="E93" s="144"/>
      <c r="F93" s="144"/>
      <c r="G93" s="203"/>
      <c r="H93" s="140"/>
      <c r="I93" s="144"/>
      <c r="J93" s="144"/>
      <c r="K93" s="140"/>
      <c r="L93" s="147"/>
      <c r="M93" s="147"/>
      <c r="N93" s="147"/>
      <c r="O93" s="148">
        <f t="shared" si="125"/>
        <v>0</v>
      </c>
      <c r="P93" s="246"/>
      <c r="Q93" s="147"/>
      <c r="R93" s="146"/>
      <c r="S93" s="146"/>
      <c r="T93" s="147"/>
      <c r="U93" s="147"/>
      <c r="V93" s="146"/>
      <c r="W93" s="147"/>
      <c r="X93" s="146"/>
      <c r="Y93" s="146"/>
      <c r="Z93" s="147"/>
      <c r="AA93" s="146"/>
      <c r="AB93" s="148">
        <f t="shared" si="126"/>
        <v>0</v>
      </c>
      <c r="AE93" s="246"/>
      <c r="AF93" s="144">
        <f>240.35</f>
        <v>240.35</v>
      </c>
      <c r="AG93" s="146"/>
      <c r="AH93" s="146"/>
      <c r="AI93" s="144">
        <f>212.99</f>
        <v>212.99</v>
      </c>
      <c r="AJ93" s="147"/>
      <c r="AK93" s="146"/>
      <c r="AL93" s="144">
        <v>338.13</v>
      </c>
      <c r="AM93" s="146"/>
      <c r="AN93" s="146"/>
      <c r="AO93" s="144">
        <f>105.84</f>
        <v>105.84</v>
      </c>
      <c r="AP93" s="146"/>
      <c r="AQ93" s="148">
        <f t="shared" si="127"/>
        <v>897.31000000000006</v>
      </c>
      <c r="AU93" s="246"/>
      <c r="AV93" s="144">
        <f>397.07</f>
        <v>397.07</v>
      </c>
      <c r="AW93" s="147"/>
      <c r="AX93" s="147"/>
      <c r="AY93" s="147"/>
      <c r="AZ93" s="147"/>
      <c r="BA93" s="147"/>
      <c r="BB93" s="144">
        <v>182.72</v>
      </c>
      <c r="BC93" s="147"/>
      <c r="BD93" s="147"/>
      <c r="BE93" s="144">
        <f>257.81</f>
        <v>257.81</v>
      </c>
      <c r="BF93" s="146"/>
      <c r="BG93" s="148">
        <f t="shared" si="129"/>
        <v>837.59999999999991</v>
      </c>
      <c r="BH93" s="160"/>
      <c r="BJ93" s="246"/>
      <c r="BK93" s="144">
        <v>69.45</v>
      </c>
      <c r="BL93" s="147"/>
      <c r="BM93" s="147"/>
      <c r="BN93" s="144">
        <f>237.05</f>
        <v>237.05</v>
      </c>
      <c r="BO93" s="147"/>
      <c r="BP93" s="147"/>
      <c r="BQ93" s="144">
        <v>917.27</v>
      </c>
      <c r="BR93" s="147"/>
      <c r="BS93" s="169"/>
      <c r="BT93" s="169">
        <f>300</f>
        <v>300</v>
      </c>
      <c r="BU93" s="160"/>
      <c r="BV93" s="148">
        <f t="shared" si="128"/>
        <v>1523.77</v>
      </c>
      <c r="BY93" s="228"/>
      <c r="BZ93" s="169">
        <f>300</f>
        <v>300</v>
      </c>
      <c r="CA93" s="169"/>
      <c r="CB93" s="169"/>
      <c r="CC93" s="169">
        <f>300</f>
        <v>300</v>
      </c>
      <c r="CD93" s="169"/>
      <c r="CE93" s="169"/>
      <c r="CF93" s="169">
        <f>300</f>
        <v>300</v>
      </c>
      <c r="CG93" s="169"/>
      <c r="CH93" s="169"/>
      <c r="CI93" s="169">
        <f>300</f>
        <v>300</v>
      </c>
      <c r="CJ93" s="169"/>
      <c r="CK93" s="148">
        <f t="shared" si="124"/>
        <v>1200</v>
      </c>
      <c r="CN93" s="228"/>
      <c r="CO93" s="169">
        <f>300</f>
        <v>300</v>
      </c>
      <c r="CP93" s="169"/>
      <c r="CQ93" s="169"/>
      <c r="CR93" s="169">
        <f>300</f>
        <v>300</v>
      </c>
      <c r="CS93" s="169"/>
      <c r="CT93" s="169"/>
      <c r="CU93" s="169">
        <f>300</f>
        <v>300</v>
      </c>
      <c r="CV93" s="169"/>
      <c r="CW93" s="169"/>
      <c r="CX93" s="169">
        <f>300</f>
        <v>300</v>
      </c>
      <c r="CY93" s="169"/>
      <c r="CZ93" s="148">
        <f t="shared" si="117"/>
        <v>1200</v>
      </c>
      <c r="DB93" s="142"/>
      <c r="DC93" s="143"/>
    </row>
    <row r="94" spans="2:107">
      <c r="B94" s="143" t="s">
        <v>104</v>
      </c>
      <c r="C94" s="207"/>
      <c r="D94" s="144"/>
      <c r="E94" s="144"/>
      <c r="F94" s="144"/>
      <c r="G94" s="203"/>
      <c r="H94" s="140"/>
      <c r="I94" s="144"/>
      <c r="J94" s="147"/>
      <c r="K94" s="140"/>
      <c r="L94" s="147"/>
      <c r="M94" s="147"/>
      <c r="N94" s="147"/>
      <c r="O94" s="148">
        <f t="shared" si="125"/>
        <v>0</v>
      </c>
      <c r="P94" s="246"/>
      <c r="Q94" s="147"/>
      <c r="R94" s="146"/>
      <c r="S94" s="146"/>
      <c r="T94" s="147"/>
      <c r="U94" s="147"/>
      <c r="V94" s="146"/>
      <c r="W94" s="147"/>
      <c r="X94" s="146"/>
      <c r="Y94" s="146"/>
      <c r="Z94" s="147"/>
      <c r="AA94" s="146"/>
      <c r="AB94" s="148">
        <f t="shared" si="126"/>
        <v>0</v>
      </c>
      <c r="AE94" s="246"/>
      <c r="AF94" s="147"/>
      <c r="AG94" s="146"/>
      <c r="AH94" s="146"/>
      <c r="AI94" s="147"/>
      <c r="AJ94" s="147"/>
      <c r="AK94" s="146"/>
      <c r="AL94" s="147"/>
      <c r="AM94" s="146"/>
      <c r="AN94" s="146"/>
      <c r="AO94" s="147"/>
      <c r="AP94" s="146"/>
      <c r="AQ94" s="148">
        <f t="shared" si="127"/>
        <v>0</v>
      </c>
      <c r="AU94" s="246"/>
      <c r="AV94" s="147"/>
      <c r="AW94" s="146"/>
      <c r="AX94" s="146"/>
      <c r="AY94" s="147"/>
      <c r="AZ94" s="147"/>
      <c r="BA94" s="203">
        <f>5848.5</f>
        <v>5848.5</v>
      </c>
      <c r="BB94" s="144">
        <f>5848.5*0.18</f>
        <v>1052.73</v>
      </c>
      <c r="BC94" s="146"/>
      <c r="BD94" s="146"/>
      <c r="BE94" s="147"/>
      <c r="BF94" s="146"/>
      <c r="BG94" s="148">
        <f t="shared" si="129"/>
        <v>6901.23</v>
      </c>
      <c r="BH94" s="160"/>
      <c r="BJ94" s="246"/>
      <c r="BK94" s="144">
        <f>5848.5*0.18</f>
        <v>1052.73</v>
      </c>
      <c r="BL94" s="539"/>
      <c r="BM94" s="144">
        <f>5848.5*0.18</f>
        <v>1052.73</v>
      </c>
      <c r="BN94" s="147"/>
      <c r="BO94" s="147"/>
      <c r="BP94" s="147"/>
      <c r="BQ94" s="144">
        <v>1052.73</v>
      </c>
      <c r="BR94" s="203">
        <v>3078.4</v>
      </c>
      <c r="BS94" s="160"/>
      <c r="BT94" s="169"/>
      <c r="BU94" s="160"/>
      <c r="BV94" s="148">
        <f t="shared" si="128"/>
        <v>6236.59</v>
      </c>
      <c r="BY94" s="228"/>
      <c r="BZ94" s="169"/>
      <c r="CA94" s="169"/>
      <c r="CB94" s="169"/>
      <c r="CC94" s="169"/>
      <c r="CD94" s="169"/>
      <c r="CE94" s="169"/>
      <c r="CF94" s="169"/>
      <c r="CG94" s="169"/>
      <c r="CH94" s="169"/>
      <c r="CI94" s="169"/>
      <c r="CJ94" s="169"/>
      <c r="CK94" s="148">
        <f t="shared" si="124"/>
        <v>0</v>
      </c>
      <c r="CN94" s="228"/>
      <c r="CO94" s="169"/>
      <c r="CP94" s="169"/>
      <c r="CQ94" s="169"/>
      <c r="CR94" s="169"/>
      <c r="CS94" s="169"/>
      <c r="CT94" s="169"/>
      <c r="CU94" s="169"/>
      <c r="CV94" s="169"/>
      <c r="CW94" s="169"/>
      <c r="CX94" s="169"/>
      <c r="CY94" s="169"/>
      <c r="CZ94" s="148">
        <f t="shared" si="117"/>
        <v>0</v>
      </c>
      <c r="DB94" s="142"/>
      <c r="DC94" s="143"/>
    </row>
    <row r="95" spans="2:107">
      <c r="B95" s="143" t="s">
        <v>105</v>
      </c>
      <c r="C95" s="207"/>
      <c r="D95" s="144">
        <f>107.9+31.84</f>
        <v>139.74</v>
      </c>
      <c r="E95" s="144"/>
      <c r="F95" s="144"/>
      <c r="G95" s="203"/>
      <c r="H95" s="140"/>
      <c r="I95" s="144"/>
      <c r="J95" s="140"/>
      <c r="K95" s="144"/>
      <c r="L95" s="140"/>
      <c r="M95" s="147"/>
      <c r="N95" s="147"/>
      <c r="O95" s="148">
        <f t="shared" si="125"/>
        <v>139.74</v>
      </c>
      <c r="P95" s="225"/>
      <c r="Q95" s="147"/>
      <c r="R95" s="147"/>
      <c r="S95" s="147"/>
      <c r="T95" s="147"/>
      <c r="U95" s="147"/>
      <c r="V95" s="146"/>
      <c r="W95" s="147"/>
      <c r="X95" s="146"/>
      <c r="Y95" s="203">
        <f>51.84+105.9</f>
        <v>157.74</v>
      </c>
      <c r="Z95" s="147"/>
      <c r="AA95" s="146"/>
      <c r="AB95" s="148">
        <f t="shared" si="126"/>
        <v>157.74</v>
      </c>
      <c r="AE95" s="225"/>
      <c r="AF95" s="203">
        <v>44.18</v>
      </c>
      <c r="AG95" s="147"/>
      <c r="AH95" s="147"/>
      <c r="AI95" s="147"/>
      <c r="AJ95" s="147"/>
      <c r="AK95" s="146"/>
      <c r="AL95" s="147"/>
      <c r="AM95" s="146"/>
      <c r="AN95" s="146"/>
      <c r="AO95" s="147"/>
      <c r="AP95" s="146"/>
      <c r="AQ95" s="148">
        <f t="shared" si="127"/>
        <v>44.18</v>
      </c>
      <c r="AU95" s="225"/>
      <c r="AV95" s="147"/>
      <c r="AW95" s="147"/>
      <c r="AX95" s="147"/>
      <c r="AY95" s="147"/>
      <c r="AZ95" s="147"/>
      <c r="BA95" s="146"/>
      <c r="BB95" s="147"/>
      <c r="BC95" s="146"/>
      <c r="BD95" s="146"/>
      <c r="BE95" s="147"/>
      <c r="BF95" s="146"/>
      <c r="BG95" s="148">
        <f t="shared" si="129"/>
        <v>0</v>
      </c>
      <c r="BH95" s="160"/>
      <c r="BJ95" s="225"/>
      <c r="BK95" s="147"/>
      <c r="BL95" s="147"/>
      <c r="BM95" s="147"/>
      <c r="BN95" s="147"/>
      <c r="BO95" s="147"/>
      <c r="BP95" s="146"/>
      <c r="BQ95" s="147"/>
      <c r="BR95" s="146"/>
      <c r="BS95" s="160">
        <v>5995.59</v>
      </c>
      <c r="BT95" s="169"/>
      <c r="BU95" s="160"/>
      <c r="BV95" s="148">
        <f t="shared" si="128"/>
        <v>5995.59</v>
      </c>
      <c r="BY95" s="228"/>
      <c r="BZ95" s="169"/>
      <c r="CA95" s="169"/>
      <c r="CB95" s="169"/>
      <c r="CC95" s="169"/>
      <c r="CD95" s="169"/>
      <c r="CE95" s="169"/>
      <c r="CF95" s="169"/>
      <c r="CG95" s="169"/>
      <c r="CH95" s="169"/>
      <c r="CI95" s="169"/>
      <c r="CJ95" s="169"/>
      <c r="CK95" s="148">
        <f t="shared" si="124"/>
        <v>0</v>
      </c>
      <c r="CN95" s="228"/>
      <c r="CO95" s="169"/>
      <c r="CP95" s="169"/>
      <c r="CQ95" s="169"/>
      <c r="CR95" s="169"/>
      <c r="CS95" s="169"/>
      <c r="CT95" s="169"/>
      <c r="CU95" s="169"/>
      <c r="CV95" s="169"/>
      <c r="CW95" s="169"/>
      <c r="CX95" s="169"/>
      <c r="CY95" s="169"/>
      <c r="CZ95" s="148">
        <f t="shared" si="117"/>
        <v>0</v>
      </c>
      <c r="DB95" s="142"/>
      <c r="DC95" s="143"/>
    </row>
    <row r="96" spans="2:107">
      <c r="B96" s="143" t="s">
        <v>106</v>
      </c>
      <c r="C96" s="144"/>
      <c r="D96" s="144"/>
      <c r="E96" s="144"/>
      <c r="F96" s="147"/>
      <c r="G96" s="144"/>
      <c r="H96" s="144"/>
      <c r="I96" s="144"/>
      <c r="J96" s="144"/>
      <c r="K96" s="144"/>
      <c r="L96" s="144"/>
      <c r="M96" s="211"/>
      <c r="N96" s="147"/>
      <c r="O96" s="148">
        <f t="shared" si="125"/>
        <v>0</v>
      </c>
      <c r="P96" s="246"/>
      <c r="Q96" s="146"/>
      <c r="R96" s="146"/>
      <c r="S96" s="146"/>
      <c r="T96" s="146"/>
      <c r="U96" s="146"/>
      <c r="V96" s="146"/>
      <c r="W96" s="146"/>
      <c r="X96" s="146"/>
      <c r="Y96" s="146"/>
      <c r="Z96" s="146"/>
      <c r="AA96" s="146"/>
      <c r="AB96" s="148">
        <f t="shared" si="126"/>
        <v>0</v>
      </c>
      <c r="AE96" s="294">
        <v>35</v>
      </c>
      <c r="AF96" s="144">
        <f>48.4</f>
        <v>48.4</v>
      </c>
      <c r="AG96" s="144">
        <f>598.95+556.96</f>
        <v>1155.9100000000001</v>
      </c>
      <c r="AH96" s="147"/>
      <c r="AI96" s="227">
        <f>58.75+60.66+124.42*1.21+116.16+639+210+29.6+447.29+60+80+50+80</f>
        <v>1982.0081999999998</v>
      </c>
      <c r="AJ96" s="211"/>
      <c r="AK96" s="203">
        <f>(167.34+157.18+597.37)+(85.84+275.88-108.9+108.9)</f>
        <v>1283.6100000000001</v>
      </c>
      <c r="AL96" s="203">
        <f>175.4+93.29+246.06+1077.93</f>
        <v>1592.68</v>
      </c>
      <c r="AM96" s="144">
        <f>591.41+535.3+1012.92</f>
        <v>2139.63</v>
      </c>
      <c r="AN96" s="227">
        <f>31.8+16.46+82.28+856.49+119.83+822.61+35+810+60</f>
        <v>2834.47</v>
      </c>
      <c r="AO96" s="144">
        <f>263.65+4.4+1833.27+363</f>
        <v>2464.3199999999997</v>
      </c>
      <c r="AP96" s="147"/>
      <c r="AQ96" s="148">
        <f t="shared" si="127"/>
        <v>13536.028199999999</v>
      </c>
      <c r="AU96" s="247">
        <f>105.27+140</f>
        <v>245.26999999999998</v>
      </c>
      <c r="AV96" s="227">
        <f>87+1095.43+462.29+300</f>
        <v>1944.72</v>
      </c>
      <c r="AW96" s="227">
        <f>435.01+580+35.51-150+50</f>
        <v>950.52</v>
      </c>
      <c r="AX96" s="144">
        <f>35.51+1373.35</f>
        <v>1408.86</v>
      </c>
      <c r="AY96" s="227">
        <f>659.97+264+112.72+298.87+10</f>
        <v>1345.56</v>
      </c>
      <c r="AZ96" s="203">
        <f>44</f>
        <v>44</v>
      </c>
      <c r="BA96" s="144">
        <v>110.11</v>
      </c>
      <c r="BB96" s="144">
        <f>496.24+54.45+847+392.04+589.34</f>
        <v>2379.0700000000002</v>
      </c>
      <c r="BC96" s="227">
        <f>425.12+142.78+124.63+60.5+120</f>
        <v>873.03</v>
      </c>
      <c r="BD96" s="227">
        <f>2327.36-968+130+1091</f>
        <v>2580.36</v>
      </c>
      <c r="BE96" s="144">
        <f>79.9</f>
        <v>79.900000000000006</v>
      </c>
      <c r="BF96" s="227">
        <f>439.9+525.95+470+90</f>
        <v>1525.85</v>
      </c>
      <c r="BG96" s="148">
        <f t="shared" si="129"/>
        <v>13487.250000000002</v>
      </c>
      <c r="BH96" s="160"/>
      <c r="BJ96" s="247">
        <f>249.54+740+120+980</f>
        <v>2089.54</v>
      </c>
      <c r="BK96" s="144">
        <f>340.16+382.48+465.85+3515.87+150.81+432.42</f>
        <v>5287.5900000000011</v>
      </c>
      <c r="BL96" s="144">
        <f>370.66+335+157.3</f>
        <v>862.96</v>
      </c>
      <c r="BM96" s="144">
        <f>873.55+638.2+32.73</f>
        <v>1544.48</v>
      </c>
      <c r="BN96" s="144">
        <f>76.5</f>
        <v>76.5</v>
      </c>
      <c r="BO96" s="146"/>
      <c r="BP96" s="203">
        <f>121</f>
        <v>121</v>
      </c>
      <c r="BQ96" s="144">
        <v>374.13</v>
      </c>
      <c r="BR96" s="144">
        <f>512.24+362.94+26.46+1078.11</f>
        <v>1979.75</v>
      </c>
      <c r="BS96" s="230">
        <f>228.97+52.54</f>
        <v>281.51</v>
      </c>
      <c r="BT96" s="169"/>
      <c r="BU96" s="169">
        <v>900</v>
      </c>
      <c r="BV96" s="148">
        <f t="shared" si="128"/>
        <v>13517.46</v>
      </c>
      <c r="BY96" s="228">
        <v>800</v>
      </c>
      <c r="BZ96" s="169">
        <v>800</v>
      </c>
      <c r="CA96" s="169">
        <v>800</v>
      </c>
      <c r="CB96" s="169">
        <v>800</v>
      </c>
      <c r="CC96" s="169">
        <v>800</v>
      </c>
      <c r="CD96" s="169">
        <v>800</v>
      </c>
      <c r="CE96" s="169">
        <v>800</v>
      </c>
      <c r="CF96" s="169">
        <v>800</v>
      </c>
      <c r="CG96" s="169">
        <v>800</v>
      </c>
      <c r="CH96" s="169">
        <v>800</v>
      </c>
      <c r="CI96" s="169">
        <v>800</v>
      </c>
      <c r="CJ96" s="169">
        <v>800</v>
      </c>
      <c r="CK96" s="148">
        <f t="shared" si="124"/>
        <v>9600</v>
      </c>
      <c r="CN96" s="228">
        <v>800</v>
      </c>
      <c r="CO96" s="169">
        <v>800</v>
      </c>
      <c r="CP96" s="169">
        <v>800</v>
      </c>
      <c r="CQ96" s="169">
        <v>800</v>
      </c>
      <c r="CR96" s="169">
        <v>800</v>
      </c>
      <c r="CS96" s="169">
        <v>800</v>
      </c>
      <c r="CT96" s="169">
        <v>800</v>
      </c>
      <c r="CU96" s="169">
        <v>800</v>
      </c>
      <c r="CV96" s="169">
        <v>800</v>
      </c>
      <c r="CW96" s="169">
        <v>800</v>
      </c>
      <c r="CX96" s="169">
        <v>800</v>
      </c>
      <c r="CY96" s="169">
        <v>800</v>
      </c>
      <c r="CZ96" s="148">
        <f t="shared" si="117"/>
        <v>9600</v>
      </c>
      <c r="DB96" s="142"/>
      <c r="DC96" s="143"/>
    </row>
    <row r="97" spans="2:107">
      <c r="B97" s="143" t="s">
        <v>107</v>
      </c>
      <c r="C97" s="227"/>
      <c r="D97" s="318"/>
      <c r="E97" s="140"/>
      <c r="F97" s="140"/>
      <c r="G97" s="140"/>
      <c r="H97" s="140"/>
      <c r="I97" s="144"/>
      <c r="J97" s="144"/>
      <c r="K97" s="147"/>
      <c r="L97" s="144"/>
      <c r="M97" s="147"/>
      <c r="N97" s="147"/>
      <c r="O97" s="148">
        <f t="shared" si="125"/>
        <v>0</v>
      </c>
      <c r="P97" s="225"/>
      <c r="Q97" s="147"/>
      <c r="R97" s="147"/>
      <c r="S97" s="147"/>
      <c r="T97" s="147"/>
      <c r="U97" s="147"/>
      <c r="V97" s="147"/>
      <c r="W97" s="147"/>
      <c r="X97" s="147"/>
      <c r="Y97" s="147"/>
      <c r="Z97" s="147"/>
      <c r="AA97" s="147"/>
      <c r="AB97" s="148">
        <f t="shared" si="126"/>
        <v>0</v>
      </c>
      <c r="AE97" s="225"/>
      <c r="AF97" s="211"/>
      <c r="AG97" s="140"/>
      <c r="AH97" s="144">
        <v>2108.48</v>
      </c>
      <c r="AI97" s="144">
        <v>1024</v>
      </c>
      <c r="AJ97" s="147"/>
      <c r="AK97" s="211"/>
      <c r="AL97" s="144">
        <v>530.5</v>
      </c>
      <c r="AM97" s="147"/>
      <c r="AN97" s="147"/>
      <c r="AO97" s="144">
        <f>1015+2128</f>
        <v>3143</v>
      </c>
      <c r="AP97" s="147"/>
      <c r="AQ97" s="148">
        <f t="shared" si="127"/>
        <v>6805.98</v>
      </c>
      <c r="AU97" s="294">
        <v>1700</v>
      </c>
      <c r="AV97" s="140"/>
      <c r="AW97" s="140"/>
      <c r="AX97" s="144">
        <v>3458.54</v>
      </c>
      <c r="AY97" s="147"/>
      <c r="AZ97" s="147"/>
      <c r="BA97" s="147"/>
      <c r="BB97" s="147"/>
      <c r="BC97" s="147"/>
      <c r="BD97" s="144">
        <v>1272</v>
      </c>
      <c r="BE97" s="211"/>
      <c r="BF97" s="144">
        <v>2126.5</v>
      </c>
      <c r="BG97" s="148">
        <f t="shared" si="129"/>
        <v>8557.0400000000009</v>
      </c>
      <c r="BH97" s="160"/>
      <c r="BJ97" s="225"/>
      <c r="BK97" s="147"/>
      <c r="BL97" s="144">
        <v>1884</v>
      </c>
      <c r="BM97" s="147"/>
      <c r="BN97" s="147"/>
      <c r="BO97" s="147"/>
      <c r="BP97" s="144">
        <v>1047</v>
      </c>
      <c r="BQ97" s="147"/>
      <c r="BR97" s="147"/>
      <c r="BS97" s="230">
        <v>3174</v>
      </c>
      <c r="BT97" s="169"/>
      <c r="BU97" s="169">
        <v>2000</v>
      </c>
      <c r="BV97" s="148">
        <f t="shared" si="128"/>
        <v>8105</v>
      </c>
      <c r="BY97" s="228">
        <v>2000</v>
      </c>
      <c r="BZ97" s="169"/>
      <c r="CA97" s="169">
        <v>2000</v>
      </c>
      <c r="CB97" s="169"/>
      <c r="CC97" s="169"/>
      <c r="CD97" s="169"/>
      <c r="CE97" s="169"/>
      <c r="CF97" s="169">
        <v>2000</v>
      </c>
      <c r="CG97" s="169"/>
      <c r="CH97" s="169">
        <v>1000</v>
      </c>
      <c r="CI97" s="169"/>
      <c r="CJ97" s="169"/>
      <c r="CK97" s="148">
        <f t="shared" si="124"/>
        <v>7000</v>
      </c>
      <c r="CN97" s="228">
        <v>2000</v>
      </c>
      <c r="CO97" s="169"/>
      <c r="CP97" s="169">
        <v>2000</v>
      </c>
      <c r="CQ97" s="169"/>
      <c r="CR97" s="169"/>
      <c r="CS97" s="169"/>
      <c r="CT97" s="169"/>
      <c r="CU97" s="169">
        <v>2000</v>
      </c>
      <c r="CV97" s="169"/>
      <c r="CW97" s="169">
        <v>1000</v>
      </c>
      <c r="CX97" s="169"/>
      <c r="CY97" s="169"/>
      <c r="CZ97" s="148">
        <f t="shared" si="117"/>
        <v>7000</v>
      </c>
      <c r="DB97" s="142"/>
      <c r="DC97" s="143"/>
    </row>
    <row r="98" spans="2:107">
      <c r="B98" s="143" t="s">
        <v>444</v>
      </c>
      <c r="C98" s="144"/>
      <c r="D98" s="144"/>
      <c r="E98" s="144"/>
      <c r="F98" s="144"/>
      <c r="G98" s="144"/>
      <c r="H98" s="144"/>
      <c r="I98" s="144"/>
      <c r="J98" s="144"/>
      <c r="K98" s="144"/>
      <c r="L98" s="147"/>
      <c r="M98" s="147"/>
      <c r="N98" s="147"/>
      <c r="O98" s="148">
        <f t="shared" si="125"/>
        <v>0</v>
      </c>
      <c r="P98" s="225"/>
      <c r="Q98" s="147"/>
      <c r="R98" s="147"/>
      <c r="S98" s="147"/>
      <c r="T98" s="147"/>
      <c r="U98" s="147"/>
      <c r="V98" s="147"/>
      <c r="W98" s="147"/>
      <c r="X98" s="147"/>
      <c r="Y98" s="147"/>
      <c r="Z98" s="147"/>
      <c r="AA98" s="147"/>
      <c r="AB98" s="148">
        <f t="shared" si="126"/>
        <v>0</v>
      </c>
      <c r="AE98" s="294">
        <f>99.99+20</f>
        <v>119.99</v>
      </c>
      <c r="AF98" s="144">
        <f>50+50+81.01+10+67.4</f>
        <v>258.40999999999997</v>
      </c>
      <c r="AG98" s="144">
        <f>79.91+76.46</f>
        <v>156.37</v>
      </c>
      <c r="AH98" s="144">
        <f>48.5</f>
        <v>48.5</v>
      </c>
      <c r="AI98" s="144">
        <f>193.48+20</f>
        <v>213.48</v>
      </c>
      <c r="AJ98" s="144">
        <f>48.5+18</f>
        <v>66.5</v>
      </c>
      <c r="AK98" s="144">
        <v>84.79</v>
      </c>
      <c r="AL98" s="144">
        <f>229.08+249.95+327.41+(50.01+40+17.85+50)</f>
        <v>964.30000000000007</v>
      </c>
      <c r="AM98" s="144">
        <f>64.71+100.47</f>
        <v>165.18</v>
      </c>
      <c r="AN98" s="144">
        <f>94.58+136.35+50</f>
        <v>280.93</v>
      </c>
      <c r="AO98" s="144">
        <f>83.14</f>
        <v>83.14</v>
      </c>
      <c r="AP98" s="144">
        <f>86.01+177.36+(323.02+462.77)</f>
        <v>1049.1599999999999</v>
      </c>
      <c r="AQ98" s="148">
        <f t="shared" si="127"/>
        <v>3490.7499999999995</v>
      </c>
      <c r="AU98" s="294">
        <f>96.49</f>
        <v>96.49</v>
      </c>
      <c r="AV98" s="144">
        <f>184.93+81.06+39+36+106.2+84.74+64</f>
        <v>595.92999999999995</v>
      </c>
      <c r="AW98" s="144">
        <f>85.13+2.79+134.73+70+(74+50)</f>
        <v>416.65</v>
      </c>
      <c r="AX98" s="144">
        <f>207.43+89.81+72.5+53.57+86.47</f>
        <v>509.78</v>
      </c>
      <c r="AY98" s="144">
        <f>74.46+80.53+110.73</f>
        <v>265.72000000000003</v>
      </c>
      <c r="AZ98" s="144">
        <f>90.93+73</f>
        <v>163.93</v>
      </c>
      <c r="BA98" s="144">
        <f>91.21+96.94+95.72+95.06+(50+80.01+70)</f>
        <v>578.94000000000005</v>
      </c>
      <c r="BB98" s="144">
        <f>81.42+84.41+(66.01+55)+(74+58+70)</f>
        <v>488.84</v>
      </c>
      <c r="BC98" s="144">
        <f>118+79.95+55+56.1+92.01+90.01+(55+60)+(71+71.01)+48.87</f>
        <v>796.94999999999993</v>
      </c>
      <c r="BD98" s="144">
        <f>109.44+72.93+(70.01+60.01)+68.01</f>
        <v>380.4</v>
      </c>
      <c r="BE98" s="144">
        <f>75.69+(70+70)+(72.01+66.01)</f>
        <v>353.71000000000004</v>
      </c>
      <c r="BF98" s="144">
        <f>226.04+(70+68.97)+88.2+51.55+(114.29+74)</f>
        <v>693.05</v>
      </c>
      <c r="BG98" s="148">
        <f t="shared" si="129"/>
        <v>5340.39</v>
      </c>
      <c r="BH98" s="160"/>
      <c r="BJ98" s="294">
        <f>(50+20+70+66+70)+47.01+87.7</f>
        <v>410.71</v>
      </c>
      <c r="BK98" s="144">
        <f>(70+50)+90</f>
        <v>210</v>
      </c>
      <c r="BL98" s="144">
        <f>272.44+106.33+50+84.92+96.58+(76.01+65+66)</f>
        <v>817.28</v>
      </c>
      <c r="BM98" s="144">
        <f>168.76+91.83+(65+60.01+50)</f>
        <v>435.59999999999997</v>
      </c>
      <c r="BN98" s="144">
        <f>134+88.01+87+90.49+85.11+80.03+(50+50)+59.8</f>
        <v>724.43999999999994</v>
      </c>
      <c r="BO98" s="144">
        <f>(60+65.01)+64</f>
        <v>189.01</v>
      </c>
      <c r="BP98" s="144">
        <f>62.01+70.01+90.01+20+85.92+87.12</f>
        <v>415.07000000000005</v>
      </c>
      <c r="BQ98" s="144">
        <f>112.3+78+(81+80.01+80)</f>
        <v>431.31</v>
      </c>
      <c r="BR98" s="144">
        <f>129.01+103.11+(80.01+50+50)</f>
        <v>412.13</v>
      </c>
      <c r="BS98" s="230">
        <v>119.81</v>
      </c>
      <c r="BT98" s="169">
        <v>400</v>
      </c>
      <c r="BU98" s="169">
        <v>400</v>
      </c>
      <c r="BV98" s="148">
        <f t="shared" si="128"/>
        <v>4965.3600000000006</v>
      </c>
      <c r="BY98" s="228">
        <f>96.49+39</f>
        <v>135.49</v>
      </c>
      <c r="BZ98" s="169">
        <v>300</v>
      </c>
      <c r="CA98" s="169">
        <v>300</v>
      </c>
      <c r="CB98" s="169">
        <v>300</v>
      </c>
      <c r="CC98" s="169">
        <v>300</v>
      </c>
      <c r="CD98" s="169">
        <v>300</v>
      </c>
      <c r="CE98" s="169">
        <v>300</v>
      </c>
      <c r="CF98" s="169">
        <v>300</v>
      </c>
      <c r="CG98" s="169">
        <v>300</v>
      </c>
      <c r="CH98" s="169">
        <v>300</v>
      </c>
      <c r="CI98" s="169">
        <v>300</v>
      </c>
      <c r="CJ98" s="169">
        <v>300</v>
      </c>
      <c r="CK98" s="148">
        <f t="shared" si="124"/>
        <v>3435.49</v>
      </c>
      <c r="CN98" s="228">
        <f>96.49+39</f>
        <v>135.49</v>
      </c>
      <c r="CO98" s="169">
        <v>300</v>
      </c>
      <c r="CP98" s="169">
        <v>300</v>
      </c>
      <c r="CQ98" s="169">
        <v>300</v>
      </c>
      <c r="CR98" s="169">
        <v>300</v>
      </c>
      <c r="CS98" s="169">
        <v>300</v>
      </c>
      <c r="CT98" s="169">
        <v>300</v>
      </c>
      <c r="CU98" s="169">
        <v>300</v>
      </c>
      <c r="CV98" s="169">
        <v>300</v>
      </c>
      <c r="CW98" s="169">
        <v>300</v>
      </c>
      <c r="CX98" s="169">
        <v>300</v>
      </c>
      <c r="CY98" s="169">
        <v>300</v>
      </c>
      <c r="CZ98" s="148">
        <f t="shared" si="117"/>
        <v>3435.49</v>
      </c>
      <c r="DB98" s="142"/>
      <c r="DC98" s="143"/>
    </row>
    <row r="99" spans="2:107">
      <c r="B99" s="143" t="s">
        <v>108</v>
      </c>
      <c r="C99" s="203"/>
      <c r="D99" s="146"/>
      <c r="E99" s="146"/>
      <c r="F99" s="146"/>
      <c r="G99" s="146"/>
      <c r="H99" s="146"/>
      <c r="I99" s="146"/>
      <c r="J99" s="146"/>
      <c r="K99" s="140"/>
      <c r="L99" s="140"/>
      <c r="M99" s="147"/>
      <c r="N99" s="205"/>
      <c r="O99" s="148">
        <f t="shared" si="125"/>
        <v>0</v>
      </c>
      <c r="P99" s="246"/>
      <c r="Q99" s="146"/>
      <c r="R99" s="146"/>
      <c r="S99" s="146"/>
      <c r="T99" s="146"/>
      <c r="U99" s="146"/>
      <c r="V99" s="146"/>
      <c r="W99" s="146"/>
      <c r="X99" s="147"/>
      <c r="Y99" s="146"/>
      <c r="Z99" s="146"/>
      <c r="AA99" s="205"/>
      <c r="AB99" s="148">
        <f t="shared" si="126"/>
        <v>0</v>
      </c>
      <c r="AE99" s="294">
        <f>1870</f>
        <v>1870</v>
      </c>
      <c r="AF99" s="211"/>
      <c r="AG99" s="144">
        <f>225+450+270</f>
        <v>945</v>
      </c>
      <c r="AH99" s="140"/>
      <c r="AI99" s="227">
        <f>300+300</f>
        <v>600</v>
      </c>
      <c r="AJ99" s="140"/>
      <c r="AK99" s="146"/>
      <c r="AL99" s="140"/>
      <c r="AM99" s="140"/>
      <c r="AN99" s="147"/>
      <c r="AO99" s="147"/>
      <c r="AP99" s="144">
        <v>2000</v>
      </c>
      <c r="AQ99" s="148">
        <f>SUM(AE99:AP99)</f>
        <v>5415</v>
      </c>
      <c r="AU99" s="247">
        <v>-350</v>
      </c>
      <c r="AV99" s="144">
        <f>15*30</f>
        <v>450</v>
      </c>
      <c r="AW99" s="140"/>
      <c r="AX99" s="140"/>
      <c r="AY99" s="227">
        <v>600</v>
      </c>
      <c r="AZ99" s="147"/>
      <c r="BA99" s="147"/>
      <c r="BB99" s="147"/>
      <c r="BC99" s="147"/>
      <c r="BD99" s="146"/>
      <c r="BE99" s="144"/>
      <c r="BF99" s="211"/>
      <c r="BG99" s="148">
        <f>SUM(AU99:BF99)</f>
        <v>700</v>
      </c>
      <c r="BH99" s="160"/>
      <c r="BJ99" s="294">
        <v>2000</v>
      </c>
      <c r="BK99" s="144">
        <f>15*30</f>
        <v>450</v>
      </c>
      <c r="BL99" s="540"/>
      <c r="BM99" s="540"/>
      <c r="BN99" s="540"/>
      <c r="BO99" s="146"/>
      <c r="BP99" s="146"/>
      <c r="BQ99" s="146"/>
      <c r="BR99" s="147"/>
      <c r="BS99" s="160"/>
      <c r="BT99" s="160"/>
      <c r="BU99" s="169">
        <v>2000</v>
      </c>
      <c r="BV99" s="148">
        <f t="shared" si="128"/>
        <v>4450</v>
      </c>
      <c r="BY99" s="228"/>
      <c r="BZ99" s="169">
        <f>15*30</f>
        <v>450</v>
      </c>
      <c r="CA99" s="169"/>
      <c r="CB99" s="169"/>
      <c r="CC99" s="169"/>
      <c r="CD99" s="169"/>
      <c r="CE99" s="169"/>
      <c r="CF99" s="169"/>
      <c r="CG99" s="169"/>
      <c r="CH99" s="169"/>
      <c r="CI99" s="169"/>
      <c r="CJ99" s="169">
        <v>2000</v>
      </c>
      <c r="CK99" s="148">
        <f>SUM(BY99:CJ99)</f>
        <v>2450</v>
      </c>
      <c r="CN99" s="228"/>
      <c r="CO99" s="169">
        <f>15*30</f>
        <v>450</v>
      </c>
      <c r="CP99" s="169"/>
      <c r="CQ99" s="169"/>
      <c r="CR99" s="169"/>
      <c r="CS99" s="169"/>
      <c r="CT99" s="169"/>
      <c r="CU99" s="169"/>
      <c r="CV99" s="169"/>
      <c r="CW99" s="169"/>
      <c r="CX99" s="169"/>
      <c r="CY99" s="169">
        <v>2000</v>
      </c>
      <c r="CZ99" s="148">
        <f>SUM(CN99:CY99)</f>
        <v>2450</v>
      </c>
      <c r="DB99" s="455">
        <f>240*7</f>
        <v>1680</v>
      </c>
      <c r="DC99" s="143"/>
    </row>
    <row r="100" spans="2:107">
      <c r="B100" s="143" t="s">
        <v>109</v>
      </c>
      <c r="C100" s="227"/>
      <c r="D100" s="227"/>
      <c r="E100" s="144"/>
      <c r="F100" s="144"/>
      <c r="G100" s="227"/>
      <c r="H100" s="146"/>
      <c r="I100" s="146"/>
      <c r="J100" s="227"/>
      <c r="K100" s="146"/>
      <c r="L100" s="140"/>
      <c r="M100" s="147"/>
      <c r="N100" s="147"/>
      <c r="O100" s="148">
        <f t="shared" si="125"/>
        <v>0</v>
      </c>
      <c r="P100" s="225"/>
      <c r="Q100" s="147"/>
      <c r="R100" s="147"/>
      <c r="S100" s="147"/>
      <c r="T100" s="147"/>
      <c r="U100" s="147"/>
      <c r="V100" s="147"/>
      <c r="W100" s="147"/>
      <c r="X100" s="147"/>
      <c r="Y100" s="147"/>
      <c r="Z100" s="147"/>
      <c r="AA100" s="147"/>
      <c r="AB100" s="148">
        <f t="shared" si="126"/>
        <v>0</v>
      </c>
      <c r="AE100" s="225"/>
      <c r="AF100" s="147"/>
      <c r="AG100" s="147"/>
      <c r="AH100" s="147"/>
      <c r="AI100" s="227">
        <v>-2100</v>
      </c>
      <c r="AJ100" s="227">
        <f>800</f>
        <v>800</v>
      </c>
      <c r="AK100" s="227">
        <v>675</v>
      </c>
      <c r="AL100" s="227">
        <v>1000</v>
      </c>
      <c r="AM100" s="227">
        <v>950</v>
      </c>
      <c r="AN100" s="147"/>
      <c r="AO100" s="227">
        <v>120</v>
      </c>
      <c r="AP100" s="205"/>
      <c r="AQ100" s="148">
        <f>SUM(AE100:AP100)</f>
        <v>1445</v>
      </c>
      <c r="AU100" s="225"/>
      <c r="AV100" s="227">
        <v>-400</v>
      </c>
      <c r="AW100" s="227">
        <v>650</v>
      </c>
      <c r="AX100" s="140"/>
      <c r="AY100" s="227">
        <f>800+950-700</f>
        <v>1050</v>
      </c>
      <c r="AZ100" s="227">
        <f>-350-1050+950+500</f>
        <v>50</v>
      </c>
      <c r="BA100" s="147"/>
      <c r="BB100" s="147"/>
      <c r="BC100" s="140"/>
      <c r="BD100" s="227">
        <v>-200</v>
      </c>
      <c r="BE100" s="146"/>
      <c r="BF100" s="211"/>
      <c r="BG100" s="148">
        <f>SUM(AU100:BF100)</f>
        <v>1150</v>
      </c>
      <c r="BH100" s="160"/>
      <c r="BJ100" s="247">
        <f>-400-370</f>
        <v>-770</v>
      </c>
      <c r="BK100" s="140"/>
      <c r="BL100" s="227">
        <f>-200+450</f>
        <v>250</v>
      </c>
      <c r="BM100" s="227">
        <f>850-2000</f>
        <v>-1150</v>
      </c>
      <c r="BN100" s="140"/>
      <c r="BO100" s="227">
        <f>1500-1050-810-400+70+700+500+380</f>
        <v>890</v>
      </c>
      <c r="BP100" s="144">
        <f>-963.49</f>
        <v>-963.49</v>
      </c>
      <c r="BQ100" s="227">
        <v>100</v>
      </c>
      <c r="BR100" s="140"/>
      <c r="BT100" s="169"/>
      <c r="BU100" s="274">
        <f>-2000+875.9+6*125</f>
        <v>-374.09999999999991</v>
      </c>
      <c r="BV100" s="148">
        <f t="shared" si="128"/>
        <v>-2017.59</v>
      </c>
      <c r="BY100" s="228"/>
      <c r="BZ100" s="169">
        <v>-400</v>
      </c>
      <c r="CA100" s="169"/>
      <c r="CB100" s="169">
        <v>-800</v>
      </c>
      <c r="CC100" s="169">
        <f>(-2100-50*5)/2</f>
        <v>-1175</v>
      </c>
      <c r="CD100" s="169">
        <v>600</v>
      </c>
      <c r="CE100" s="169"/>
      <c r="CF100" s="169"/>
      <c r="CG100" s="169"/>
      <c r="CH100" s="169"/>
      <c r="CI100" s="169">
        <v>600</v>
      </c>
      <c r="CJ100" s="169">
        <v>-2000</v>
      </c>
      <c r="CK100" s="148">
        <f>SUM(BY100:CJ100)</f>
        <v>-3175</v>
      </c>
      <c r="CN100" s="228"/>
      <c r="CO100" s="169">
        <v>-400</v>
      </c>
      <c r="CP100" s="169"/>
      <c r="CQ100" s="169">
        <v>-800</v>
      </c>
      <c r="CR100" s="169">
        <f>-2100-50*5</f>
        <v>-2350</v>
      </c>
      <c r="CS100" s="169">
        <v>600</v>
      </c>
      <c r="CT100" s="169"/>
      <c r="CU100" s="169"/>
      <c r="CV100" s="169"/>
      <c r="CW100" s="169"/>
      <c r="CX100" s="169">
        <v>600</v>
      </c>
      <c r="CY100" s="169">
        <v>-2000</v>
      </c>
      <c r="CZ100" s="148">
        <f>SUM(CN100:CY100)</f>
        <v>-4350</v>
      </c>
      <c r="DB100" s="142"/>
      <c r="DC100" s="143"/>
    </row>
    <row r="101" spans="2:107">
      <c r="B101" s="143" t="s">
        <v>463</v>
      </c>
      <c r="C101" s="319"/>
      <c r="D101" s="144"/>
      <c r="E101" s="144"/>
      <c r="F101" s="144"/>
      <c r="G101" s="227"/>
      <c r="H101" s="144"/>
      <c r="I101" s="144"/>
      <c r="J101" s="320"/>
      <c r="K101" s="144"/>
      <c r="L101" s="144"/>
      <c r="M101" s="147"/>
      <c r="N101" s="147"/>
      <c r="O101" s="148">
        <f>SUM(C101:N101)</f>
        <v>0</v>
      </c>
      <c r="P101" s="225"/>
      <c r="Q101" s="147"/>
      <c r="R101" s="147"/>
      <c r="S101" s="147"/>
      <c r="T101" s="147"/>
      <c r="U101" s="147"/>
      <c r="V101" s="147"/>
      <c r="W101" s="147"/>
      <c r="X101" s="147"/>
      <c r="Y101" s="147"/>
      <c r="Z101" s="147"/>
      <c r="AA101" s="144">
        <v>1176.5899999999999</v>
      </c>
      <c r="AB101" s="148">
        <f>SUM(P101:AA101)</f>
        <v>1176.5899999999999</v>
      </c>
      <c r="AE101" s="294">
        <v>1176.5899999999999</v>
      </c>
      <c r="AF101" s="144">
        <v>1176.5899999999999</v>
      </c>
      <c r="AG101" s="144">
        <v>1176.5899999999999</v>
      </c>
      <c r="AH101" s="144">
        <v>247.55</v>
      </c>
      <c r="AI101" s="147"/>
      <c r="AJ101" s="147"/>
      <c r="AK101" s="147"/>
      <c r="AL101" s="147"/>
      <c r="AM101" s="147"/>
      <c r="AN101" s="147"/>
      <c r="AO101" s="147"/>
      <c r="AP101" s="147"/>
      <c r="AQ101" s="148">
        <f t="shared" si="127"/>
        <v>3777.3199999999997</v>
      </c>
      <c r="AU101" s="225"/>
      <c r="AV101" s="144">
        <v>1100.08</v>
      </c>
      <c r="AW101" s="203">
        <v>1165.68</v>
      </c>
      <c r="AX101" s="144">
        <v>1165</v>
      </c>
      <c r="AY101" s="144">
        <v>1165</v>
      </c>
      <c r="AZ101" s="144">
        <v>158</v>
      </c>
      <c r="BA101" s="147"/>
      <c r="BB101" s="147"/>
      <c r="BC101" s="147"/>
      <c r="BD101" s="147"/>
      <c r="BE101" s="147"/>
      <c r="BF101" s="147"/>
      <c r="BG101" s="148">
        <f t="shared" si="129"/>
        <v>4753.76</v>
      </c>
      <c r="BH101" s="160"/>
      <c r="BJ101" s="225"/>
      <c r="BK101" s="144">
        <f>1200/30*26</f>
        <v>1040</v>
      </c>
      <c r="BL101" s="144">
        <f>800+1200-200</f>
        <v>1800</v>
      </c>
      <c r="BM101" s="144">
        <f>1367.72-200</f>
        <v>1167.72</v>
      </c>
      <c r="BN101" s="144">
        <f>1200-200</f>
        <v>1000</v>
      </c>
      <c r="BO101" s="144">
        <f>880-200</f>
        <v>680</v>
      </c>
      <c r="BP101" s="144">
        <v>0</v>
      </c>
      <c r="BQ101" s="144">
        <v>0</v>
      </c>
      <c r="BR101" s="144">
        <v>1080</v>
      </c>
      <c r="BS101" s="169">
        <v>1200</v>
      </c>
      <c r="BT101" s="169">
        <v>1200</v>
      </c>
      <c r="BU101" s="169">
        <v>1200</v>
      </c>
      <c r="BV101" s="148">
        <f t="shared" si="128"/>
        <v>10367.720000000001</v>
      </c>
      <c r="BY101" s="519">
        <v>1200</v>
      </c>
      <c r="BZ101" s="169">
        <v>1200</v>
      </c>
      <c r="CA101" s="169">
        <v>1200</v>
      </c>
      <c r="CB101" s="169">
        <v>1200</v>
      </c>
      <c r="CC101" s="169">
        <v>1200</v>
      </c>
      <c r="CD101" s="169">
        <v>1200</v>
      </c>
      <c r="CE101" s="169">
        <v>1200</v>
      </c>
      <c r="CF101" s="169">
        <v>1200</v>
      </c>
      <c r="CG101" s="169">
        <v>1200</v>
      </c>
      <c r="CH101" s="169">
        <v>1200</v>
      </c>
      <c r="CI101" s="169">
        <v>1200</v>
      </c>
      <c r="CJ101" s="169">
        <v>1200</v>
      </c>
      <c r="CK101" s="148">
        <f t="shared" ref="CK101:CK103" si="130">SUM(BY101:CJ101)</f>
        <v>14400</v>
      </c>
      <c r="CN101" s="519">
        <v>1200</v>
      </c>
      <c r="CO101" s="169">
        <v>1200</v>
      </c>
      <c r="CP101" s="169">
        <v>1200</v>
      </c>
      <c r="CQ101" s="169">
        <v>1200</v>
      </c>
      <c r="CR101" s="169">
        <v>1200</v>
      </c>
      <c r="CS101" s="169">
        <v>1200</v>
      </c>
      <c r="CT101" s="169">
        <v>1200</v>
      </c>
      <c r="CU101" s="169">
        <v>1200</v>
      </c>
      <c r="CV101" s="169">
        <v>1200</v>
      </c>
      <c r="CW101" s="169">
        <v>1200</v>
      </c>
      <c r="CX101" s="169">
        <v>1200</v>
      </c>
      <c r="CY101" s="169">
        <v>1200</v>
      </c>
      <c r="CZ101" s="148">
        <f t="shared" ref="CZ101:CZ103" si="131">SUM(CN101:CY101)</f>
        <v>14400</v>
      </c>
      <c r="DB101" s="142"/>
      <c r="DC101" s="143"/>
    </row>
    <row r="102" spans="2:107">
      <c r="B102" s="321" t="s">
        <v>408</v>
      </c>
      <c r="C102" s="319"/>
      <c r="D102" s="144"/>
      <c r="E102" s="144"/>
      <c r="F102" s="144"/>
      <c r="G102" s="227"/>
      <c r="H102" s="144"/>
      <c r="I102" s="144"/>
      <c r="J102" s="144"/>
      <c r="K102" s="144"/>
      <c r="L102" s="203"/>
      <c r="M102" s="147"/>
      <c r="N102" s="147"/>
      <c r="O102" s="148">
        <f>SUM(C102:N102)</f>
        <v>0</v>
      </c>
      <c r="P102" s="225"/>
      <c r="Q102" s="147"/>
      <c r="R102" s="147"/>
      <c r="S102" s="147"/>
      <c r="T102" s="147"/>
      <c r="U102" s="147"/>
      <c r="V102" s="147"/>
      <c r="W102" s="147"/>
      <c r="X102" s="147"/>
      <c r="Y102" s="147"/>
      <c r="Z102" s="147"/>
      <c r="AA102" s="144">
        <v>1200</v>
      </c>
      <c r="AB102" s="148">
        <f>SUM(P102:AA102)</f>
        <v>1200</v>
      </c>
      <c r="AE102" s="294">
        <v>-1200</v>
      </c>
      <c r="AF102" s="144">
        <v>1200</v>
      </c>
      <c r="AG102" s="144">
        <v>1200</v>
      </c>
      <c r="AH102" s="144">
        <v>1200</v>
      </c>
      <c r="AI102" s="144">
        <v>1200</v>
      </c>
      <c r="AJ102" s="203">
        <f>1211.87-1200+1211.87</f>
        <v>1223.7399999999998</v>
      </c>
      <c r="AK102" s="203">
        <v>1211.8699999999999</v>
      </c>
      <c r="AL102" s="144">
        <v>1211.8699999999999</v>
      </c>
      <c r="AM102" s="144">
        <v>1211.8699999999999</v>
      </c>
      <c r="AN102" s="144">
        <v>1238.33</v>
      </c>
      <c r="AO102" s="144">
        <v>1238.33</v>
      </c>
      <c r="AP102" s="203">
        <v>1238.33</v>
      </c>
      <c r="AQ102" s="148">
        <f t="shared" si="127"/>
        <v>12174.339999999998</v>
      </c>
      <c r="AU102" s="294">
        <v>1238.33</v>
      </c>
      <c r="AV102" s="144">
        <v>1238.33</v>
      </c>
      <c r="AW102" s="203">
        <v>1238.33</v>
      </c>
      <c r="AX102" s="144">
        <v>1238.33</v>
      </c>
      <c r="AY102" s="144">
        <v>1238.2</v>
      </c>
      <c r="AZ102" s="203">
        <v>1250</v>
      </c>
      <c r="BA102" s="144">
        <v>1250</v>
      </c>
      <c r="BB102" s="144">
        <v>1250</v>
      </c>
      <c r="BC102" s="144">
        <v>1250</v>
      </c>
      <c r="BD102" s="144">
        <v>1250</v>
      </c>
      <c r="BE102" s="144">
        <v>1250</v>
      </c>
      <c r="BF102" s="144">
        <v>1250</v>
      </c>
      <c r="BG102" s="148">
        <f t="shared" si="129"/>
        <v>14941.52</v>
      </c>
      <c r="BH102" s="160"/>
      <c r="BJ102" s="294">
        <v>1250</v>
      </c>
      <c r="BK102" s="144">
        <v>1250</v>
      </c>
      <c r="BL102" s="144">
        <v>1250</v>
      </c>
      <c r="BM102" s="227">
        <f>1457.55+2000</f>
        <v>3457.55</v>
      </c>
      <c r="BN102" s="144">
        <f>1250+223.5</f>
        <v>1473.5</v>
      </c>
      <c r="BO102" s="144">
        <f>1250+223.5</f>
        <v>1473.5</v>
      </c>
      <c r="BP102" s="144">
        <f>1250+223.5</f>
        <v>1473.5</v>
      </c>
      <c r="BQ102" s="144">
        <f>1250+121.95</f>
        <v>1371.95</v>
      </c>
      <c r="BR102" s="144">
        <f>1250+1.58</f>
        <v>1251.58</v>
      </c>
      <c r="BS102" s="169">
        <v>1250</v>
      </c>
      <c r="BT102" s="169">
        <v>1250</v>
      </c>
      <c r="BU102" s="169">
        <v>1250</v>
      </c>
      <c r="BV102" s="148">
        <f t="shared" si="128"/>
        <v>18001.580000000002</v>
      </c>
      <c r="BY102" s="228">
        <v>1250</v>
      </c>
      <c r="BZ102" s="169">
        <v>1250</v>
      </c>
      <c r="CA102" s="169">
        <v>1250</v>
      </c>
      <c r="CB102" s="169">
        <v>1250</v>
      </c>
      <c r="CC102" s="169">
        <v>1250</v>
      </c>
      <c r="CD102" s="169">
        <v>1250</v>
      </c>
      <c r="CE102" s="169">
        <v>1250</v>
      </c>
      <c r="CF102" s="169">
        <v>1250</v>
      </c>
      <c r="CG102" s="169">
        <v>1250</v>
      </c>
      <c r="CH102" s="169">
        <v>1250</v>
      </c>
      <c r="CI102" s="169">
        <v>1250</v>
      </c>
      <c r="CJ102" s="169">
        <v>1250</v>
      </c>
      <c r="CK102" s="148">
        <f t="shared" si="130"/>
        <v>15000</v>
      </c>
      <c r="CN102" s="228">
        <v>1250</v>
      </c>
      <c r="CO102" s="169">
        <v>1250</v>
      </c>
      <c r="CP102" s="169">
        <v>1250</v>
      </c>
      <c r="CQ102" s="169">
        <v>1250</v>
      </c>
      <c r="CR102" s="169">
        <v>1250</v>
      </c>
      <c r="CS102" s="169">
        <v>1250</v>
      </c>
      <c r="CT102" s="169">
        <v>1250</v>
      </c>
      <c r="CU102" s="169">
        <v>1250</v>
      </c>
      <c r="CV102" s="169">
        <v>1250</v>
      </c>
      <c r="CW102" s="169">
        <v>1250</v>
      </c>
      <c r="CX102" s="169">
        <v>1250</v>
      </c>
      <c r="CY102" s="169">
        <v>1250</v>
      </c>
      <c r="CZ102" s="148">
        <f t="shared" si="131"/>
        <v>15000</v>
      </c>
      <c r="DB102" s="142"/>
      <c r="DC102" s="143"/>
    </row>
    <row r="103" spans="2:107">
      <c r="B103" s="143" t="s">
        <v>440</v>
      </c>
      <c r="C103" s="319"/>
      <c r="D103" s="144"/>
      <c r="E103" s="144"/>
      <c r="F103" s="144"/>
      <c r="G103" s="227"/>
      <c r="H103" s="144"/>
      <c r="I103" s="144"/>
      <c r="J103" s="320"/>
      <c r="K103" s="144"/>
      <c r="L103" s="203"/>
      <c r="M103" s="147"/>
      <c r="N103" s="147"/>
      <c r="O103" s="148">
        <f t="shared" ref="O103:O104" si="132">SUM(C103:N103)</f>
        <v>0</v>
      </c>
      <c r="P103" s="225"/>
      <c r="Q103" s="147"/>
      <c r="R103" s="147"/>
      <c r="S103" s="147"/>
      <c r="T103" s="147"/>
      <c r="U103" s="147"/>
      <c r="V103" s="147"/>
      <c r="W103" s="147"/>
      <c r="X103" s="147"/>
      <c r="Y103" s="147"/>
      <c r="Z103" s="147"/>
      <c r="AA103" s="144">
        <v>1176.5899999999999</v>
      </c>
      <c r="AB103" s="148">
        <f>SUM(P103:AA103)</f>
        <v>1176.5899999999999</v>
      </c>
      <c r="AE103" s="294">
        <v>1176.5899999999999</v>
      </c>
      <c r="AF103" s="144">
        <v>1176.5899999999999</v>
      </c>
      <c r="AG103" s="144">
        <v>1176.5899999999999</v>
      </c>
      <c r="AH103" s="144">
        <v>1176.5899999999999</v>
      </c>
      <c r="AI103" s="144">
        <v>1176.33</v>
      </c>
      <c r="AJ103" s="203">
        <f>1211.87-1176.33+1211.87</f>
        <v>1247.4099999999999</v>
      </c>
      <c r="AK103" s="203">
        <v>1211.8699999999999</v>
      </c>
      <c r="AL103" s="144">
        <v>1211.8699999999999</v>
      </c>
      <c r="AM103" s="144">
        <v>1211.8699999999999</v>
      </c>
      <c r="AN103" s="144">
        <v>1238.33</v>
      </c>
      <c r="AO103" s="144">
        <v>1238.33</v>
      </c>
      <c r="AP103" s="203">
        <v>1238.33</v>
      </c>
      <c r="AQ103" s="148">
        <f t="shared" si="127"/>
        <v>14480.699999999999</v>
      </c>
      <c r="AU103" s="294">
        <v>1238.33</v>
      </c>
      <c r="AV103" s="144">
        <v>320.69</v>
      </c>
      <c r="AW103" s="203">
        <v>661.02</v>
      </c>
      <c r="AX103" s="144">
        <v>112</v>
      </c>
      <c r="AY103" s="147"/>
      <c r="AZ103" s="203">
        <v>791.67</v>
      </c>
      <c r="BA103" s="144">
        <v>1250</v>
      </c>
      <c r="BB103" s="144">
        <v>1250</v>
      </c>
      <c r="BC103" s="227">
        <f>1250+300</f>
        <v>1550</v>
      </c>
      <c r="BD103" s="144">
        <v>1250</v>
      </c>
      <c r="BE103" s="144">
        <v>1250</v>
      </c>
      <c r="BF103" s="144">
        <v>1250</v>
      </c>
      <c r="BG103" s="148">
        <f t="shared" si="129"/>
        <v>10923.71</v>
      </c>
      <c r="BH103" s="160"/>
      <c r="BJ103" s="294">
        <v>1250</v>
      </c>
      <c r="BK103" s="144">
        <v>1250</v>
      </c>
      <c r="BL103" s="144">
        <v>1250</v>
      </c>
      <c r="BM103" s="144">
        <v>1520.63</v>
      </c>
      <c r="BN103" s="144">
        <f>1250+255.64</f>
        <v>1505.6399999999999</v>
      </c>
      <c r="BO103" s="144">
        <f>1250+255.64</f>
        <v>1505.6399999999999</v>
      </c>
      <c r="BP103" s="144">
        <f>1250+255.25</f>
        <v>1505.25</v>
      </c>
      <c r="BQ103" s="144">
        <f>1250+107.45</f>
        <v>1357.45</v>
      </c>
      <c r="BR103" s="144">
        <f>1250+1.35</f>
        <v>1251.3499999999999</v>
      </c>
      <c r="BS103" s="169">
        <v>1250</v>
      </c>
      <c r="BT103" s="169">
        <v>1250</v>
      </c>
      <c r="BU103" s="169">
        <v>1250</v>
      </c>
      <c r="BV103" s="148">
        <f t="shared" si="128"/>
        <v>16145.960000000001</v>
      </c>
      <c r="BY103" s="228">
        <v>1250</v>
      </c>
      <c r="BZ103" s="169">
        <v>1250</v>
      </c>
      <c r="CA103" s="169">
        <v>1250</v>
      </c>
      <c r="CB103" s="169">
        <v>1250</v>
      </c>
      <c r="CC103" s="169">
        <v>1250</v>
      </c>
      <c r="CD103" s="169">
        <v>1250</v>
      </c>
      <c r="CE103" s="169">
        <v>1250</v>
      </c>
      <c r="CF103" s="169">
        <v>1250</v>
      </c>
      <c r="CG103" s="169">
        <v>1250</v>
      </c>
      <c r="CH103" s="169">
        <v>1250</v>
      </c>
      <c r="CI103" s="169">
        <v>1250</v>
      </c>
      <c r="CJ103" s="169">
        <v>1250</v>
      </c>
      <c r="CK103" s="148">
        <f t="shared" si="130"/>
        <v>15000</v>
      </c>
      <c r="CN103" s="228">
        <v>1250</v>
      </c>
      <c r="CO103" s="169">
        <v>1250</v>
      </c>
      <c r="CP103" s="169">
        <v>1250</v>
      </c>
      <c r="CQ103" s="169">
        <v>1250</v>
      </c>
      <c r="CR103" s="169">
        <v>1250</v>
      </c>
      <c r="CS103" s="169">
        <v>1250</v>
      </c>
      <c r="CT103" s="169">
        <v>1250</v>
      </c>
      <c r="CU103" s="169">
        <v>1250</v>
      </c>
      <c r="CV103" s="169">
        <v>1250</v>
      </c>
      <c r="CW103" s="169">
        <v>1250</v>
      </c>
      <c r="CX103" s="169">
        <v>1250</v>
      </c>
      <c r="CY103" s="169">
        <v>1250</v>
      </c>
      <c r="CZ103" s="148">
        <f t="shared" si="131"/>
        <v>15000</v>
      </c>
      <c r="DB103" s="142"/>
      <c r="DC103" s="143"/>
    </row>
    <row r="104" spans="2:107">
      <c r="B104" s="143" t="s">
        <v>499</v>
      </c>
      <c r="C104" s="319"/>
      <c r="D104" s="144"/>
      <c r="E104" s="144"/>
      <c r="F104" s="144"/>
      <c r="G104" s="227"/>
      <c r="H104" s="144"/>
      <c r="I104" s="144"/>
      <c r="J104" s="320"/>
      <c r="K104" s="144"/>
      <c r="L104" s="203"/>
      <c r="M104" s="147"/>
      <c r="N104" s="147"/>
      <c r="O104" s="148">
        <f t="shared" si="132"/>
        <v>0</v>
      </c>
      <c r="P104" s="225"/>
      <c r="Q104" s="147"/>
      <c r="R104" s="147"/>
      <c r="S104" s="147"/>
      <c r="T104" s="147"/>
      <c r="U104" s="147"/>
      <c r="V104" s="147"/>
      <c r="W104" s="147"/>
      <c r="X104" s="147"/>
      <c r="Y104" s="147"/>
      <c r="Z104" s="147"/>
      <c r="AA104" s="144"/>
      <c r="AB104" s="148">
        <f>SUM(P104:AA104)</f>
        <v>0</v>
      </c>
      <c r="AE104" s="294"/>
      <c r="AF104" s="144"/>
      <c r="AG104" s="144"/>
      <c r="AH104" s="144">
        <v>589.45000000000005</v>
      </c>
      <c r="AI104" s="144">
        <v>1043.6099999999999</v>
      </c>
      <c r="AJ104" s="203">
        <f>1051.72-1043.61+1055.75</f>
        <v>1063.8600000000001</v>
      </c>
      <c r="AK104" s="203">
        <v>1051.72</v>
      </c>
      <c r="AL104" s="144">
        <v>1051.72</v>
      </c>
      <c r="AM104" s="144">
        <v>1051.72</v>
      </c>
      <c r="AN104" s="144">
        <v>1051.72</v>
      </c>
      <c r="AO104" s="144">
        <v>1051.72</v>
      </c>
      <c r="AP104" s="203">
        <v>1051.72</v>
      </c>
      <c r="AQ104" s="148">
        <f t="shared" ref="AQ104" si="133">SUM(AE104:AP104)</f>
        <v>9007.2400000000016</v>
      </c>
      <c r="AU104" s="294">
        <v>400</v>
      </c>
      <c r="AV104" s="144"/>
      <c r="AW104" s="147"/>
      <c r="AX104" s="144">
        <v>995.26</v>
      </c>
      <c r="AY104" s="144">
        <v>1100</v>
      </c>
      <c r="AZ104" s="203">
        <v>1100</v>
      </c>
      <c r="BA104" s="144">
        <v>1150.04</v>
      </c>
      <c r="BB104" s="144">
        <v>1150.05</v>
      </c>
      <c r="BC104" s="227">
        <f>1195.67+300</f>
        <v>1495.67</v>
      </c>
      <c r="BD104" s="144">
        <v>1195.67</v>
      </c>
      <c r="BE104" s="203">
        <v>1093.96</v>
      </c>
      <c r="BF104" s="147"/>
      <c r="BG104" s="148">
        <f t="shared" si="129"/>
        <v>9680.6500000000015</v>
      </c>
      <c r="BH104" s="160"/>
      <c r="BJ104" s="294">
        <v>750</v>
      </c>
      <c r="BK104" s="144">
        <v>97.5</v>
      </c>
      <c r="BL104" s="147"/>
      <c r="BM104" s="147"/>
      <c r="BN104" s="147"/>
      <c r="BO104" s="147"/>
      <c r="BP104" s="144">
        <v>1050</v>
      </c>
      <c r="BQ104" s="144">
        <v>1059</v>
      </c>
      <c r="BR104" s="147"/>
      <c r="BS104" s="169"/>
      <c r="BT104" s="169"/>
      <c r="BU104" s="169"/>
      <c r="BV104" s="148">
        <f t="shared" si="128"/>
        <v>2956.5</v>
      </c>
      <c r="BY104" s="228"/>
      <c r="BZ104" s="169"/>
      <c r="CA104" s="169"/>
      <c r="CB104" s="169"/>
      <c r="CC104" s="169"/>
      <c r="CD104" s="169"/>
      <c r="CE104" s="169"/>
      <c r="CF104" s="169"/>
      <c r="CG104" s="169"/>
      <c r="CH104" s="169"/>
      <c r="CI104" s="169"/>
      <c r="CJ104" s="169"/>
      <c r="CK104" s="148">
        <f>SUM(BY104:CJ104)</f>
        <v>0</v>
      </c>
      <c r="CN104" s="228"/>
      <c r="CO104" s="169"/>
      <c r="CP104" s="169"/>
      <c r="CQ104" s="169"/>
      <c r="CR104" s="169"/>
      <c r="CS104" s="169"/>
      <c r="CT104" s="169"/>
      <c r="CU104" s="169"/>
      <c r="CV104" s="169"/>
      <c r="CW104" s="169"/>
      <c r="CX104" s="169"/>
      <c r="CY104" s="169"/>
      <c r="CZ104" s="148">
        <f>SUM(CN104:CY104)</f>
        <v>0</v>
      </c>
      <c r="DB104" s="142"/>
      <c r="DC104" s="143"/>
    </row>
    <row r="105" spans="2:107">
      <c r="B105" s="143" t="s">
        <v>110</v>
      </c>
      <c r="C105" s="144"/>
      <c r="D105" s="144"/>
      <c r="E105" s="211"/>
      <c r="F105" s="211"/>
      <c r="G105" s="144"/>
      <c r="H105" s="140"/>
      <c r="I105" s="140"/>
      <c r="J105" s="227"/>
      <c r="K105" s="144"/>
      <c r="L105" s="144"/>
      <c r="M105" s="147"/>
      <c r="N105" s="211"/>
      <c r="O105" s="148">
        <f t="shared" si="125"/>
        <v>0</v>
      </c>
      <c r="P105" s="246"/>
      <c r="Q105" s="146"/>
      <c r="R105" s="146"/>
      <c r="S105" s="146"/>
      <c r="T105" s="146"/>
      <c r="U105" s="146"/>
      <c r="V105" s="146"/>
      <c r="W105" s="146"/>
      <c r="X105" s="146"/>
      <c r="Y105" s="146"/>
      <c r="Z105" s="146"/>
      <c r="AA105" s="146"/>
      <c r="AB105" s="148">
        <f t="shared" si="126"/>
        <v>0</v>
      </c>
      <c r="AE105" s="322"/>
      <c r="AF105" s="147"/>
      <c r="AG105" s="147"/>
      <c r="AH105" s="147"/>
      <c r="AI105" s="227">
        <v>500</v>
      </c>
      <c r="AJ105" s="147"/>
      <c r="AK105" s="147"/>
      <c r="AL105" s="147"/>
      <c r="AM105" s="147"/>
      <c r="AN105" s="147"/>
      <c r="AO105" s="147"/>
      <c r="AP105" s="147"/>
      <c r="AQ105" s="148">
        <f t="shared" si="127"/>
        <v>500</v>
      </c>
      <c r="AU105" s="225"/>
      <c r="AV105" s="147"/>
      <c r="AW105" s="227">
        <v>130</v>
      </c>
      <c r="AX105" s="140"/>
      <c r="AY105" s="147"/>
      <c r="AZ105" s="227">
        <v>400</v>
      </c>
      <c r="BA105" s="147"/>
      <c r="BB105" s="147"/>
      <c r="BC105" s="147"/>
      <c r="BD105" s="147"/>
      <c r="BE105" s="147"/>
      <c r="BF105" s="147"/>
      <c r="BG105" s="148">
        <f t="shared" si="129"/>
        <v>530</v>
      </c>
      <c r="BH105" s="160"/>
      <c r="BJ105" s="225"/>
      <c r="BK105" s="140"/>
      <c r="BL105" s="147"/>
      <c r="BM105" s="272"/>
      <c r="BN105" s="272"/>
      <c r="BO105" s="227">
        <f>51*10+3+90</f>
        <v>603</v>
      </c>
      <c r="BP105" s="147"/>
      <c r="BQ105" s="147"/>
      <c r="BR105" s="147"/>
      <c r="BS105" s="169"/>
      <c r="BT105" s="169">
        <v>200</v>
      </c>
      <c r="BU105" s="169"/>
      <c r="BV105" s="148">
        <f t="shared" si="128"/>
        <v>803</v>
      </c>
      <c r="BY105" s="228">
        <v>200</v>
      </c>
      <c r="BZ105" s="169"/>
      <c r="CA105" s="169"/>
      <c r="CB105" s="169">
        <v>200</v>
      </c>
      <c r="CC105" s="169"/>
      <c r="CD105" s="169"/>
      <c r="CE105" s="169">
        <v>200</v>
      </c>
      <c r="CF105" s="169"/>
      <c r="CG105" s="169"/>
      <c r="CH105" s="169">
        <v>200</v>
      </c>
      <c r="CI105" s="169"/>
      <c r="CJ105" s="169"/>
      <c r="CK105" s="148">
        <f t="shared" ref="CK105:CK106" si="134">SUM(BY105:CJ105)</f>
        <v>800</v>
      </c>
      <c r="CN105" s="228">
        <v>200</v>
      </c>
      <c r="CO105" s="169"/>
      <c r="CP105" s="169"/>
      <c r="CQ105" s="169">
        <v>200</v>
      </c>
      <c r="CR105" s="169"/>
      <c r="CS105" s="169"/>
      <c r="CT105" s="169">
        <v>200</v>
      </c>
      <c r="CU105" s="169"/>
      <c r="CV105" s="169"/>
      <c r="CW105" s="169">
        <v>200</v>
      </c>
      <c r="CX105" s="169"/>
      <c r="CY105" s="169"/>
      <c r="CZ105" s="148">
        <f t="shared" ref="CZ105:CZ106" si="135">SUM(CN105:CY105)</f>
        <v>800</v>
      </c>
      <c r="DB105" s="142"/>
      <c r="DC105" s="143"/>
    </row>
    <row r="106" spans="2:107">
      <c r="B106" s="143" t="s">
        <v>111</v>
      </c>
      <c r="C106" s="144"/>
      <c r="D106" s="144"/>
      <c r="E106" s="144"/>
      <c r="F106" s="144"/>
      <c r="G106" s="144"/>
      <c r="H106" s="144"/>
      <c r="I106" s="212"/>
      <c r="J106" s="144"/>
      <c r="K106" s="144"/>
      <c r="L106" s="144"/>
      <c r="M106" s="147"/>
      <c r="N106" s="147"/>
      <c r="O106" s="148">
        <f t="shared" ref="O106" si="136">SUM(C106:N106)</f>
        <v>0</v>
      </c>
      <c r="P106" s="225"/>
      <c r="Q106" s="147"/>
      <c r="R106" s="147"/>
      <c r="S106" s="147"/>
      <c r="T106" s="147"/>
      <c r="U106" s="147"/>
      <c r="V106" s="147"/>
      <c r="W106" s="147"/>
      <c r="X106" s="147"/>
      <c r="Y106" s="147"/>
      <c r="Z106" s="147"/>
      <c r="AA106" s="147"/>
      <c r="AB106" s="148">
        <f t="shared" ref="AB106" si="137">SUM(P106:AA106)</f>
        <v>0</v>
      </c>
      <c r="AE106" s="294">
        <v>661.64</v>
      </c>
      <c r="AF106" s="144">
        <v>661.64</v>
      </c>
      <c r="AG106" s="144">
        <v>996.41</v>
      </c>
      <c r="AH106" s="144">
        <v>996.41</v>
      </c>
      <c r="AI106" s="323">
        <v>988.31</v>
      </c>
      <c r="AJ106" s="323">
        <v>1061.1300000000001</v>
      </c>
      <c r="AK106" s="144">
        <v>1051.3499999999999</v>
      </c>
      <c r="AL106" s="144">
        <v>1061.1300000000001</v>
      </c>
      <c r="AM106" s="144">
        <v>1061.1300000000001</v>
      </c>
      <c r="AN106" s="144">
        <v>1061.1300000000001</v>
      </c>
      <c r="AO106" s="144">
        <v>1061.1300000000001</v>
      </c>
      <c r="AP106" s="144">
        <v>1061.1300000000001</v>
      </c>
      <c r="AQ106" s="148">
        <f t="shared" si="127"/>
        <v>11722.54</v>
      </c>
      <c r="AU106" s="294">
        <v>1061.1300000000001</v>
      </c>
      <c r="AV106" s="144">
        <f>1013.94</f>
        <v>1013.94</v>
      </c>
      <c r="AW106" s="144">
        <v>1061.1300000000001</v>
      </c>
      <c r="AX106" s="144">
        <f>1061.13+9.78</f>
        <v>1070.9100000000001</v>
      </c>
      <c r="AY106" s="144">
        <f>1178.96</f>
        <v>1178.96</v>
      </c>
      <c r="AZ106" s="203">
        <f>1111.86</f>
        <v>1111.8599999999999</v>
      </c>
      <c r="BA106" s="144">
        <f>1063.23</f>
        <v>1063.23</v>
      </c>
      <c r="BB106" s="144">
        <f>1139.22</f>
        <v>1139.22</v>
      </c>
      <c r="BC106" s="144">
        <f>BB106</f>
        <v>1139.22</v>
      </c>
      <c r="BD106" s="144">
        <v>1139.1600000000001</v>
      </c>
      <c r="BE106" s="203">
        <f t="shared" ref="BE106" si="138">BD106</f>
        <v>1139.1600000000001</v>
      </c>
      <c r="BF106" s="144">
        <v>1101.1500000000001</v>
      </c>
      <c r="BG106" s="148">
        <f t="shared" si="129"/>
        <v>13219.069999999998</v>
      </c>
      <c r="BH106" s="160"/>
      <c r="BJ106" s="294">
        <v>759.44</v>
      </c>
      <c r="BK106" s="144">
        <v>1012.57</v>
      </c>
      <c r="BL106" s="538">
        <v>1126.46</v>
      </c>
      <c r="BM106" s="144">
        <v>1139.1600000000001</v>
      </c>
      <c r="BN106" s="144">
        <f>1248.64+32.76</f>
        <v>1281.4000000000001</v>
      </c>
      <c r="BO106" s="144">
        <v>1249.27</v>
      </c>
      <c r="BP106" s="144">
        <v>1182.19</v>
      </c>
      <c r="BQ106" s="144">
        <v>1356.8</v>
      </c>
      <c r="BR106" s="144">
        <v>1312.54</v>
      </c>
      <c r="BS106" s="230">
        <v>1192.43</v>
      </c>
      <c r="BT106" s="169">
        <v>1000</v>
      </c>
      <c r="BU106" s="169">
        <v>1000</v>
      </c>
      <c r="BV106" s="148">
        <f t="shared" si="128"/>
        <v>13612.260000000002</v>
      </c>
      <c r="BY106" s="228">
        <v>1000</v>
      </c>
      <c r="BZ106" s="169">
        <v>1000</v>
      </c>
      <c r="CA106" s="169">
        <v>1000</v>
      </c>
      <c r="CB106" s="169">
        <v>1000</v>
      </c>
      <c r="CC106" s="169">
        <v>1000</v>
      </c>
      <c r="CD106" s="169">
        <v>1000</v>
      </c>
      <c r="CE106" s="169">
        <v>1000</v>
      </c>
      <c r="CF106" s="169">
        <v>1000</v>
      </c>
      <c r="CG106" s="169">
        <v>1000</v>
      </c>
      <c r="CH106" s="169">
        <v>1000</v>
      </c>
      <c r="CI106" s="169">
        <v>1000</v>
      </c>
      <c r="CJ106" s="169">
        <v>1000</v>
      </c>
      <c r="CK106" s="148">
        <f t="shared" si="134"/>
        <v>12000</v>
      </c>
      <c r="CN106" s="228">
        <v>1178</v>
      </c>
      <c r="CO106" s="169">
        <f>CN106</f>
        <v>1178</v>
      </c>
      <c r="CP106" s="169">
        <f t="shared" ref="CP106" si="139">CO106</f>
        <v>1178</v>
      </c>
      <c r="CQ106" s="169">
        <f t="shared" ref="CQ106" si="140">CP106</f>
        <v>1178</v>
      </c>
      <c r="CR106" s="169">
        <f t="shared" ref="CR106" si="141">CQ106</f>
        <v>1178</v>
      </c>
      <c r="CS106" s="169">
        <f t="shared" ref="CS106" si="142">CR106</f>
        <v>1178</v>
      </c>
      <c r="CT106" s="169">
        <f t="shared" ref="CT106" si="143">CS106</f>
        <v>1178</v>
      </c>
      <c r="CU106" s="169">
        <f t="shared" ref="CU106" si="144">CT106</f>
        <v>1178</v>
      </c>
      <c r="CV106" s="169">
        <f t="shared" ref="CV106" si="145">CU106</f>
        <v>1178</v>
      </c>
      <c r="CW106" s="169">
        <f t="shared" ref="CW106" si="146">CV106</f>
        <v>1178</v>
      </c>
      <c r="CX106" s="169">
        <f t="shared" ref="CX106" si="147">CW106</f>
        <v>1178</v>
      </c>
      <c r="CY106" s="169">
        <f t="shared" ref="CY106" si="148">CX106</f>
        <v>1178</v>
      </c>
      <c r="CZ106" s="148">
        <f t="shared" si="135"/>
        <v>14136</v>
      </c>
      <c r="DB106" s="142"/>
      <c r="DC106" s="143"/>
    </row>
    <row r="107" spans="2:107">
      <c r="B107" s="143" t="s">
        <v>112</v>
      </c>
      <c r="C107" s="140"/>
      <c r="D107" s="140"/>
      <c r="E107" s="140"/>
      <c r="F107" s="140"/>
      <c r="G107" s="145"/>
      <c r="H107" s="140"/>
      <c r="I107" s="140"/>
      <c r="J107" s="147"/>
      <c r="K107" s="144"/>
      <c r="L107" s="144"/>
      <c r="M107" s="211"/>
      <c r="N107" s="205"/>
      <c r="O107" s="148">
        <f t="shared" si="125"/>
        <v>0</v>
      </c>
      <c r="P107" s="246"/>
      <c r="Q107" s="146"/>
      <c r="R107" s="146"/>
      <c r="S107" s="146"/>
      <c r="T107" s="146"/>
      <c r="U107" s="147"/>
      <c r="V107" s="146"/>
      <c r="W107" s="146"/>
      <c r="X107" s="146"/>
      <c r="Y107" s="146"/>
      <c r="Z107" s="146"/>
      <c r="AA107" s="205"/>
      <c r="AB107" s="148">
        <f t="shared" si="126"/>
        <v>0</v>
      </c>
      <c r="AE107" s="246"/>
      <c r="AF107" s="144">
        <f>507.14+424.14+640</f>
        <v>1571.28</v>
      </c>
      <c r="AG107" s="211"/>
      <c r="AH107" s="146"/>
      <c r="AI107" s="146"/>
      <c r="AJ107" s="144">
        <f>847+121</f>
        <v>968</v>
      </c>
      <c r="AK107" s="146"/>
      <c r="AL107" s="146"/>
      <c r="AM107" s="146"/>
      <c r="AN107" s="146"/>
      <c r="AO107" s="146"/>
      <c r="AP107" s="205"/>
      <c r="AQ107" s="148">
        <f t="shared" si="127"/>
        <v>2539.2799999999997</v>
      </c>
      <c r="AU107" s="246"/>
      <c r="AV107" s="146"/>
      <c r="AW107" s="203">
        <f>363</f>
        <v>363</v>
      </c>
      <c r="AX107" s="146"/>
      <c r="AY107" s="146"/>
      <c r="AZ107" s="495">
        <v>-223.93</v>
      </c>
      <c r="BA107" s="146"/>
      <c r="BB107" s="146"/>
      <c r="BC107" s="146"/>
      <c r="BD107" s="146"/>
      <c r="BE107" s="146"/>
      <c r="BF107" s="205"/>
      <c r="BG107" s="148">
        <f t="shared" si="129"/>
        <v>139.07</v>
      </c>
      <c r="BH107" s="160"/>
      <c r="BJ107" s="246"/>
      <c r="BK107" s="146"/>
      <c r="BL107" s="146"/>
      <c r="BM107" s="146"/>
      <c r="BN107" s="146"/>
      <c r="BO107" s="146"/>
      <c r="BP107" s="146"/>
      <c r="BQ107" s="146"/>
      <c r="BR107" s="146"/>
      <c r="BS107" s="160"/>
      <c r="BT107" s="160"/>
      <c r="BU107" s="159"/>
      <c r="BV107" s="148">
        <f t="shared" si="128"/>
        <v>0</v>
      </c>
      <c r="BY107" s="228"/>
      <c r="BZ107" s="169"/>
      <c r="CA107" s="169"/>
      <c r="CB107" s="169"/>
      <c r="CC107" s="169"/>
      <c r="CD107" s="169"/>
      <c r="CE107" s="169"/>
      <c r="CF107" s="169"/>
      <c r="CG107" s="169"/>
      <c r="CH107" s="169"/>
      <c r="CI107" s="169"/>
      <c r="CJ107" s="170"/>
      <c r="CK107" s="148">
        <f>SUM(BY107:CJ107)</f>
        <v>0</v>
      </c>
      <c r="CN107" s="228"/>
      <c r="CO107" s="169"/>
      <c r="CP107" s="169"/>
      <c r="CQ107" s="169"/>
      <c r="CR107" s="169"/>
      <c r="CS107" s="169"/>
      <c r="CT107" s="169"/>
      <c r="CU107" s="169"/>
      <c r="CV107" s="169"/>
      <c r="CW107" s="169"/>
      <c r="CX107" s="169"/>
      <c r="CY107" s="170"/>
      <c r="CZ107" s="148">
        <f>SUM(CN107:CY107)</f>
        <v>0</v>
      </c>
      <c r="DB107" s="142"/>
      <c r="DC107" s="143"/>
    </row>
    <row r="108" spans="2:107">
      <c r="B108" s="127" t="s">
        <v>113</v>
      </c>
      <c r="C108" s="144"/>
      <c r="D108" s="144"/>
      <c r="E108" s="144"/>
      <c r="F108" s="144"/>
      <c r="G108" s="144"/>
      <c r="H108" s="140"/>
      <c r="I108" s="144"/>
      <c r="J108" s="144"/>
      <c r="K108" s="144"/>
      <c r="L108" s="144"/>
      <c r="M108" s="147"/>
      <c r="N108" s="147"/>
      <c r="O108" s="148">
        <f t="shared" si="125"/>
        <v>0</v>
      </c>
      <c r="P108" s="324"/>
      <c r="Q108" s="211"/>
      <c r="R108" s="211"/>
      <c r="S108" s="211"/>
      <c r="T108" s="211"/>
      <c r="U108" s="211"/>
      <c r="V108" s="211"/>
      <c r="W108" s="211"/>
      <c r="X108" s="211"/>
      <c r="Y108" s="211"/>
      <c r="Z108" s="211"/>
      <c r="AA108" s="325">
        <v>93.17</v>
      </c>
      <c r="AB108" s="148">
        <f t="shared" si="126"/>
        <v>93.17</v>
      </c>
      <c r="AE108" s="324"/>
      <c r="AF108" s="144">
        <f>82.28+93.17</f>
        <v>175.45</v>
      </c>
      <c r="AG108" s="144">
        <v>93.17</v>
      </c>
      <c r="AH108" s="147"/>
      <c r="AI108" s="144">
        <f>93.17</f>
        <v>93.17</v>
      </c>
      <c r="AJ108" s="144">
        <v>96.16</v>
      </c>
      <c r="AK108" s="144">
        <v>96.16</v>
      </c>
      <c r="AL108" s="144">
        <v>96.16</v>
      </c>
      <c r="AM108" s="144">
        <f>96.16+96.16</f>
        <v>192.32</v>
      </c>
      <c r="AN108" s="147"/>
      <c r="AO108" s="144">
        <f>107.4+84.92</f>
        <v>192.32</v>
      </c>
      <c r="AP108" s="144">
        <f>84.92</f>
        <v>84.92</v>
      </c>
      <c r="AQ108" s="148">
        <f t="shared" si="127"/>
        <v>1119.83</v>
      </c>
      <c r="AU108" s="324"/>
      <c r="AV108" s="144">
        <f>96.16+107.4</f>
        <v>203.56</v>
      </c>
      <c r="AW108" s="144">
        <v>96.16</v>
      </c>
      <c r="AX108" s="144">
        <v>107.4</v>
      </c>
      <c r="AY108" s="144">
        <v>98.26</v>
      </c>
      <c r="AZ108" s="211"/>
      <c r="BA108" s="144">
        <f>98.26+98.26</f>
        <v>196.52</v>
      </c>
      <c r="BB108" s="144">
        <f>98.26</f>
        <v>98.26</v>
      </c>
      <c r="BC108" s="144">
        <f>98.26</f>
        <v>98.26</v>
      </c>
      <c r="BD108" s="211"/>
      <c r="BE108" s="144">
        <f>207.16+98.26</f>
        <v>305.42</v>
      </c>
      <c r="BF108" s="144">
        <f>98.26</f>
        <v>98.26</v>
      </c>
      <c r="BG108" s="148">
        <f t="shared" si="129"/>
        <v>1302.0999999999999</v>
      </c>
      <c r="BH108" s="160"/>
      <c r="BJ108" s="324"/>
      <c r="BK108" s="144">
        <f>98.26+109.75</f>
        <v>208.01</v>
      </c>
      <c r="BL108" s="144">
        <v>98.26</v>
      </c>
      <c r="BM108" s="144">
        <v>98.26</v>
      </c>
      <c r="BN108" s="144">
        <v>112.95</v>
      </c>
      <c r="BO108" s="144">
        <v>101.13</v>
      </c>
      <c r="BP108" s="144">
        <v>112.95</v>
      </c>
      <c r="BQ108" s="144">
        <v>112.95</v>
      </c>
      <c r="BR108" s="144">
        <v>101.13</v>
      </c>
      <c r="BS108" s="169">
        <v>101.13</v>
      </c>
      <c r="BT108" s="169">
        <v>101.13</v>
      </c>
      <c r="BU108" s="169">
        <v>101.13</v>
      </c>
      <c r="BV108" s="148">
        <f t="shared" si="128"/>
        <v>1249.0300000000002</v>
      </c>
      <c r="BY108" s="228">
        <v>96.16</v>
      </c>
      <c r="BZ108" s="169">
        <v>96.16</v>
      </c>
      <c r="CA108" s="169">
        <v>96.16</v>
      </c>
      <c r="CB108" s="169">
        <v>96.16</v>
      </c>
      <c r="CC108" s="169">
        <v>96.16</v>
      </c>
      <c r="CD108" s="169">
        <v>96.16</v>
      </c>
      <c r="CE108" s="169">
        <v>96.16</v>
      </c>
      <c r="CF108" s="169">
        <v>96.16</v>
      </c>
      <c r="CG108" s="169">
        <v>96.16</v>
      </c>
      <c r="CH108" s="169">
        <v>96.16</v>
      </c>
      <c r="CI108" s="169">
        <v>96.16</v>
      </c>
      <c r="CJ108" s="169">
        <v>96.16</v>
      </c>
      <c r="CK108" s="148">
        <f t="shared" ref="CK108:CK119" si="149">SUM(BY108:CJ108)</f>
        <v>1153.9199999999998</v>
      </c>
      <c r="CN108" s="228">
        <v>96.16</v>
      </c>
      <c r="CO108" s="169">
        <v>96.16</v>
      </c>
      <c r="CP108" s="169">
        <v>96.16</v>
      </c>
      <c r="CQ108" s="169">
        <v>96.16</v>
      </c>
      <c r="CR108" s="169">
        <v>96.16</v>
      </c>
      <c r="CS108" s="169">
        <v>96.16</v>
      </c>
      <c r="CT108" s="169">
        <v>96.16</v>
      </c>
      <c r="CU108" s="169">
        <v>96.16</v>
      </c>
      <c r="CV108" s="169">
        <v>96.16</v>
      </c>
      <c r="CW108" s="169">
        <v>96.16</v>
      </c>
      <c r="CX108" s="169">
        <v>96.16</v>
      </c>
      <c r="CY108" s="169">
        <v>96.16</v>
      </c>
      <c r="CZ108" s="148">
        <f t="shared" ref="CZ108:CZ119" si="150">SUM(CN108:CY108)</f>
        <v>1153.9199999999998</v>
      </c>
      <c r="DB108" s="142"/>
      <c r="DC108" s="143"/>
    </row>
    <row r="109" spans="2:107">
      <c r="B109" s="127" t="s">
        <v>114</v>
      </c>
      <c r="C109" s="144"/>
      <c r="D109" s="144"/>
      <c r="E109" s="144"/>
      <c r="F109" s="144"/>
      <c r="G109" s="211"/>
      <c r="H109" s="144">
        <v>585.64</v>
      </c>
      <c r="I109" s="144">
        <f>66.55-169.4</f>
        <v>-102.85000000000001</v>
      </c>
      <c r="J109" s="144">
        <v>90.75</v>
      </c>
      <c r="K109" s="144">
        <v>153.07</v>
      </c>
      <c r="L109" s="144">
        <v>90.75</v>
      </c>
      <c r="M109" s="144">
        <v>90.75</v>
      </c>
      <c r="N109" s="144">
        <v>90.75</v>
      </c>
      <c r="O109" s="148">
        <f t="shared" si="125"/>
        <v>998.8599999999999</v>
      </c>
      <c r="P109" s="294">
        <v>90.75</v>
      </c>
      <c r="Q109" s="144">
        <v>90.75</v>
      </c>
      <c r="R109" s="144">
        <v>90.75</v>
      </c>
      <c r="S109" s="144">
        <v>90.75</v>
      </c>
      <c r="T109" s="144">
        <v>90.75</v>
      </c>
      <c r="U109" s="144">
        <v>90.75</v>
      </c>
      <c r="V109" s="144">
        <v>95.93</v>
      </c>
      <c r="W109" s="144">
        <v>95.93</v>
      </c>
      <c r="X109" s="144">
        <v>156.02000000000001</v>
      </c>
      <c r="Y109" s="144">
        <v>124.97</v>
      </c>
      <c r="Z109" s="144">
        <v>95.93</v>
      </c>
      <c r="AA109" s="144">
        <v>95.93</v>
      </c>
      <c r="AB109" s="148">
        <f t="shared" si="126"/>
        <v>1209.2100000000003</v>
      </c>
      <c r="AE109" s="294">
        <v>95.93</v>
      </c>
      <c r="AF109" s="144">
        <v>95.93</v>
      </c>
      <c r="AG109" s="144">
        <v>95.93</v>
      </c>
      <c r="AH109" s="144">
        <v>95.93</v>
      </c>
      <c r="AI109" s="144">
        <v>95.93</v>
      </c>
      <c r="AJ109" s="144">
        <v>95.93</v>
      </c>
      <c r="AK109" s="144">
        <v>98.91</v>
      </c>
      <c r="AL109" s="144">
        <v>98.91</v>
      </c>
      <c r="AM109" s="144">
        <v>98.91</v>
      </c>
      <c r="AN109" s="144">
        <v>98.91</v>
      </c>
      <c r="AO109" s="144">
        <f>98.91+98.91</f>
        <v>197.82</v>
      </c>
      <c r="AP109" s="147"/>
      <c r="AQ109" s="148">
        <f t="shared" si="127"/>
        <v>1169.04</v>
      </c>
      <c r="AS109" s="326"/>
      <c r="AT109" s="214"/>
      <c r="AU109" s="294">
        <v>98.91</v>
      </c>
      <c r="AV109" s="144">
        <v>168.73</v>
      </c>
      <c r="AW109" s="144">
        <v>98.91</v>
      </c>
      <c r="AX109" s="144">
        <v>98.91</v>
      </c>
      <c r="AY109" s="144">
        <v>98.91</v>
      </c>
      <c r="AZ109" s="144">
        <v>98.91</v>
      </c>
      <c r="BA109" s="144">
        <v>101.66</v>
      </c>
      <c r="BB109" s="144">
        <v>101.66</v>
      </c>
      <c r="BC109" s="144">
        <v>101.66</v>
      </c>
      <c r="BD109" s="144">
        <v>130.69999999999999</v>
      </c>
      <c r="BE109" s="144">
        <v>101.66</v>
      </c>
      <c r="BF109" s="144">
        <v>101.66</v>
      </c>
      <c r="BG109" s="148">
        <f t="shared" si="129"/>
        <v>1302.28</v>
      </c>
      <c r="BH109" s="160"/>
      <c r="BJ109" s="294">
        <v>101.66</v>
      </c>
      <c r="BK109" s="144">
        <f>101.66+164.82</f>
        <v>266.48</v>
      </c>
      <c r="BL109" s="147"/>
      <c r="BM109" s="144">
        <f>101.66+101.66</f>
        <v>203.32</v>
      </c>
      <c r="BN109" s="147"/>
      <c r="BO109" s="144">
        <f>101.66</f>
        <v>101.66</v>
      </c>
      <c r="BP109" s="144">
        <f>104.01*2</f>
        <v>208.02</v>
      </c>
      <c r="BQ109" s="147"/>
      <c r="BR109" s="144">
        <v>104.01</v>
      </c>
      <c r="BS109" s="214">
        <v>104.01</v>
      </c>
      <c r="BT109" s="169">
        <v>104.01</v>
      </c>
      <c r="BU109" s="169">
        <v>104.01</v>
      </c>
      <c r="BV109" s="148">
        <f t="shared" si="128"/>
        <v>1297.18</v>
      </c>
      <c r="BY109" s="228">
        <v>98.91</v>
      </c>
      <c r="BZ109" s="169">
        <v>98.91</v>
      </c>
      <c r="CA109" s="169">
        <v>98.91</v>
      </c>
      <c r="CB109" s="169">
        <v>98.91</v>
      </c>
      <c r="CC109" s="169">
        <v>98.91</v>
      </c>
      <c r="CD109" s="169">
        <v>98.91</v>
      </c>
      <c r="CE109" s="169">
        <v>98.91</v>
      </c>
      <c r="CF109" s="169">
        <v>98.91</v>
      </c>
      <c r="CG109" s="169">
        <v>98.91</v>
      </c>
      <c r="CH109" s="169">
        <v>98.91</v>
      </c>
      <c r="CI109" s="169">
        <v>98.91</v>
      </c>
      <c r="CJ109" s="169">
        <v>98.91</v>
      </c>
      <c r="CK109" s="148">
        <f t="shared" si="149"/>
        <v>1186.9199999999998</v>
      </c>
      <c r="CN109" s="228">
        <v>98.91</v>
      </c>
      <c r="CO109" s="169">
        <v>98.91</v>
      </c>
      <c r="CP109" s="169">
        <v>98.91</v>
      </c>
      <c r="CQ109" s="169">
        <v>98.91</v>
      </c>
      <c r="CR109" s="169">
        <v>98.91</v>
      </c>
      <c r="CS109" s="169">
        <v>98.91</v>
      </c>
      <c r="CT109" s="169">
        <v>98.91</v>
      </c>
      <c r="CU109" s="169">
        <v>98.91</v>
      </c>
      <c r="CV109" s="169">
        <v>98.91</v>
      </c>
      <c r="CW109" s="169">
        <v>98.91</v>
      </c>
      <c r="CX109" s="169">
        <v>98.91</v>
      </c>
      <c r="CY109" s="169">
        <v>98.91</v>
      </c>
      <c r="CZ109" s="148">
        <f t="shared" si="150"/>
        <v>1186.9199999999998</v>
      </c>
      <c r="DB109" s="142"/>
      <c r="DC109" s="143"/>
    </row>
    <row r="110" spans="2:107">
      <c r="B110" s="127" t="s">
        <v>115</v>
      </c>
      <c r="C110" s="144"/>
      <c r="D110" s="144"/>
      <c r="E110" s="203">
        <v>0.85</v>
      </c>
      <c r="F110" s="203"/>
      <c r="G110" s="203">
        <f>0.85+12</f>
        <v>12.85</v>
      </c>
      <c r="H110" s="203"/>
      <c r="I110" s="203">
        <v>0.85</v>
      </c>
      <c r="J110" s="203">
        <f>0.85+12</f>
        <v>12.85</v>
      </c>
      <c r="K110" s="203">
        <v>0.91</v>
      </c>
      <c r="L110" s="203">
        <v>0.91</v>
      </c>
      <c r="M110" s="203">
        <v>12</v>
      </c>
      <c r="N110" s="327">
        <v>1.82</v>
      </c>
      <c r="O110" s="148">
        <f t="shared" si="125"/>
        <v>43.04</v>
      </c>
      <c r="P110" s="294">
        <v>0.91</v>
      </c>
      <c r="Q110" s="144">
        <f>30+0.91</f>
        <v>30.91</v>
      </c>
      <c r="R110" s="144">
        <v>0.91</v>
      </c>
      <c r="S110" s="144">
        <v>0.91</v>
      </c>
      <c r="T110" s="144">
        <f>30+0.94</f>
        <v>30.94</v>
      </c>
      <c r="U110" s="144">
        <v>0.94</v>
      </c>
      <c r="V110" s="144">
        <v>0.94</v>
      </c>
      <c r="W110" s="144">
        <v>30</v>
      </c>
      <c r="X110" s="147"/>
      <c r="Y110" s="147"/>
      <c r="Z110" s="144">
        <v>30</v>
      </c>
      <c r="AA110" s="147"/>
      <c r="AB110" s="148">
        <f t="shared" si="126"/>
        <v>126.46</v>
      </c>
      <c r="AE110" s="294">
        <v>9.67</v>
      </c>
      <c r="AF110" s="144">
        <v>18.190000000000001</v>
      </c>
      <c r="AG110" s="144">
        <f>18.47</f>
        <v>18.47</v>
      </c>
      <c r="AH110" s="147"/>
      <c r="AI110" s="147"/>
      <c r="AJ110" s="144">
        <v>2</v>
      </c>
      <c r="AK110" s="144">
        <f>30+116</f>
        <v>146</v>
      </c>
      <c r="AL110" s="144"/>
      <c r="AM110" s="147"/>
      <c r="AN110" s="147"/>
      <c r="AO110" s="144">
        <v>10</v>
      </c>
      <c r="AP110" s="144">
        <f>13.41+13.54+16.79+12</f>
        <v>55.739999999999995</v>
      </c>
      <c r="AQ110" s="148">
        <f t="shared" si="127"/>
        <v>260.07</v>
      </c>
      <c r="AU110" s="294">
        <v>40</v>
      </c>
      <c r="AV110" s="144">
        <v>15</v>
      </c>
      <c r="AW110" s="144">
        <f>21+4.06+20.79</f>
        <v>45.849999999999994</v>
      </c>
      <c r="AX110" s="144">
        <f>40+7.95</f>
        <v>47.95</v>
      </c>
      <c r="AY110" s="144">
        <f>10+4.05</f>
        <v>14.05</v>
      </c>
      <c r="AZ110" s="144">
        <v>120</v>
      </c>
      <c r="BA110" s="144">
        <v>40</v>
      </c>
      <c r="BB110" s="147"/>
      <c r="BC110" s="144">
        <f>3+32.4</f>
        <v>35.4</v>
      </c>
      <c r="BD110" s="144">
        <v>40</v>
      </c>
      <c r="BE110" s="144">
        <v>10</v>
      </c>
      <c r="BF110" s="144">
        <v>8.5500000000000007</v>
      </c>
      <c r="BG110" s="148">
        <f t="shared" si="129"/>
        <v>416.8</v>
      </c>
      <c r="BH110" s="160"/>
      <c r="BJ110" s="294">
        <v>40</v>
      </c>
      <c r="BK110" s="147"/>
      <c r="BL110" s="144">
        <v>7.5</v>
      </c>
      <c r="BM110" s="144">
        <f>22.5+10.5+40</f>
        <v>73</v>
      </c>
      <c r="BN110" s="144">
        <f>10</f>
        <v>10</v>
      </c>
      <c r="BO110" s="147"/>
      <c r="BP110" s="144">
        <f>124.99+40</f>
        <v>164.99</v>
      </c>
      <c r="BQ110" s="144">
        <v>52.29</v>
      </c>
      <c r="BR110" s="144">
        <v>-52.29</v>
      </c>
      <c r="BS110" s="169">
        <v>30</v>
      </c>
      <c r="BT110" s="169">
        <v>30</v>
      </c>
      <c r="BU110" s="169"/>
      <c r="BV110" s="148">
        <f t="shared" si="128"/>
        <v>355.49</v>
      </c>
      <c r="BY110" s="228">
        <v>30</v>
      </c>
      <c r="BZ110" s="169"/>
      <c r="CA110" s="169">
        <v>30</v>
      </c>
      <c r="CB110" s="169"/>
      <c r="CC110" s="169">
        <v>30</v>
      </c>
      <c r="CD110" s="169"/>
      <c r="CE110" s="169">
        <v>30</v>
      </c>
      <c r="CF110" s="169"/>
      <c r="CG110" s="169">
        <v>30</v>
      </c>
      <c r="CH110" s="169"/>
      <c r="CI110" s="169">
        <v>30</v>
      </c>
      <c r="CJ110" s="169"/>
      <c r="CK110" s="148">
        <f t="shared" si="149"/>
        <v>180</v>
      </c>
      <c r="CN110" s="228">
        <v>30</v>
      </c>
      <c r="CO110" s="169"/>
      <c r="CP110" s="169">
        <v>30</v>
      </c>
      <c r="CQ110" s="169"/>
      <c r="CR110" s="169">
        <v>30</v>
      </c>
      <c r="CS110" s="169"/>
      <c r="CT110" s="169">
        <v>30</v>
      </c>
      <c r="CU110" s="169"/>
      <c r="CV110" s="169">
        <v>30</v>
      </c>
      <c r="CW110" s="169"/>
      <c r="CX110" s="169">
        <v>30</v>
      </c>
      <c r="CY110" s="169"/>
      <c r="CZ110" s="148">
        <f t="shared" si="150"/>
        <v>180</v>
      </c>
      <c r="DB110" s="142"/>
      <c r="DC110" s="143"/>
    </row>
    <row r="111" spans="2:107">
      <c r="B111" s="127" t="s">
        <v>116</v>
      </c>
      <c r="C111" s="144"/>
      <c r="D111" s="144"/>
      <c r="E111" s="203"/>
      <c r="F111" s="146"/>
      <c r="G111" s="146"/>
      <c r="H111" s="140"/>
      <c r="I111" s="203"/>
      <c r="J111" s="146"/>
      <c r="K111" s="203"/>
      <c r="L111" s="146"/>
      <c r="M111" s="146"/>
      <c r="N111" s="205"/>
      <c r="O111" s="148">
        <f t="shared" si="125"/>
        <v>0</v>
      </c>
      <c r="P111" s="246"/>
      <c r="Q111" s="146"/>
      <c r="R111" s="146"/>
      <c r="S111" s="146"/>
      <c r="T111" s="146"/>
      <c r="U111" s="146"/>
      <c r="V111" s="146"/>
      <c r="W111" s="146"/>
      <c r="X111" s="146"/>
      <c r="Y111" s="146"/>
      <c r="Z111" s="146"/>
      <c r="AA111" s="205"/>
      <c r="AB111" s="148">
        <f t="shared" si="126"/>
        <v>0</v>
      </c>
      <c r="AE111" s="225"/>
      <c r="AF111" s="146"/>
      <c r="AG111" s="146"/>
      <c r="AH111" s="146"/>
      <c r="AI111" s="146"/>
      <c r="AJ111" s="146"/>
      <c r="AK111" s="146"/>
      <c r="AL111" s="146"/>
      <c r="AM111" s="146"/>
      <c r="AN111" s="146"/>
      <c r="AO111" s="146"/>
      <c r="AP111" s="205"/>
      <c r="AQ111" s="148">
        <f t="shared" si="127"/>
        <v>0</v>
      </c>
      <c r="AU111" s="225"/>
      <c r="AV111" s="146"/>
      <c r="AW111" s="146"/>
      <c r="AX111" s="146"/>
      <c r="AY111" s="146"/>
      <c r="AZ111" s="146"/>
      <c r="BA111" s="146"/>
      <c r="BB111" s="146"/>
      <c r="BC111" s="146"/>
      <c r="BD111" s="146"/>
      <c r="BE111" s="146"/>
      <c r="BF111" s="205"/>
      <c r="BG111" s="148">
        <f t="shared" si="129"/>
        <v>0</v>
      </c>
      <c r="BH111" s="160"/>
      <c r="BJ111" s="225"/>
      <c r="BK111" s="146"/>
      <c r="BL111" s="146"/>
      <c r="BM111" s="146"/>
      <c r="BN111" s="146"/>
      <c r="BO111" s="146"/>
      <c r="BP111" s="146"/>
      <c r="BQ111" s="146"/>
      <c r="BR111" s="146"/>
      <c r="BS111" s="160"/>
      <c r="BT111" s="160"/>
      <c r="BU111" s="159"/>
      <c r="BV111" s="148">
        <f t="shared" si="128"/>
        <v>0</v>
      </c>
      <c r="BY111" s="228"/>
      <c r="BZ111" s="169"/>
      <c r="CA111" s="169"/>
      <c r="CB111" s="169"/>
      <c r="CC111" s="169"/>
      <c r="CD111" s="169"/>
      <c r="CE111" s="169"/>
      <c r="CF111" s="169"/>
      <c r="CG111" s="169"/>
      <c r="CH111" s="169"/>
      <c r="CI111" s="169"/>
      <c r="CJ111" s="170"/>
      <c r="CK111" s="148">
        <f t="shared" si="149"/>
        <v>0</v>
      </c>
      <c r="CN111" s="228"/>
      <c r="CO111" s="169"/>
      <c r="CP111" s="169"/>
      <c r="CQ111" s="169"/>
      <c r="CR111" s="169"/>
      <c r="CS111" s="169"/>
      <c r="CT111" s="169"/>
      <c r="CU111" s="169"/>
      <c r="CV111" s="169"/>
      <c r="CW111" s="169"/>
      <c r="CX111" s="169"/>
      <c r="CY111" s="170"/>
      <c r="CZ111" s="148">
        <f t="shared" si="150"/>
        <v>0</v>
      </c>
      <c r="DB111" s="142"/>
      <c r="DC111" s="143"/>
    </row>
    <row r="112" spans="2:107">
      <c r="B112" s="143" t="s">
        <v>117</v>
      </c>
      <c r="C112" s="203"/>
      <c r="D112" s="146"/>
      <c r="E112" s="140"/>
      <c r="F112" s="146"/>
      <c r="G112" s="146"/>
      <c r="H112" s="203"/>
      <c r="I112" s="146"/>
      <c r="J112" s="146"/>
      <c r="K112" s="146"/>
      <c r="L112" s="146"/>
      <c r="M112" s="146"/>
      <c r="N112" s="205"/>
      <c r="O112" s="148">
        <f t="shared" si="125"/>
        <v>0</v>
      </c>
      <c r="P112" s="246"/>
      <c r="Q112" s="146"/>
      <c r="R112" s="146"/>
      <c r="S112" s="146"/>
      <c r="T112" s="146"/>
      <c r="U112" s="147"/>
      <c r="V112" s="146"/>
      <c r="W112" s="146"/>
      <c r="X112" s="146"/>
      <c r="Y112" s="146"/>
      <c r="Z112" s="146"/>
      <c r="AA112" s="205"/>
      <c r="AB112" s="148">
        <f t="shared" si="126"/>
        <v>0</v>
      </c>
      <c r="AE112" s="246"/>
      <c r="AF112" s="146"/>
      <c r="AG112" s="146"/>
      <c r="AH112" s="144">
        <v>542.58000000000004</v>
      </c>
      <c r="AI112" s="146"/>
      <c r="AJ112" s="146"/>
      <c r="AK112" s="140"/>
      <c r="AL112" s="146"/>
      <c r="AM112" s="140"/>
      <c r="AN112" s="146"/>
      <c r="AO112" s="146"/>
      <c r="AP112" s="205"/>
      <c r="AQ112" s="148">
        <f t="shared" si="127"/>
        <v>542.58000000000004</v>
      </c>
      <c r="AU112" s="246"/>
      <c r="AV112" s="146"/>
      <c r="AW112" s="140"/>
      <c r="AX112" s="144">
        <v>550.71</v>
      </c>
      <c r="AY112" s="146"/>
      <c r="AZ112" s="146"/>
      <c r="BA112" s="146"/>
      <c r="BB112" s="146"/>
      <c r="BC112" s="146"/>
      <c r="BD112" s="146"/>
      <c r="BE112" s="146"/>
      <c r="BF112" s="205"/>
      <c r="BG112" s="148">
        <f t="shared" si="129"/>
        <v>550.71</v>
      </c>
      <c r="BH112" s="160"/>
      <c r="BJ112" s="246"/>
      <c r="BK112" s="146"/>
      <c r="BL112" s="146"/>
      <c r="BM112" s="144">
        <v>567.24</v>
      </c>
      <c r="BN112" s="146"/>
      <c r="BO112" s="146"/>
      <c r="BP112" s="146"/>
      <c r="BQ112" s="146"/>
      <c r="BR112" s="146"/>
      <c r="BS112" s="160"/>
      <c r="BT112" s="160"/>
      <c r="BU112" s="159"/>
      <c r="BV112" s="148">
        <f t="shared" si="128"/>
        <v>567.24</v>
      </c>
      <c r="BY112" s="228"/>
      <c r="BZ112" s="169"/>
      <c r="CA112" s="169"/>
      <c r="CB112" s="169">
        <v>567.24</v>
      </c>
      <c r="CC112" s="169"/>
      <c r="CD112" s="169"/>
      <c r="CE112" s="169"/>
      <c r="CF112" s="169"/>
      <c r="CG112" s="169"/>
      <c r="CH112" s="169"/>
      <c r="CI112" s="169"/>
      <c r="CJ112" s="170"/>
      <c r="CK112" s="148">
        <f t="shared" si="149"/>
        <v>567.24</v>
      </c>
      <c r="CN112" s="228"/>
      <c r="CO112" s="169"/>
      <c r="CP112" s="169"/>
      <c r="CQ112" s="169">
        <v>567.24</v>
      </c>
      <c r="CR112" s="169"/>
      <c r="CS112" s="169"/>
      <c r="CT112" s="169"/>
      <c r="CU112" s="169"/>
      <c r="CV112" s="169"/>
      <c r="CW112" s="169"/>
      <c r="CX112" s="169"/>
      <c r="CY112" s="170"/>
      <c r="CZ112" s="148">
        <f t="shared" si="150"/>
        <v>567.24</v>
      </c>
      <c r="DB112" s="142"/>
      <c r="DC112" s="143"/>
    </row>
    <row r="113" spans="2:107">
      <c r="B113" s="143" t="s">
        <v>118</v>
      </c>
      <c r="C113" s="203"/>
      <c r="D113" s="146"/>
      <c r="E113" s="140"/>
      <c r="F113" s="146"/>
      <c r="G113" s="146"/>
      <c r="H113" s="203"/>
      <c r="I113" s="146"/>
      <c r="J113" s="146"/>
      <c r="K113" s="146"/>
      <c r="L113" s="146"/>
      <c r="M113" s="146"/>
      <c r="N113" s="205"/>
      <c r="O113" s="148">
        <f t="shared" si="125"/>
        <v>0</v>
      </c>
      <c r="P113" s="246"/>
      <c r="Q113" s="146"/>
      <c r="R113" s="146"/>
      <c r="S113" s="146"/>
      <c r="T113" s="146"/>
      <c r="U113" s="147"/>
      <c r="V113" s="146"/>
      <c r="W113" s="146"/>
      <c r="X113" s="146"/>
      <c r="Y113" s="146"/>
      <c r="Z113" s="146"/>
      <c r="AA113" s="205"/>
      <c r="AB113" s="148">
        <f t="shared" si="126"/>
        <v>0</v>
      </c>
      <c r="AE113" s="246"/>
      <c r="AF113" s="146"/>
      <c r="AG113" s="146"/>
      <c r="AH113" s="146"/>
      <c r="AI113" s="146"/>
      <c r="AJ113" s="146"/>
      <c r="AK113" s="146"/>
      <c r="AL113" s="146"/>
      <c r="AM113" s="146"/>
      <c r="AN113" s="146"/>
      <c r="AO113" s="146"/>
      <c r="AP113" s="205"/>
      <c r="AQ113" s="148">
        <f t="shared" si="127"/>
        <v>0</v>
      </c>
      <c r="AU113" s="246"/>
      <c r="AV113" s="146"/>
      <c r="AW113" s="146"/>
      <c r="AX113" s="146"/>
      <c r="AY113" s="146"/>
      <c r="AZ113" s="146"/>
      <c r="BA113" s="146"/>
      <c r="BB113" s="146"/>
      <c r="BC113" s="146"/>
      <c r="BD113" s="146"/>
      <c r="BE113" s="146"/>
      <c r="BF113" s="205"/>
      <c r="BG113" s="148">
        <f t="shared" si="129"/>
        <v>0</v>
      </c>
      <c r="BH113" s="160"/>
      <c r="BJ113" s="246"/>
      <c r="BK113" s="146"/>
      <c r="BL113" s="146"/>
      <c r="BM113" s="146"/>
      <c r="BN113" s="146"/>
      <c r="BO113" s="146"/>
      <c r="BP113" s="146"/>
      <c r="BQ113" s="146"/>
      <c r="BR113" s="146"/>
      <c r="BS113" s="160"/>
      <c r="BT113" s="160"/>
      <c r="BU113" s="159"/>
      <c r="BV113" s="148">
        <f t="shared" si="128"/>
        <v>0</v>
      </c>
      <c r="BY113" s="228"/>
      <c r="BZ113" s="169"/>
      <c r="CA113" s="169"/>
      <c r="CB113" s="169"/>
      <c r="CC113" s="169"/>
      <c r="CD113" s="169"/>
      <c r="CE113" s="169"/>
      <c r="CF113" s="169"/>
      <c r="CG113" s="169"/>
      <c r="CH113" s="169"/>
      <c r="CI113" s="169"/>
      <c r="CJ113" s="170"/>
      <c r="CK113" s="148">
        <f t="shared" si="149"/>
        <v>0</v>
      </c>
      <c r="CN113" s="228"/>
      <c r="CO113" s="169"/>
      <c r="CP113" s="169"/>
      <c r="CQ113" s="169"/>
      <c r="CR113" s="169"/>
      <c r="CS113" s="169"/>
      <c r="CT113" s="169"/>
      <c r="CU113" s="169"/>
      <c r="CV113" s="169"/>
      <c r="CW113" s="169"/>
      <c r="CX113" s="169"/>
      <c r="CY113" s="170"/>
      <c r="CZ113" s="148">
        <f t="shared" si="150"/>
        <v>0</v>
      </c>
      <c r="DB113" s="142"/>
      <c r="DC113" s="143"/>
    </row>
    <row r="114" spans="2:107">
      <c r="B114" s="143" t="s">
        <v>119</v>
      </c>
      <c r="C114" s="203"/>
      <c r="D114" s="146"/>
      <c r="E114" s="140"/>
      <c r="F114" s="146"/>
      <c r="G114" s="146"/>
      <c r="H114" s="203"/>
      <c r="I114" s="146"/>
      <c r="J114" s="146"/>
      <c r="K114" s="146"/>
      <c r="L114" s="146"/>
      <c r="M114" s="146"/>
      <c r="N114" s="205"/>
      <c r="O114" s="148">
        <f t="shared" si="125"/>
        <v>0</v>
      </c>
      <c r="P114" s="246"/>
      <c r="Q114" s="146"/>
      <c r="R114" s="146"/>
      <c r="S114" s="146"/>
      <c r="T114" s="146"/>
      <c r="U114" s="147"/>
      <c r="V114" s="146"/>
      <c r="W114" s="146"/>
      <c r="X114" s="146"/>
      <c r="Y114" s="146"/>
      <c r="Z114" s="146"/>
      <c r="AA114" s="205"/>
      <c r="AB114" s="148">
        <f t="shared" si="126"/>
        <v>0</v>
      </c>
      <c r="AE114" s="246"/>
      <c r="AF114" s="146"/>
      <c r="AG114" s="146"/>
      <c r="AH114" s="146"/>
      <c r="AI114" s="146"/>
      <c r="AJ114" s="146"/>
      <c r="AK114" s="146"/>
      <c r="AL114" s="146"/>
      <c r="AM114" s="146"/>
      <c r="AN114" s="146"/>
      <c r="AO114" s="146"/>
      <c r="AP114" s="205"/>
      <c r="AQ114" s="148">
        <f t="shared" si="127"/>
        <v>0</v>
      </c>
      <c r="AU114" s="246"/>
      <c r="AV114" s="146"/>
      <c r="AW114" s="146"/>
      <c r="AX114" s="146"/>
      <c r="AY114" s="146"/>
      <c r="AZ114" s="146"/>
      <c r="BA114" s="146"/>
      <c r="BB114" s="146"/>
      <c r="BC114" s="146"/>
      <c r="BD114" s="146"/>
      <c r="BE114" s="146"/>
      <c r="BF114" s="205"/>
      <c r="BG114" s="148">
        <f t="shared" si="129"/>
        <v>0</v>
      </c>
      <c r="BH114" s="160"/>
      <c r="BJ114" s="246"/>
      <c r="BK114" s="146"/>
      <c r="BL114" s="146"/>
      <c r="BM114" s="144">
        <v>-30.01</v>
      </c>
      <c r="BN114" s="146"/>
      <c r="BO114" s="146"/>
      <c r="BP114" s="146"/>
      <c r="BQ114" s="146"/>
      <c r="BR114" s="146"/>
      <c r="BS114" s="160"/>
      <c r="BT114" s="160"/>
      <c r="BU114" s="159"/>
      <c r="BV114" s="148">
        <f t="shared" si="128"/>
        <v>-30.01</v>
      </c>
      <c r="BY114" s="228"/>
      <c r="BZ114" s="169"/>
      <c r="CA114" s="169"/>
      <c r="CB114" s="169"/>
      <c r="CC114" s="169"/>
      <c r="CD114" s="169"/>
      <c r="CE114" s="169"/>
      <c r="CF114" s="169"/>
      <c r="CG114" s="169"/>
      <c r="CH114" s="169"/>
      <c r="CI114" s="169"/>
      <c r="CJ114" s="170"/>
      <c r="CK114" s="148">
        <f t="shared" si="149"/>
        <v>0</v>
      </c>
      <c r="CN114" s="228"/>
      <c r="CO114" s="169"/>
      <c r="CP114" s="169"/>
      <c r="CQ114" s="169"/>
      <c r="CR114" s="169"/>
      <c r="CS114" s="169"/>
      <c r="CT114" s="169"/>
      <c r="CU114" s="169"/>
      <c r="CV114" s="169"/>
      <c r="CW114" s="169"/>
      <c r="CX114" s="169"/>
      <c r="CY114" s="170"/>
      <c r="CZ114" s="148">
        <f t="shared" si="150"/>
        <v>0</v>
      </c>
      <c r="DB114" s="142"/>
      <c r="DC114" s="143"/>
    </row>
    <row r="115" spans="2:107">
      <c r="B115" s="143" t="s">
        <v>120</v>
      </c>
      <c r="C115" s="203"/>
      <c r="D115" s="146"/>
      <c r="E115" s="140"/>
      <c r="F115" s="146"/>
      <c r="G115" s="146"/>
      <c r="H115" s="203"/>
      <c r="I115" s="146"/>
      <c r="J115" s="146"/>
      <c r="K115" s="146"/>
      <c r="L115" s="146"/>
      <c r="M115" s="146"/>
      <c r="N115" s="205"/>
      <c r="O115" s="148">
        <f t="shared" si="125"/>
        <v>0</v>
      </c>
      <c r="P115" s="246"/>
      <c r="Q115" s="146"/>
      <c r="R115" s="146"/>
      <c r="S115" s="146"/>
      <c r="T115" s="146"/>
      <c r="U115" s="147"/>
      <c r="V115" s="146"/>
      <c r="W115" s="146"/>
      <c r="X115" s="146"/>
      <c r="Y115" s="146"/>
      <c r="Z115" s="146"/>
      <c r="AA115" s="205"/>
      <c r="AB115" s="148">
        <f t="shared" si="126"/>
        <v>0</v>
      </c>
      <c r="AE115" s="225"/>
      <c r="AF115" s="147"/>
      <c r="AG115" s="144">
        <v>79</v>
      </c>
      <c r="AH115" s="144">
        <v>189.61</v>
      </c>
      <c r="AI115" s="147"/>
      <c r="AJ115" s="147"/>
      <c r="AK115" s="147"/>
      <c r="AL115" s="147"/>
      <c r="AM115" s="140"/>
      <c r="AN115" s="147"/>
      <c r="AO115" s="147"/>
      <c r="AP115" s="147"/>
      <c r="AQ115" s="148">
        <f t="shared" si="127"/>
        <v>268.61</v>
      </c>
      <c r="AU115" s="225"/>
      <c r="AV115" s="146"/>
      <c r="AW115" s="147"/>
      <c r="AX115" s="147"/>
      <c r="AY115" s="147"/>
      <c r="AZ115" s="147"/>
      <c r="BA115" s="147"/>
      <c r="BB115" s="147"/>
      <c r="BC115" s="147"/>
      <c r="BD115" s="147"/>
      <c r="BE115" s="147"/>
      <c r="BF115" s="229"/>
      <c r="BG115" s="148">
        <f t="shared" si="129"/>
        <v>0</v>
      </c>
      <c r="BH115" s="160"/>
      <c r="BJ115" s="225"/>
      <c r="BK115" s="147"/>
      <c r="BL115" s="147"/>
      <c r="BM115" s="147"/>
      <c r="BN115" s="147"/>
      <c r="BO115" s="147"/>
      <c r="BP115" s="147"/>
      <c r="BQ115" s="147"/>
      <c r="BR115" s="147"/>
      <c r="BS115" s="169"/>
      <c r="BT115" s="169"/>
      <c r="BU115" s="170"/>
      <c r="BV115" s="148">
        <f t="shared" si="128"/>
        <v>0</v>
      </c>
      <c r="BY115" s="228"/>
      <c r="BZ115" s="169"/>
      <c r="CA115" s="169"/>
      <c r="CB115" s="169"/>
      <c r="CC115" s="169"/>
      <c r="CD115" s="169"/>
      <c r="CE115" s="169"/>
      <c r="CF115" s="169"/>
      <c r="CG115" s="169"/>
      <c r="CH115" s="169"/>
      <c r="CI115" s="169"/>
      <c r="CJ115" s="170"/>
      <c r="CK115" s="148">
        <f t="shared" si="149"/>
        <v>0</v>
      </c>
      <c r="CN115" s="228"/>
      <c r="CO115" s="169"/>
      <c r="CP115" s="169"/>
      <c r="CQ115" s="169"/>
      <c r="CR115" s="169"/>
      <c r="CS115" s="169"/>
      <c r="CT115" s="169"/>
      <c r="CU115" s="169"/>
      <c r="CV115" s="169"/>
      <c r="CW115" s="169"/>
      <c r="CX115" s="169"/>
      <c r="CY115" s="170"/>
      <c r="CZ115" s="148">
        <f t="shared" si="150"/>
        <v>0</v>
      </c>
      <c r="DB115" s="142"/>
      <c r="DC115" s="143"/>
    </row>
    <row r="116" spans="2:107">
      <c r="B116" s="143" t="s">
        <v>121</v>
      </c>
      <c r="C116" s="203"/>
      <c r="D116" s="146"/>
      <c r="E116" s="140"/>
      <c r="F116" s="146"/>
      <c r="G116" s="146"/>
      <c r="H116" s="203"/>
      <c r="I116" s="146"/>
      <c r="J116" s="146"/>
      <c r="K116" s="146"/>
      <c r="L116" s="146"/>
      <c r="M116" s="146"/>
      <c r="N116" s="205"/>
      <c r="O116" s="148">
        <f t="shared" si="125"/>
        <v>0</v>
      </c>
      <c r="P116" s="246"/>
      <c r="Q116" s="146"/>
      <c r="R116" s="146"/>
      <c r="S116" s="146"/>
      <c r="T116" s="146"/>
      <c r="U116" s="147"/>
      <c r="V116" s="146"/>
      <c r="W116" s="146"/>
      <c r="X116" s="146"/>
      <c r="Y116" s="146"/>
      <c r="Z116" s="146"/>
      <c r="AA116" s="205"/>
      <c r="AB116" s="148">
        <f t="shared" si="126"/>
        <v>0</v>
      </c>
      <c r="AE116" s="370">
        <v>4256.95</v>
      </c>
      <c r="AF116" s="164"/>
      <c r="AG116" s="203">
        <v>111.48</v>
      </c>
      <c r="AH116" s="144">
        <f>19.63</f>
        <v>19.63</v>
      </c>
      <c r="AI116" s="227">
        <f>983.96+20</f>
        <v>1003.96</v>
      </c>
      <c r="AJ116" s="203">
        <f>608.59-0.3</f>
        <v>608.29000000000008</v>
      </c>
      <c r="AK116" s="203">
        <f>561.64+1599+0.28</f>
        <v>2160.92</v>
      </c>
      <c r="AL116" s="203">
        <f>398.21</f>
        <v>398.21</v>
      </c>
      <c r="AM116" s="203">
        <f>965.53-179.52+135.4</f>
        <v>921.41</v>
      </c>
      <c r="AN116" s="203">
        <f>393.64-0.03</f>
        <v>393.61</v>
      </c>
      <c r="AO116" s="203">
        <f>414.79+0.07</f>
        <v>414.86</v>
      </c>
      <c r="AP116" s="327">
        <f>562.92</f>
        <v>562.91999999999996</v>
      </c>
      <c r="AQ116" s="148">
        <f>SUM(AE116:AP116)</f>
        <v>10852.24</v>
      </c>
      <c r="AU116" s="294">
        <v>130</v>
      </c>
      <c r="AV116" s="144">
        <v>401.11</v>
      </c>
      <c r="AW116" s="203">
        <f>593.54+81.07</f>
        <v>674.6099999999999</v>
      </c>
      <c r="AX116" s="144">
        <v>1825.64</v>
      </c>
      <c r="AY116" s="144">
        <v>1748.32</v>
      </c>
      <c r="AZ116" s="144">
        <f>273.94+0.2</f>
        <v>274.14</v>
      </c>
      <c r="BA116" s="144">
        <v>1098.28</v>
      </c>
      <c r="BB116" s="144">
        <f>254.34+0.7</f>
        <v>255.04</v>
      </c>
      <c r="BC116" s="144">
        <v>6.9</v>
      </c>
      <c r="BD116" s="144">
        <f>478.23-0.01</f>
        <v>478.22</v>
      </c>
      <c r="BE116" s="144">
        <f>179.18-0.1</f>
        <v>179.08</v>
      </c>
      <c r="BF116" s="510">
        <v>450.74</v>
      </c>
      <c r="BG116" s="249">
        <f t="shared" si="129"/>
        <v>7522.079999999999</v>
      </c>
      <c r="BH116" s="160"/>
      <c r="BJ116" s="294">
        <v>331.89</v>
      </c>
      <c r="BK116" s="144">
        <f>519.38-0.44</f>
        <v>518.93999999999994</v>
      </c>
      <c r="BL116" s="144">
        <v>495.84</v>
      </c>
      <c r="BM116" s="144">
        <f>660.1</f>
        <v>660.1</v>
      </c>
      <c r="BN116" s="144">
        <v>482.06</v>
      </c>
      <c r="BO116" s="227">
        <f>141.18+20+7</f>
        <v>168.18</v>
      </c>
      <c r="BP116" s="144"/>
      <c r="BQ116" s="144">
        <v>293.98</v>
      </c>
      <c r="BR116" s="144">
        <v>247.34</v>
      </c>
      <c r="BS116" s="214">
        <v>171.16</v>
      </c>
      <c r="BT116" s="169">
        <v>500</v>
      </c>
      <c r="BU116" s="169">
        <v>500</v>
      </c>
      <c r="BV116" s="148">
        <f t="shared" si="128"/>
        <v>4369.49</v>
      </c>
      <c r="BY116" s="228">
        <v>500</v>
      </c>
      <c r="BZ116" s="169">
        <v>500</v>
      </c>
      <c r="CA116" s="169">
        <v>500</v>
      </c>
      <c r="CB116" s="169">
        <v>500</v>
      </c>
      <c r="CC116" s="169">
        <v>500</v>
      </c>
      <c r="CD116" s="169">
        <v>500</v>
      </c>
      <c r="CE116" s="169">
        <v>500</v>
      </c>
      <c r="CF116" s="169">
        <v>500</v>
      </c>
      <c r="CG116" s="169">
        <v>500</v>
      </c>
      <c r="CH116" s="169">
        <v>500</v>
      </c>
      <c r="CI116" s="169">
        <v>500</v>
      </c>
      <c r="CJ116" s="169">
        <v>500</v>
      </c>
      <c r="CK116" s="148">
        <f t="shared" si="149"/>
        <v>6000</v>
      </c>
      <c r="CN116" s="228">
        <v>500</v>
      </c>
      <c r="CO116" s="169">
        <v>500</v>
      </c>
      <c r="CP116" s="169">
        <v>500</v>
      </c>
      <c r="CQ116" s="169">
        <v>500</v>
      </c>
      <c r="CR116" s="169">
        <v>500</v>
      </c>
      <c r="CS116" s="169">
        <v>500</v>
      </c>
      <c r="CT116" s="169">
        <v>500</v>
      </c>
      <c r="CU116" s="169">
        <v>500</v>
      </c>
      <c r="CV116" s="169">
        <v>500</v>
      </c>
      <c r="CW116" s="169">
        <v>500</v>
      </c>
      <c r="CX116" s="169">
        <v>500</v>
      </c>
      <c r="CY116" s="169">
        <v>500</v>
      </c>
      <c r="CZ116" s="148">
        <f t="shared" si="150"/>
        <v>6000</v>
      </c>
      <c r="DB116" s="142"/>
      <c r="DC116" s="143"/>
    </row>
    <row r="117" spans="2:107">
      <c r="B117" s="328" t="s">
        <v>122</v>
      </c>
      <c r="C117" s="329"/>
      <c r="D117" s="151"/>
      <c r="E117" s="194"/>
      <c r="F117" s="151"/>
      <c r="G117" s="151"/>
      <c r="H117" s="195"/>
      <c r="I117" s="151"/>
      <c r="J117" s="151"/>
      <c r="K117" s="151"/>
      <c r="L117" s="151"/>
      <c r="M117" s="151"/>
      <c r="N117" s="201"/>
      <c r="O117" s="330">
        <f t="shared" si="125"/>
        <v>0</v>
      </c>
      <c r="P117" s="199"/>
      <c r="Q117" s="151"/>
      <c r="R117" s="151"/>
      <c r="S117" s="151"/>
      <c r="T117" s="151"/>
      <c r="U117" s="150"/>
      <c r="V117" s="151"/>
      <c r="W117" s="151"/>
      <c r="X117" s="151"/>
      <c r="Y117" s="151"/>
      <c r="Z117" s="151"/>
      <c r="AA117" s="201"/>
      <c r="AB117" s="159">
        <f t="shared" si="126"/>
        <v>0</v>
      </c>
      <c r="AE117" s="243"/>
      <c r="AF117" s="203">
        <v>-0.01</v>
      </c>
      <c r="AG117" s="151"/>
      <c r="AH117" s="151"/>
      <c r="AI117" s="151"/>
      <c r="AJ117" s="151"/>
      <c r="AK117" s="195">
        <v>33.07</v>
      </c>
      <c r="AL117" s="195">
        <v>0.01</v>
      </c>
      <c r="AM117" s="151"/>
      <c r="AN117" s="195">
        <v>38.85</v>
      </c>
      <c r="AO117" s="151"/>
      <c r="AP117" s="498">
        <v>-71.930000000000007</v>
      </c>
      <c r="AQ117" s="202">
        <f t="shared" si="127"/>
        <v>-1.0000000000005116E-2</v>
      </c>
      <c r="AU117" s="243"/>
      <c r="AV117" s="151"/>
      <c r="AW117" s="151"/>
      <c r="AX117" s="151"/>
      <c r="AY117" s="151"/>
      <c r="AZ117" s="151"/>
      <c r="BA117" s="151"/>
      <c r="BB117" s="151"/>
      <c r="BC117" s="151"/>
      <c r="BD117" s="151"/>
      <c r="BE117" s="151"/>
      <c r="BF117" s="201"/>
      <c r="BG117" s="148">
        <f t="shared" ref="BG117:BG120" si="151">SUM(AU117:BF117)</f>
        <v>0</v>
      </c>
      <c r="BH117" s="160"/>
      <c r="BJ117" s="243"/>
      <c r="BK117" s="151"/>
      <c r="BL117" s="151"/>
      <c r="BM117" s="155">
        <f>20+75+106.73</f>
        <v>201.73000000000002</v>
      </c>
      <c r="BN117" s="151"/>
      <c r="BO117" s="151"/>
      <c r="BP117" s="151"/>
      <c r="BQ117" s="151"/>
      <c r="BR117" s="151"/>
      <c r="BS117" s="284"/>
      <c r="BT117" s="284"/>
      <c r="BU117" s="198"/>
      <c r="BV117" s="159">
        <f t="shared" si="128"/>
        <v>201.73000000000002</v>
      </c>
      <c r="BY117" s="268"/>
      <c r="BZ117" s="284"/>
      <c r="CA117" s="284"/>
      <c r="CB117" s="284"/>
      <c r="CC117" s="284"/>
      <c r="CD117" s="284"/>
      <c r="CE117" s="284"/>
      <c r="CF117" s="284"/>
      <c r="CG117" s="284"/>
      <c r="CH117" s="284"/>
      <c r="CI117" s="284"/>
      <c r="CJ117" s="198"/>
      <c r="CK117" s="159">
        <f t="shared" si="149"/>
        <v>0</v>
      </c>
      <c r="CN117" s="268"/>
      <c r="CO117" s="284"/>
      <c r="CP117" s="284"/>
      <c r="CQ117" s="284"/>
      <c r="CR117" s="284"/>
      <c r="CS117" s="284"/>
      <c r="CT117" s="284"/>
      <c r="CU117" s="284"/>
      <c r="CV117" s="284"/>
      <c r="CW117" s="284"/>
      <c r="CX117" s="284"/>
      <c r="CY117" s="198"/>
      <c r="CZ117" s="159">
        <f t="shared" si="150"/>
        <v>0</v>
      </c>
      <c r="DB117" s="142"/>
      <c r="DC117" s="143"/>
    </row>
    <row r="118" spans="2:107">
      <c r="B118" s="331" t="s">
        <v>464</v>
      </c>
      <c r="C118" s="332"/>
      <c r="D118" s="165"/>
      <c r="E118" s="192"/>
      <c r="F118" s="165"/>
      <c r="G118" s="165"/>
      <c r="H118" s="164"/>
      <c r="I118" s="165"/>
      <c r="J118" s="165"/>
      <c r="K118" s="165"/>
      <c r="L118" s="165"/>
      <c r="M118" s="165"/>
      <c r="N118" s="333"/>
      <c r="O118" s="148">
        <f t="shared" si="125"/>
        <v>0</v>
      </c>
      <c r="P118" s="334"/>
      <c r="Q118" s="165"/>
      <c r="R118" s="165"/>
      <c r="S118" s="165"/>
      <c r="T118" s="165"/>
      <c r="U118" s="335"/>
      <c r="V118" s="165"/>
      <c r="W118" s="165"/>
      <c r="X118" s="165"/>
      <c r="Y118" s="165"/>
      <c r="Z118" s="165"/>
      <c r="AA118" s="333"/>
      <c r="AB118" s="148">
        <f t="shared" si="126"/>
        <v>0</v>
      </c>
      <c r="AE118" s="336"/>
      <c r="AF118" s="165"/>
      <c r="AG118" s="165"/>
      <c r="AH118" s="165"/>
      <c r="AI118" s="337">
        <f>296.8+210</f>
        <v>506.8</v>
      </c>
      <c r="AJ118" s="165"/>
      <c r="AK118" s="165"/>
      <c r="AL118" s="165"/>
      <c r="AM118" s="337">
        <f>34+120+235.41</f>
        <v>389.40999999999997</v>
      </c>
      <c r="AN118" s="335"/>
      <c r="AO118" s="335"/>
      <c r="AP118" s="478"/>
      <c r="AQ118" s="249">
        <f t="shared" si="127"/>
        <v>896.21</v>
      </c>
      <c r="AU118" s="250"/>
      <c r="AV118" s="165"/>
      <c r="AW118" s="165"/>
      <c r="AX118" s="192"/>
      <c r="AY118" s="192"/>
      <c r="AZ118" s="335"/>
      <c r="BA118" s="338">
        <f>(120+40)+33.6-24</f>
        <v>169.6</v>
      </c>
      <c r="BB118" s="500"/>
      <c r="BC118" s="337">
        <v>440</v>
      </c>
      <c r="BD118" s="335"/>
      <c r="BE118" s="164">
        <v>48.9</v>
      </c>
      <c r="BF118" s="520">
        <v>97.4</v>
      </c>
      <c r="BG118" s="249">
        <f t="shared" si="151"/>
        <v>755.9</v>
      </c>
      <c r="BH118" s="160"/>
      <c r="BJ118" s="528">
        <f>48.9+210+150</f>
        <v>408.9</v>
      </c>
      <c r="BK118" s="335"/>
      <c r="BL118" s="335"/>
      <c r="BM118" s="337">
        <f>12.1+45</f>
        <v>57.1</v>
      </c>
      <c r="BN118" s="335"/>
      <c r="BO118" s="165"/>
      <c r="BP118" s="337">
        <v>120</v>
      </c>
      <c r="BQ118" s="337">
        <v>70</v>
      </c>
      <c r="BR118" s="335"/>
      <c r="BS118" s="253">
        <f>218.5+142.5</f>
        <v>361</v>
      </c>
      <c r="BT118" s="253">
        <v>300</v>
      </c>
      <c r="BU118" s="339"/>
      <c r="BV118" s="159">
        <f t="shared" si="128"/>
        <v>1317</v>
      </c>
      <c r="BY118" s="252"/>
      <c r="BZ118" s="253">
        <v>314.60000000000002</v>
      </c>
      <c r="CA118" s="253">
        <v>300</v>
      </c>
      <c r="CB118" s="253">
        <f>218.5+142.5</f>
        <v>361</v>
      </c>
      <c r="CC118" s="168"/>
      <c r="CD118" s="168"/>
      <c r="CE118" s="253">
        <v>300</v>
      </c>
      <c r="CF118" s="168"/>
      <c r="CG118" s="168"/>
      <c r="CH118" s="253">
        <v>314.60000000000002</v>
      </c>
      <c r="CI118" s="168"/>
      <c r="CJ118" s="339"/>
      <c r="CK118" s="159">
        <f t="shared" si="149"/>
        <v>1590.1999999999998</v>
      </c>
      <c r="CN118" s="252"/>
      <c r="CO118" s="253">
        <v>314.60000000000002</v>
      </c>
      <c r="CP118" s="253">
        <v>300</v>
      </c>
      <c r="CQ118" s="253">
        <f>218.5+142.5</f>
        <v>361</v>
      </c>
      <c r="CR118" s="168"/>
      <c r="CS118" s="168"/>
      <c r="CT118" s="253">
        <v>300</v>
      </c>
      <c r="CU118" s="168"/>
      <c r="CV118" s="168"/>
      <c r="CW118" s="253">
        <v>314.60000000000002</v>
      </c>
      <c r="CX118" s="168"/>
      <c r="CY118" s="339"/>
      <c r="CZ118" s="159">
        <f t="shared" si="150"/>
        <v>1590.1999999999998</v>
      </c>
      <c r="DB118" s="142"/>
      <c r="DC118" s="143"/>
    </row>
    <row r="119" spans="2:107">
      <c r="B119" s="127" t="s">
        <v>123</v>
      </c>
      <c r="C119" s="203"/>
      <c r="D119" s="146"/>
      <c r="E119" s="140"/>
      <c r="F119" s="146"/>
      <c r="G119" s="146"/>
      <c r="H119" s="203"/>
      <c r="I119" s="146"/>
      <c r="J119" s="146"/>
      <c r="K119" s="146"/>
      <c r="L119" s="146"/>
      <c r="M119" s="146"/>
      <c r="N119" s="205"/>
      <c r="O119" s="148">
        <f t="shared" si="125"/>
        <v>0</v>
      </c>
      <c r="P119" s="246"/>
      <c r="Q119" s="146"/>
      <c r="R119" s="146"/>
      <c r="S119" s="146"/>
      <c r="T119" s="146"/>
      <c r="U119" s="147"/>
      <c r="V119" s="146"/>
      <c r="W119" s="146"/>
      <c r="X119" s="146"/>
      <c r="Y119" s="146"/>
      <c r="Z119" s="146"/>
      <c r="AA119" s="205"/>
      <c r="AB119" s="148">
        <f t="shared" si="126"/>
        <v>0</v>
      </c>
      <c r="AE119" s="246"/>
      <c r="AF119" s="146"/>
      <c r="AG119" s="146"/>
      <c r="AH119" s="146"/>
      <c r="AI119" s="146"/>
      <c r="AJ119" s="146"/>
      <c r="AK119" s="146"/>
      <c r="AL119" s="146"/>
      <c r="AM119" s="146"/>
      <c r="AN119" s="146"/>
      <c r="AO119" s="146"/>
      <c r="AP119" s="205"/>
      <c r="AQ119" s="148">
        <f t="shared" si="127"/>
        <v>0</v>
      </c>
      <c r="AU119" s="246"/>
      <c r="AV119" s="146"/>
      <c r="AW119" s="146"/>
      <c r="AX119" s="146"/>
      <c r="AY119" s="146"/>
      <c r="AZ119" s="146"/>
      <c r="BA119" s="146"/>
      <c r="BB119" s="146"/>
      <c r="BC119" s="146"/>
      <c r="BD119" s="146"/>
      <c r="BE119" s="146"/>
      <c r="BF119" s="205"/>
      <c r="BG119" s="148">
        <f t="shared" si="151"/>
        <v>0</v>
      </c>
      <c r="BH119" s="160"/>
      <c r="BJ119" s="246"/>
      <c r="BK119" s="146"/>
      <c r="BL119" s="146"/>
      <c r="BM119" s="146"/>
      <c r="BN119" s="146"/>
      <c r="BO119" s="146"/>
      <c r="BP119" s="146"/>
      <c r="BQ119" s="146"/>
      <c r="BR119" s="146"/>
      <c r="BS119" s="160"/>
      <c r="BT119" s="160"/>
      <c r="BU119" s="159"/>
      <c r="BV119" s="148">
        <f t="shared" si="128"/>
        <v>0</v>
      </c>
      <c r="BY119" s="226"/>
      <c r="BZ119" s="160"/>
      <c r="CA119" s="160"/>
      <c r="CB119" s="160"/>
      <c r="CC119" s="160"/>
      <c r="CD119" s="160"/>
      <c r="CE119" s="160"/>
      <c r="CF119" s="160"/>
      <c r="CG119" s="160"/>
      <c r="CH119" s="160"/>
      <c r="CI119" s="160"/>
      <c r="CJ119" s="159"/>
      <c r="CK119" s="148">
        <f t="shared" si="149"/>
        <v>0</v>
      </c>
      <c r="CN119" s="226"/>
      <c r="CO119" s="160"/>
      <c r="CP119" s="160"/>
      <c r="CQ119" s="160"/>
      <c r="CR119" s="160"/>
      <c r="CS119" s="160"/>
      <c r="CT119" s="160"/>
      <c r="CU119" s="160"/>
      <c r="CV119" s="160"/>
      <c r="CW119" s="160"/>
      <c r="CX119" s="160"/>
      <c r="CY119" s="159"/>
      <c r="CZ119" s="148">
        <f t="shared" si="150"/>
        <v>0</v>
      </c>
      <c r="DB119" s="142"/>
      <c r="DC119" s="143"/>
    </row>
    <row r="120" spans="2:107">
      <c r="B120" s="127" t="s">
        <v>124</v>
      </c>
      <c r="C120" s="203"/>
      <c r="D120" s="146"/>
      <c r="E120" s="140"/>
      <c r="F120" s="146"/>
      <c r="G120" s="146"/>
      <c r="H120" s="203"/>
      <c r="I120" s="146"/>
      <c r="J120" s="146"/>
      <c r="K120" s="146"/>
      <c r="L120" s="146"/>
      <c r="M120" s="146"/>
      <c r="N120" s="205"/>
      <c r="O120" s="148">
        <f t="shared" si="125"/>
        <v>0</v>
      </c>
      <c r="P120" s="246"/>
      <c r="Q120" s="146"/>
      <c r="R120" s="146"/>
      <c r="S120" s="146"/>
      <c r="T120" s="146"/>
      <c r="U120" s="147"/>
      <c r="V120" s="146"/>
      <c r="W120" s="146"/>
      <c r="X120" s="146"/>
      <c r="Y120" s="146"/>
      <c r="Z120" s="146"/>
      <c r="AA120" s="205"/>
      <c r="AB120" s="148">
        <f t="shared" si="126"/>
        <v>0</v>
      </c>
      <c r="AE120" s="246"/>
      <c r="AF120" s="146"/>
      <c r="AG120" s="146"/>
      <c r="AH120" s="165"/>
      <c r="AI120" s="146"/>
      <c r="AJ120" s="146"/>
      <c r="AK120" s="146"/>
      <c r="AL120" s="146"/>
      <c r="AM120" s="146"/>
      <c r="AN120" s="146"/>
      <c r="AO120" s="146"/>
      <c r="AP120" s="205"/>
      <c r="AQ120" s="148">
        <f t="shared" si="127"/>
        <v>0</v>
      </c>
      <c r="AU120" s="246"/>
      <c r="AV120" s="146"/>
      <c r="AW120" s="146"/>
      <c r="AX120" s="146"/>
      <c r="AY120" s="146"/>
      <c r="AZ120" s="146"/>
      <c r="BA120" s="146"/>
      <c r="BB120" s="146"/>
      <c r="BC120" s="146"/>
      <c r="BD120" s="146"/>
      <c r="BE120" s="146"/>
      <c r="BF120" s="205"/>
      <c r="BG120" s="148">
        <f t="shared" si="151"/>
        <v>0</v>
      </c>
      <c r="BH120" s="160"/>
      <c r="BJ120" s="246"/>
      <c r="BK120" s="146"/>
      <c r="BL120" s="146"/>
      <c r="BM120" s="146"/>
      <c r="BN120" s="146"/>
      <c r="BO120" s="146"/>
      <c r="BP120" s="146"/>
      <c r="BQ120" s="146"/>
      <c r="BR120" s="146"/>
      <c r="BS120" s="160"/>
      <c r="BT120" s="160"/>
      <c r="BU120" s="159"/>
      <c r="BV120" s="148">
        <f t="shared" si="128"/>
        <v>0</v>
      </c>
      <c r="BY120" s="226"/>
      <c r="BZ120" s="160"/>
      <c r="CA120" s="160"/>
      <c r="CB120" s="160"/>
      <c r="CC120" s="160"/>
      <c r="CD120" s="160"/>
      <c r="CE120" s="160"/>
      <c r="CF120" s="160"/>
      <c r="CG120" s="160"/>
      <c r="CH120" s="160"/>
      <c r="CI120" s="160"/>
      <c r="CJ120" s="159"/>
      <c r="CK120" s="148">
        <f>SUM(BY120:CJ120)</f>
        <v>0</v>
      </c>
      <c r="CN120" s="226"/>
      <c r="CO120" s="160"/>
      <c r="CP120" s="160"/>
      <c r="CQ120" s="160"/>
      <c r="CR120" s="160"/>
      <c r="CS120" s="160"/>
      <c r="CT120" s="160"/>
      <c r="CU120" s="160"/>
      <c r="CV120" s="160"/>
      <c r="CW120" s="160"/>
      <c r="CX120" s="160"/>
      <c r="CY120" s="159"/>
      <c r="CZ120" s="148">
        <f>SUM(CN120:CY120)</f>
        <v>0</v>
      </c>
      <c r="DB120" s="142"/>
      <c r="DC120" s="143"/>
    </row>
    <row r="121" spans="2:107" s="217" customFormat="1" ht="16.5" thickBot="1">
      <c r="B121" s="273" t="s">
        <v>125</v>
      </c>
      <c r="C121" s="232">
        <f t="shared" ref="C121:AB121" si="152">SUM(C89:C116)</f>
        <v>0</v>
      </c>
      <c r="D121" s="232">
        <f t="shared" si="152"/>
        <v>139.74</v>
      </c>
      <c r="E121" s="232">
        <f t="shared" si="152"/>
        <v>0.85</v>
      </c>
      <c r="F121" s="232">
        <f t="shared" si="152"/>
        <v>0</v>
      </c>
      <c r="G121" s="232">
        <f t="shared" si="152"/>
        <v>12.85</v>
      </c>
      <c r="H121" s="232">
        <f t="shared" si="152"/>
        <v>585.64</v>
      </c>
      <c r="I121" s="232">
        <f t="shared" si="152"/>
        <v>-102.00000000000001</v>
      </c>
      <c r="J121" s="232">
        <f t="shared" si="152"/>
        <v>103.6</v>
      </c>
      <c r="K121" s="232">
        <f t="shared" si="152"/>
        <v>153.97999999999999</v>
      </c>
      <c r="L121" s="232">
        <f t="shared" si="152"/>
        <v>91.66</v>
      </c>
      <c r="M121" s="232">
        <f t="shared" si="152"/>
        <v>102.75</v>
      </c>
      <c r="N121" s="232">
        <f t="shared" si="152"/>
        <v>92.57</v>
      </c>
      <c r="O121" s="236">
        <f t="shared" si="152"/>
        <v>1181.6399999999999</v>
      </c>
      <c r="P121" s="174">
        <f t="shared" si="152"/>
        <v>91.66</v>
      </c>
      <c r="Q121" s="232">
        <f t="shared" si="152"/>
        <v>121.66</v>
      </c>
      <c r="R121" s="232">
        <f t="shared" si="152"/>
        <v>91.66</v>
      </c>
      <c r="S121" s="232">
        <f t="shared" si="152"/>
        <v>91.66</v>
      </c>
      <c r="T121" s="232">
        <f t="shared" si="152"/>
        <v>121.69</v>
      </c>
      <c r="U121" s="232">
        <f t="shared" si="152"/>
        <v>91.69</v>
      </c>
      <c r="V121" s="232">
        <f t="shared" si="152"/>
        <v>96.87</v>
      </c>
      <c r="W121" s="232">
        <f t="shared" si="152"/>
        <v>125.93</v>
      </c>
      <c r="X121" s="232">
        <f t="shared" si="152"/>
        <v>156.02000000000001</v>
      </c>
      <c r="Y121" s="232">
        <f t="shared" si="152"/>
        <v>282.71000000000004</v>
      </c>
      <c r="Z121" s="232">
        <f t="shared" si="152"/>
        <v>125.93</v>
      </c>
      <c r="AA121" s="232">
        <f t="shared" si="152"/>
        <v>3742.28</v>
      </c>
      <c r="AB121" s="216">
        <f t="shared" si="152"/>
        <v>5139.76</v>
      </c>
      <c r="AE121" s="174">
        <f t="shared" ref="AE121:AQ121" si="153">SUM(AE78:AE120)</f>
        <v>9552.36</v>
      </c>
      <c r="AF121" s="232">
        <f t="shared" si="153"/>
        <v>12097.360000000002</v>
      </c>
      <c r="AG121" s="232">
        <f t="shared" si="153"/>
        <v>10574.679999999998</v>
      </c>
      <c r="AH121" s="232">
        <f t="shared" si="153"/>
        <v>48375.95</v>
      </c>
      <c r="AI121" s="232">
        <f t="shared" si="153"/>
        <v>30644.9882</v>
      </c>
      <c r="AJ121" s="232">
        <f t="shared" si="153"/>
        <v>7833.02</v>
      </c>
      <c r="AK121" s="232">
        <f t="shared" si="153"/>
        <v>9105.2699999999986</v>
      </c>
      <c r="AL121" s="232">
        <f t="shared" si="153"/>
        <v>10847.08</v>
      </c>
      <c r="AM121" s="232">
        <f t="shared" si="153"/>
        <v>14590.649999999998</v>
      </c>
      <c r="AN121" s="232">
        <f t="shared" si="153"/>
        <v>17197.769999999997</v>
      </c>
      <c r="AO121" s="232">
        <f t="shared" si="153"/>
        <v>25948.970000000005</v>
      </c>
      <c r="AP121" s="232">
        <f t="shared" si="153"/>
        <v>91075.87000000001</v>
      </c>
      <c r="AQ121" s="216">
        <f t="shared" si="153"/>
        <v>287843.9682</v>
      </c>
      <c r="AS121" s="218"/>
      <c r="AU121" s="174">
        <f t="shared" ref="AU121:BG121" si="154">SUM(AU78:AU120)</f>
        <v>6343.13</v>
      </c>
      <c r="AV121" s="232">
        <f t="shared" si="154"/>
        <v>23399.14</v>
      </c>
      <c r="AW121" s="232">
        <f t="shared" si="154"/>
        <v>41914.550000000003</v>
      </c>
      <c r="AX121" s="232">
        <f t="shared" si="154"/>
        <v>25865.78</v>
      </c>
      <c r="AY121" s="232">
        <f t="shared" si="154"/>
        <v>27367.23</v>
      </c>
      <c r="AZ121" s="232">
        <f t="shared" si="154"/>
        <v>18293.240000000002</v>
      </c>
      <c r="BA121" s="232">
        <f t="shared" si="154"/>
        <v>16871.129999999997</v>
      </c>
      <c r="BB121" s="232">
        <f t="shared" si="154"/>
        <v>31497.31</v>
      </c>
      <c r="BC121" s="232">
        <f t="shared" si="154"/>
        <v>13235.439999999999</v>
      </c>
      <c r="BD121" s="232">
        <f t="shared" si="154"/>
        <v>18984.330000000002</v>
      </c>
      <c r="BE121" s="232">
        <f t="shared" si="154"/>
        <v>3558.48</v>
      </c>
      <c r="BF121" s="232">
        <f t="shared" si="154"/>
        <v>15563.829999999998</v>
      </c>
      <c r="BG121" s="216">
        <f t="shared" si="154"/>
        <v>242893.59</v>
      </c>
      <c r="BH121" s="221"/>
      <c r="BJ121" s="174">
        <f t="shared" ref="BJ121:BU121" si="155">SUM(BJ78:BJ120)</f>
        <v>48879.29</v>
      </c>
      <c r="BK121" s="232">
        <f>SUM(BK78:BK120)</f>
        <v>29541.509999999995</v>
      </c>
      <c r="BL121" s="232">
        <f>SUM(BL78:BL120)</f>
        <v>31309.259999999995</v>
      </c>
      <c r="BM121" s="232">
        <f t="shared" si="155"/>
        <v>26855.129999999997</v>
      </c>
      <c r="BN121" s="232">
        <f t="shared" si="155"/>
        <v>19974.990000000002</v>
      </c>
      <c r="BO121" s="232">
        <f t="shared" si="155"/>
        <v>15936.719999999998</v>
      </c>
      <c r="BP121" s="232">
        <f t="shared" si="155"/>
        <v>26195.730000000003</v>
      </c>
      <c r="BQ121" s="232">
        <f t="shared" si="155"/>
        <v>8667.630000000001</v>
      </c>
      <c r="BR121" s="232">
        <f t="shared" si="155"/>
        <v>30374.52</v>
      </c>
      <c r="BS121" s="233">
        <f t="shared" si="155"/>
        <v>31171.17</v>
      </c>
      <c r="BT121" s="233">
        <f t="shared" si="155"/>
        <v>10131.459999999997</v>
      </c>
      <c r="BU121" s="233">
        <f t="shared" si="155"/>
        <v>11996.58</v>
      </c>
      <c r="BV121" s="216">
        <f>SUM(BV78:BV120)</f>
        <v>291033.99</v>
      </c>
      <c r="BY121" s="178">
        <f t="shared" ref="BY121:CK121" si="156">SUM(BY78:BY120)</f>
        <v>48628.770000000004</v>
      </c>
      <c r="BZ121" s="233">
        <f t="shared" si="156"/>
        <v>22319.89</v>
      </c>
      <c r="CA121" s="233">
        <f t="shared" si="156"/>
        <v>23747.79</v>
      </c>
      <c r="CB121" s="233">
        <f t="shared" si="156"/>
        <v>33267.47</v>
      </c>
      <c r="CC121" s="233">
        <f t="shared" si="156"/>
        <v>13804.79</v>
      </c>
      <c r="CD121" s="233">
        <f t="shared" si="156"/>
        <v>12246.45</v>
      </c>
      <c r="CE121" s="233">
        <f t="shared" si="156"/>
        <v>13303.84</v>
      </c>
      <c r="CF121" s="233">
        <f t="shared" si="156"/>
        <v>13711.51</v>
      </c>
      <c r="CG121" s="233">
        <f t="shared" si="156"/>
        <v>27070.329999999998</v>
      </c>
      <c r="CH121" s="233">
        <f t="shared" si="156"/>
        <v>8009.67</v>
      </c>
      <c r="CI121" s="233">
        <f t="shared" si="156"/>
        <v>30979.510000000002</v>
      </c>
      <c r="CJ121" s="233">
        <f t="shared" si="156"/>
        <v>18763.07</v>
      </c>
      <c r="CK121" s="216">
        <f t="shared" si="156"/>
        <v>265853.09000000003</v>
      </c>
      <c r="CN121" s="178">
        <f t="shared" ref="CN121:CZ121" si="157">SUM(CN78:CN120)</f>
        <v>29171.2435</v>
      </c>
      <c r="CO121" s="233">
        <f t="shared" si="157"/>
        <v>22534.71</v>
      </c>
      <c r="CP121" s="233">
        <f t="shared" si="157"/>
        <v>22243.309999999998</v>
      </c>
      <c r="CQ121" s="233">
        <f t="shared" si="157"/>
        <v>15646.349999999999</v>
      </c>
      <c r="CR121" s="233">
        <f t="shared" si="157"/>
        <v>13298.109999999999</v>
      </c>
      <c r="CS121" s="233">
        <f t="shared" si="157"/>
        <v>23714.52</v>
      </c>
      <c r="CT121" s="233">
        <f t="shared" si="157"/>
        <v>16917.753499999999</v>
      </c>
      <c r="CU121" s="233">
        <f t="shared" si="157"/>
        <v>8973.07</v>
      </c>
      <c r="CV121" s="233">
        <f t="shared" si="157"/>
        <v>28610.329999999998</v>
      </c>
      <c r="CW121" s="233">
        <f t="shared" si="157"/>
        <v>14170.67</v>
      </c>
      <c r="CX121" s="233">
        <f t="shared" si="157"/>
        <v>17698.27</v>
      </c>
      <c r="CY121" s="233">
        <f t="shared" si="157"/>
        <v>18517.07</v>
      </c>
      <c r="CZ121" s="216">
        <f t="shared" si="157"/>
        <v>231495.40700000001</v>
      </c>
      <c r="DB121" s="219"/>
      <c r="DC121" s="222"/>
    </row>
    <row r="122" spans="2:107">
      <c r="B122" s="180" t="s">
        <v>31</v>
      </c>
      <c r="C122" s="277"/>
      <c r="D122" s="277"/>
      <c r="E122" s="277"/>
      <c r="F122" s="277"/>
      <c r="G122" s="277"/>
      <c r="H122" s="277"/>
      <c r="I122" s="277"/>
      <c r="J122" s="277"/>
      <c r="K122" s="277"/>
      <c r="L122" s="277"/>
      <c r="M122" s="277"/>
      <c r="N122" s="277"/>
      <c r="O122" s="183">
        <f>O121-SUM(C121:N121)</f>
        <v>0</v>
      </c>
      <c r="P122" s="277"/>
      <c r="Q122" s="277"/>
      <c r="R122" s="277"/>
      <c r="S122" s="277"/>
      <c r="T122" s="277"/>
      <c r="U122" s="277"/>
      <c r="V122" s="277"/>
      <c r="W122" s="277"/>
      <c r="X122" s="277"/>
      <c r="Y122" s="277"/>
      <c r="Z122" s="277"/>
      <c r="AA122" s="277"/>
      <c r="AB122" s="183">
        <f>AB121-SUM(P121:AA121)</f>
        <v>0</v>
      </c>
      <c r="AE122" s="277"/>
      <c r="AF122" s="277"/>
      <c r="AG122" s="277"/>
      <c r="AH122" s="277"/>
      <c r="AI122" s="277"/>
      <c r="AJ122" s="277"/>
      <c r="AK122" s="277"/>
      <c r="AL122" s="277"/>
      <c r="AM122" s="277"/>
      <c r="AN122" s="277"/>
      <c r="AO122" s="277"/>
      <c r="AP122" s="277"/>
      <c r="AQ122" s="183">
        <f>AQ121-SUM(AE121:AP121)</f>
        <v>0</v>
      </c>
      <c r="AU122" s="277"/>
      <c r="AV122" s="277"/>
      <c r="AW122" s="277"/>
      <c r="AX122" s="277"/>
      <c r="AY122" s="277"/>
      <c r="AZ122" s="277"/>
      <c r="BA122" s="277"/>
      <c r="BB122" s="277"/>
      <c r="BC122" s="277"/>
      <c r="BD122" s="277"/>
      <c r="BE122" s="277"/>
      <c r="BF122" s="277"/>
      <c r="BG122" s="183">
        <f>BG121-SUM(AU121:BF121)</f>
        <v>0</v>
      </c>
      <c r="BH122" s="189"/>
      <c r="BJ122" s="277"/>
      <c r="BK122" s="277"/>
      <c r="BL122" s="277"/>
      <c r="BM122" s="277"/>
      <c r="BN122" s="277"/>
      <c r="BO122" s="277"/>
      <c r="BP122" s="277"/>
      <c r="BQ122" s="277"/>
      <c r="BR122" s="277"/>
      <c r="BS122" s="278"/>
      <c r="BT122" s="278"/>
      <c r="BU122" s="278"/>
      <c r="BV122" s="183">
        <f>BV121-SUM(BJ121:BU121)</f>
        <v>0</v>
      </c>
      <c r="BY122" s="278"/>
      <c r="BZ122" s="278"/>
      <c r="CA122" s="278"/>
      <c r="CB122" s="278"/>
      <c r="CC122" s="278"/>
      <c r="CD122" s="278"/>
      <c r="CE122" s="278"/>
      <c r="CF122" s="278"/>
      <c r="CG122" s="278"/>
      <c r="CH122" s="278"/>
      <c r="CI122" s="278"/>
      <c r="CJ122" s="278"/>
      <c r="CK122" s="183">
        <f>CK121-SUM(BY121:CJ121)</f>
        <v>0</v>
      </c>
      <c r="CN122" s="278"/>
      <c r="CO122" s="278"/>
      <c r="CP122" s="278"/>
      <c r="CQ122" s="278"/>
      <c r="CR122" s="278"/>
      <c r="CS122" s="278"/>
      <c r="CT122" s="278"/>
      <c r="CU122" s="278"/>
      <c r="CV122" s="278"/>
      <c r="CW122" s="278"/>
      <c r="CX122" s="278"/>
      <c r="CY122" s="278"/>
      <c r="CZ122" s="183">
        <f>CZ121-SUM(CN121:CY121)</f>
        <v>0</v>
      </c>
      <c r="DB122" s="142"/>
      <c r="DC122" s="143"/>
    </row>
    <row r="123" spans="2:107" ht="15.75" thickBot="1">
      <c r="B123" s="340"/>
      <c r="C123" s="341"/>
      <c r="D123" s="341"/>
      <c r="E123" s="341"/>
      <c r="F123" s="341"/>
      <c r="G123" s="341"/>
      <c r="H123" s="341"/>
      <c r="I123" s="341"/>
      <c r="J123" s="341"/>
      <c r="K123" s="341"/>
      <c r="L123" s="341"/>
      <c r="M123" s="341"/>
      <c r="N123" s="341"/>
      <c r="O123" s="342"/>
      <c r="P123" s="341"/>
      <c r="Q123" s="341"/>
      <c r="R123" s="341"/>
      <c r="S123" s="341"/>
      <c r="T123" s="341"/>
      <c r="U123" s="341"/>
      <c r="V123" s="341"/>
      <c r="W123" s="341"/>
      <c r="X123" s="341"/>
      <c r="Y123" s="341"/>
      <c r="Z123" s="341"/>
      <c r="AA123" s="341"/>
      <c r="AB123" s="342"/>
      <c r="AE123" s="341"/>
      <c r="AF123" s="341"/>
      <c r="AG123" s="341"/>
      <c r="AH123" s="341"/>
      <c r="AI123" s="341"/>
      <c r="AJ123" s="341"/>
      <c r="AK123" s="341"/>
      <c r="AL123" s="341"/>
      <c r="AM123" s="341"/>
      <c r="AN123" s="341"/>
      <c r="AO123" s="341"/>
      <c r="AP123" s="341"/>
      <c r="AQ123" s="342"/>
      <c r="AU123" s="341"/>
      <c r="AV123" s="341"/>
      <c r="AW123" s="341"/>
      <c r="AX123" s="341"/>
      <c r="AY123" s="341"/>
      <c r="AZ123" s="341"/>
      <c r="BA123" s="341"/>
      <c r="BB123" s="341"/>
      <c r="BC123" s="341"/>
      <c r="BD123" s="341"/>
      <c r="BE123" s="341"/>
      <c r="BF123" s="341"/>
      <c r="BG123" s="342"/>
      <c r="BH123" s="304"/>
      <c r="BJ123" s="341"/>
      <c r="BK123" s="341"/>
      <c r="BL123" s="341"/>
      <c r="BM123" s="341"/>
      <c r="BN123" s="341"/>
      <c r="BO123" s="341"/>
      <c r="BP123" s="341"/>
      <c r="BQ123" s="341"/>
      <c r="BR123" s="341"/>
      <c r="BS123" s="342"/>
      <c r="BT123" s="342"/>
      <c r="BU123" s="342"/>
      <c r="BV123" s="342"/>
      <c r="BY123" s="342"/>
      <c r="BZ123" s="342"/>
      <c r="CA123" s="342"/>
      <c r="CB123" s="342"/>
      <c r="CC123" s="342"/>
      <c r="CD123" s="342"/>
      <c r="CE123" s="342"/>
      <c r="CF123" s="342"/>
      <c r="CG123" s="342"/>
      <c r="CH123" s="342"/>
      <c r="CI123" s="342"/>
      <c r="CJ123" s="342"/>
      <c r="CK123" s="342"/>
      <c r="CN123" s="342"/>
      <c r="CO123" s="342"/>
      <c r="CP123" s="342"/>
      <c r="CQ123" s="342"/>
      <c r="CR123" s="342"/>
      <c r="CS123" s="342"/>
      <c r="CT123" s="342"/>
      <c r="CU123" s="342"/>
      <c r="CV123" s="342"/>
      <c r="CW123" s="342"/>
      <c r="CX123" s="342"/>
      <c r="CY123" s="342"/>
      <c r="CZ123" s="342"/>
      <c r="DB123" s="142"/>
      <c r="DC123" s="143"/>
    </row>
    <row r="124" spans="2:107">
      <c r="B124" s="242" t="s">
        <v>35</v>
      </c>
      <c r="C124" s="146">
        <v>0</v>
      </c>
      <c r="D124" s="146">
        <f>C127</f>
        <v>0</v>
      </c>
      <c r="E124" s="146">
        <f t="shared" ref="E124:N124" si="158">D127</f>
        <v>-139.74</v>
      </c>
      <c r="F124" s="146">
        <f t="shared" si="158"/>
        <v>-140.59</v>
      </c>
      <c r="G124" s="146">
        <f t="shared" si="158"/>
        <v>-140.59</v>
      </c>
      <c r="H124" s="146">
        <f t="shared" si="158"/>
        <v>-153.44</v>
      </c>
      <c r="I124" s="146">
        <f t="shared" si="158"/>
        <v>-739.07999999999993</v>
      </c>
      <c r="J124" s="146">
        <f>I127</f>
        <v>-637.07999999999993</v>
      </c>
      <c r="K124" s="146">
        <f t="shared" si="158"/>
        <v>-740.68</v>
      </c>
      <c r="L124" s="146">
        <f t="shared" si="158"/>
        <v>-894.66</v>
      </c>
      <c r="M124" s="146">
        <f t="shared" si="158"/>
        <v>-986.31999999999994</v>
      </c>
      <c r="N124" s="146">
        <f t="shared" si="158"/>
        <v>-1089.07</v>
      </c>
      <c r="O124" s="148">
        <f>+C124</f>
        <v>0</v>
      </c>
      <c r="P124" s="343">
        <f>N127</f>
        <v>-1181.6399999999999</v>
      </c>
      <c r="Q124" s="146">
        <f>P127</f>
        <v>-1273.3</v>
      </c>
      <c r="R124" s="146">
        <f t="shared" ref="R124:AA124" si="159">Q127</f>
        <v>-1394.96</v>
      </c>
      <c r="S124" s="146">
        <f t="shared" si="159"/>
        <v>-1486.6200000000001</v>
      </c>
      <c r="T124" s="146">
        <f t="shared" si="159"/>
        <v>-1578.2800000000002</v>
      </c>
      <c r="U124" s="146">
        <f t="shared" si="159"/>
        <v>-1699.9700000000003</v>
      </c>
      <c r="V124" s="146">
        <f t="shared" si="159"/>
        <v>-1791.6600000000003</v>
      </c>
      <c r="W124" s="146">
        <f t="shared" si="159"/>
        <v>-1888.5300000000002</v>
      </c>
      <c r="X124" s="146">
        <f t="shared" si="159"/>
        <v>-2014.4600000000003</v>
      </c>
      <c r="Y124" s="146">
        <f t="shared" si="159"/>
        <v>-2170.4800000000005</v>
      </c>
      <c r="Z124" s="146">
        <f t="shared" si="159"/>
        <v>-2453.1900000000005</v>
      </c>
      <c r="AA124" s="146">
        <f t="shared" si="159"/>
        <v>-2579.1200000000003</v>
      </c>
      <c r="AB124" s="148">
        <f>+P124</f>
        <v>-1181.6399999999999</v>
      </c>
      <c r="AE124" s="343">
        <f>AA127</f>
        <v>-6321.4000000000005</v>
      </c>
      <c r="AF124" s="146">
        <f>AE127</f>
        <v>-11060.51</v>
      </c>
      <c r="AG124" s="146">
        <f t="shared" ref="AG124" si="160">AF127</f>
        <v>7620.3499999999985</v>
      </c>
      <c r="AH124" s="146">
        <f t="shared" ref="AH124" si="161">AG127</f>
        <v>61437.25</v>
      </c>
      <c r="AI124" s="146">
        <f t="shared" ref="AI124" si="162">AH127</f>
        <v>12795.480000000003</v>
      </c>
      <c r="AJ124" s="146">
        <f t="shared" ref="AJ124" si="163">AI127</f>
        <v>18046.658200000005</v>
      </c>
      <c r="AK124" s="146">
        <f t="shared" ref="AK124" si="164">AJ127</f>
        <v>8287.2382000000052</v>
      </c>
      <c r="AL124" s="146">
        <f t="shared" ref="AL124" si="165">AK127</f>
        <v>-328.34969999999339</v>
      </c>
      <c r="AM124" s="146">
        <f t="shared" ref="AM124" si="166">AL127</f>
        <v>39521.260300000002</v>
      </c>
      <c r="AN124" s="146">
        <f t="shared" ref="AN124" si="167">AM127</f>
        <v>98771.470300000015</v>
      </c>
      <c r="AO124" s="146">
        <f t="shared" ref="AO124" si="168">AN127</f>
        <v>116665.2403</v>
      </c>
      <c r="AP124" s="146">
        <f t="shared" ref="AP124" si="169">AO127</f>
        <v>83971.450299999997</v>
      </c>
      <c r="AQ124" s="148">
        <f>+AE124</f>
        <v>-6321.4000000000005</v>
      </c>
      <c r="AU124" s="343">
        <f>AP127</f>
        <v>14018.250299999985</v>
      </c>
      <c r="AV124" s="146">
        <f>AU127</f>
        <v>26705.770299999986</v>
      </c>
      <c r="AW124" s="146">
        <f t="shared" ref="AW124" si="170">AV127</f>
        <v>34017.62029999998</v>
      </c>
      <c r="AX124" s="146">
        <f t="shared" ref="AX124" si="171">AW127</f>
        <v>-8245.7097000000213</v>
      </c>
      <c r="AY124" s="146">
        <f t="shared" ref="AY124" si="172">AX127</f>
        <v>-22985.869700000021</v>
      </c>
      <c r="AZ124" s="146">
        <f t="shared" ref="AZ124" si="173">AY127</f>
        <v>-44863.80970000002</v>
      </c>
      <c r="BA124" s="146">
        <f t="shared" ref="BA124" si="174">AZ127</f>
        <v>-41896.799700000018</v>
      </c>
      <c r="BB124" s="146">
        <f t="shared" ref="BB124" si="175">BA127</f>
        <v>-33590.019700000019</v>
      </c>
      <c r="BC124" s="146">
        <f t="shared" ref="BC124" si="176">BB127</f>
        <v>-16468.129700000034</v>
      </c>
      <c r="BD124" s="146">
        <f t="shared" ref="BD124" si="177">BC127</f>
        <v>-11954.53970000003</v>
      </c>
      <c r="BE124" s="146">
        <f t="shared" ref="BE124" si="178">BD127</f>
        <v>-29262.139700000032</v>
      </c>
      <c r="BF124" s="146">
        <f t="shared" ref="BF124" si="179">BE127</f>
        <v>-31063.529700000036</v>
      </c>
      <c r="BG124" s="148">
        <f>+AU124</f>
        <v>14018.250299999985</v>
      </c>
      <c r="BH124" s="160"/>
      <c r="BJ124" s="343">
        <f>BF127</f>
        <v>-20994.949700000034</v>
      </c>
      <c r="BK124" s="146">
        <f>BJ127</f>
        <v>-58234.819700000036</v>
      </c>
      <c r="BL124" s="146">
        <f t="shared" ref="BL124" si="180">BK127</f>
        <v>-65075.699700000034</v>
      </c>
      <c r="BM124" s="146">
        <f t="shared" ref="BM124" si="181">BL127</f>
        <v>-67974.219700000016</v>
      </c>
      <c r="BN124" s="146">
        <f t="shared" ref="BN124" si="182">BM127</f>
        <v>-94101.86970000001</v>
      </c>
      <c r="BO124" s="146">
        <f t="shared" ref="BO124" si="183">BN127</f>
        <v>-106908.25970000002</v>
      </c>
      <c r="BP124" s="146">
        <f t="shared" ref="BP124" si="184">BO127</f>
        <v>-97014.349700000021</v>
      </c>
      <c r="BQ124" s="146">
        <f t="shared" ref="BQ124" si="185">BP127</f>
        <v>-119560.25970000002</v>
      </c>
      <c r="BR124" s="146">
        <f t="shared" ref="BR124" si="186">BQ127</f>
        <v>-76023.459700000021</v>
      </c>
      <c r="BS124" s="160">
        <f t="shared" ref="BS124" si="187">BR127</f>
        <v>-105575.74970000001</v>
      </c>
      <c r="BT124" s="160">
        <f t="shared" ref="BT124" si="188">BS127</f>
        <v>-120442.78970000002</v>
      </c>
      <c r="BU124" s="160">
        <f t="shared" ref="BU124" si="189">BT127</f>
        <v>-99156.349700000021</v>
      </c>
      <c r="BV124" s="148">
        <f>+BJ124</f>
        <v>-20994.949700000034</v>
      </c>
      <c r="BY124" s="344">
        <f>BU127</f>
        <v>-80001.189700000017</v>
      </c>
      <c r="BZ124" s="160">
        <f>BY127</f>
        <v>-124052.45970000002</v>
      </c>
      <c r="CA124" s="160">
        <f t="shared" ref="CA124" si="190">BZ127</f>
        <v>-113301.25970000002</v>
      </c>
      <c r="CB124" s="160">
        <f t="shared" ref="CB124" si="191">CA127</f>
        <v>-118302.04970000003</v>
      </c>
      <c r="CC124" s="160">
        <f t="shared" ref="CC124" si="192">CB127</f>
        <v>-121808.01970000003</v>
      </c>
      <c r="CD124" s="160">
        <f t="shared" ref="CD124" si="193">CC127</f>
        <v>-139314.89970000004</v>
      </c>
      <c r="CE124" s="160">
        <f t="shared" ref="CE124" si="194">CD127</f>
        <v>-114659.84970000004</v>
      </c>
      <c r="CF124" s="160">
        <f t="shared" ref="CF124" si="195">CE127</f>
        <v>-61123.689700000032</v>
      </c>
      <c r="CG124" s="160">
        <f t="shared" ref="CG124" si="196">CF127</f>
        <v>-44764.759700000031</v>
      </c>
      <c r="CH124" s="160">
        <f t="shared" ref="CH124" si="197">CG127</f>
        <v>-45717.089700000033</v>
      </c>
      <c r="CI124" s="160">
        <f t="shared" ref="CI124" si="198">CH127</f>
        <v>-32350.759700000031</v>
      </c>
      <c r="CJ124" s="160">
        <f t="shared" ref="CJ124" si="199">CI127</f>
        <v>-36867.079700000031</v>
      </c>
      <c r="CK124" s="148">
        <f>+BY124</f>
        <v>-80001.189700000017</v>
      </c>
      <c r="CN124" s="344">
        <f>CJ127</f>
        <v>-22122.569700000029</v>
      </c>
      <c r="CO124" s="160">
        <f>CN127</f>
        <v>-22921.479866666694</v>
      </c>
      <c r="CP124" s="160">
        <f t="shared" ref="CP124" si="200">CO127</f>
        <v>5414.6501333333144</v>
      </c>
      <c r="CQ124" s="160">
        <f t="shared" ref="CQ124" si="201">CP127</f>
        <v>15602.02013333331</v>
      </c>
      <c r="CR124" s="160">
        <f t="shared" ref="CR124" si="202">CQ127</f>
        <v>21875.840133333309</v>
      </c>
      <c r="CS124" s="160">
        <f t="shared" ref="CS124" si="203">CR127</f>
        <v>8736.9201333333112</v>
      </c>
      <c r="CT124" s="160">
        <f t="shared" ref="CT124" si="204">CS127</f>
        <v>36165.723996969667</v>
      </c>
      <c r="CU124" s="160">
        <f t="shared" ref="CU124" si="205">CT127</f>
        <v>112541.17049696966</v>
      </c>
      <c r="CV124" s="160">
        <f t="shared" ref="CV124" si="206">CU127</f>
        <v>147036.14049696966</v>
      </c>
      <c r="CW124" s="160">
        <f t="shared" ref="CW124" si="207">CV127</f>
        <v>141470.21049696967</v>
      </c>
      <c r="CX124" s="160">
        <f t="shared" ref="CX124" si="208">CW127</f>
        <v>142898.58397523052</v>
      </c>
      <c r="CY124" s="160">
        <f t="shared" ref="CY124" si="209">CX127</f>
        <v>155838.42397523051</v>
      </c>
      <c r="CZ124" s="148">
        <f>+CN124</f>
        <v>-22122.569700000029</v>
      </c>
      <c r="DB124" s="142"/>
      <c r="DC124" s="143"/>
    </row>
    <row r="125" spans="2:107">
      <c r="B125" s="242" t="s">
        <v>126</v>
      </c>
      <c r="C125" s="146">
        <f t="shared" ref="C125:N125" si="210">C16+C42</f>
        <v>0</v>
      </c>
      <c r="D125" s="146">
        <f t="shared" si="210"/>
        <v>0</v>
      </c>
      <c r="E125" s="146">
        <f t="shared" si="210"/>
        <v>0</v>
      </c>
      <c r="F125" s="146">
        <f t="shared" si="210"/>
        <v>0</v>
      </c>
      <c r="G125" s="146">
        <f t="shared" si="210"/>
        <v>0</v>
      </c>
      <c r="H125" s="146">
        <f t="shared" si="210"/>
        <v>0</v>
      </c>
      <c r="I125" s="146">
        <f t="shared" si="210"/>
        <v>0</v>
      </c>
      <c r="J125" s="146">
        <f t="shared" si="210"/>
        <v>0</v>
      </c>
      <c r="K125" s="146">
        <f t="shared" si="210"/>
        <v>0</v>
      </c>
      <c r="L125" s="146">
        <f t="shared" si="210"/>
        <v>0</v>
      </c>
      <c r="M125" s="146">
        <f t="shared" si="210"/>
        <v>0</v>
      </c>
      <c r="N125" s="146">
        <f t="shared" si="210"/>
        <v>0</v>
      </c>
      <c r="O125" s="148">
        <f>SUM(C125:N125)</f>
        <v>0</v>
      </c>
      <c r="P125" s="246">
        <f t="shared" ref="P125:AA125" si="211">P16+P42</f>
        <v>0</v>
      </c>
      <c r="Q125" s="146">
        <f t="shared" si="211"/>
        <v>0</v>
      </c>
      <c r="R125" s="146">
        <f t="shared" si="211"/>
        <v>0</v>
      </c>
      <c r="S125" s="146">
        <f t="shared" si="211"/>
        <v>0</v>
      </c>
      <c r="T125" s="146">
        <f t="shared" si="211"/>
        <v>0</v>
      </c>
      <c r="U125" s="146">
        <f t="shared" si="211"/>
        <v>0</v>
      </c>
      <c r="V125" s="146">
        <f t="shared" si="211"/>
        <v>0</v>
      </c>
      <c r="W125" s="146">
        <f t="shared" si="211"/>
        <v>0</v>
      </c>
      <c r="X125" s="146">
        <f t="shared" si="211"/>
        <v>0</v>
      </c>
      <c r="Y125" s="146">
        <f t="shared" si="211"/>
        <v>0</v>
      </c>
      <c r="Z125" s="146">
        <f t="shared" si="211"/>
        <v>0</v>
      </c>
      <c r="AA125" s="146">
        <f t="shared" si="211"/>
        <v>0</v>
      </c>
      <c r="AB125" s="148">
        <f>SUM(P125:AA125)</f>
        <v>0</v>
      </c>
      <c r="AE125" s="246">
        <f t="shared" ref="AE125:AP125" si="212">AE16+AE42+AE65</f>
        <v>4813.2500000000009</v>
      </c>
      <c r="AF125" s="146">
        <f t="shared" si="212"/>
        <v>33358.480000000003</v>
      </c>
      <c r="AG125" s="146">
        <f t="shared" si="212"/>
        <v>71126.26999999999</v>
      </c>
      <c r="AH125" s="146">
        <f t="shared" si="212"/>
        <v>5851.5300000000007</v>
      </c>
      <c r="AI125" s="146">
        <f t="shared" si="212"/>
        <v>46930.25</v>
      </c>
      <c r="AJ125" s="146">
        <f t="shared" si="212"/>
        <v>1725.36</v>
      </c>
      <c r="AK125" s="146">
        <f t="shared" si="212"/>
        <v>2334.5699999999997</v>
      </c>
      <c r="AL125" s="146">
        <f t="shared" si="212"/>
        <v>58962.869999999995</v>
      </c>
      <c r="AM125" s="146">
        <f t="shared" si="212"/>
        <v>80964.3</v>
      </c>
      <c r="AN125" s="146">
        <f t="shared" si="212"/>
        <v>42179.87</v>
      </c>
      <c r="AO125" s="146">
        <f t="shared" si="212"/>
        <v>2186.0100000000002</v>
      </c>
      <c r="AP125" s="146">
        <f t="shared" si="212"/>
        <v>24223.000000000004</v>
      </c>
      <c r="AQ125" s="148">
        <f>SUM(AE125:AP125)</f>
        <v>374655.76</v>
      </c>
      <c r="AU125" s="246">
        <f t="shared" ref="AU125:BF125" si="213">AU16+AU42+AU65</f>
        <v>21703.43</v>
      </c>
      <c r="AV125" s="146">
        <f t="shared" si="213"/>
        <v>32871.74</v>
      </c>
      <c r="AW125" s="146">
        <f t="shared" si="213"/>
        <v>2140.73</v>
      </c>
      <c r="AX125" s="146">
        <f t="shared" si="213"/>
        <v>16389.7</v>
      </c>
      <c r="AY125" s="146">
        <f t="shared" si="213"/>
        <v>11736.92</v>
      </c>
      <c r="AZ125" s="146">
        <f t="shared" si="213"/>
        <v>20249.95</v>
      </c>
      <c r="BA125" s="146">
        <f t="shared" si="213"/>
        <v>28626.04</v>
      </c>
      <c r="BB125" s="146">
        <f t="shared" si="213"/>
        <v>66192.209999999992</v>
      </c>
      <c r="BC125" s="146">
        <f t="shared" si="213"/>
        <v>21674.06</v>
      </c>
      <c r="BD125" s="146">
        <f t="shared" si="213"/>
        <v>7381.38</v>
      </c>
      <c r="BE125" s="146">
        <f t="shared" si="213"/>
        <v>5219.8999999999996</v>
      </c>
      <c r="BF125" s="146">
        <f t="shared" si="213"/>
        <v>32821.050000000003</v>
      </c>
      <c r="BG125" s="148">
        <f>SUM(AU125:BF125)</f>
        <v>267007.11</v>
      </c>
      <c r="BH125" s="160"/>
      <c r="BJ125" s="246">
        <f t="shared" ref="BJ125:BU125" si="214">BJ16+BJ42+BJ65</f>
        <v>12010.869999999999</v>
      </c>
      <c r="BK125" s="146">
        <f t="shared" si="214"/>
        <v>36014.14</v>
      </c>
      <c r="BL125" s="146">
        <f t="shared" si="214"/>
        <v>40479.200000000004</v>
      </c>
      <c r="BM125" s="146">
        <f t="shared" si="214"/>
        <v>11830.97</v>
      </c>
      <c r="BN125" s="146">
        <f t="shared" si="214"/>
        <v>12239.289999999999</v>
      </c>
      <c r="BO125" s="146">
        <f t="shared" si="214"/>
        <v>31756.42</v>
      </c>
      <c r="BP125" s="146">
        <f t="shared" si="214"/>
        <v>11621.1</v>
      </c>
      <c r="BQ125" s="146">
        <f t="shared" si="214"/>
        <v>59477.85</v>
      </c>
      <c r="BR125" s="146">
        <f t="shared" si="214"/>
        <v>6195.7699999999995</v>
      </c>
      <c r="BS125" s="160">
        <f t="shared" si="214"/>
        <v>28412.43</v>
      </c>
      <c r="BT125" s="160">
        <f t="shared" si="214"/>
        <v>36033.979999999996</v>
      </c>
      <c r="BU125" s="160">
        <f t="shared" si="214"/>
        <v>34811.74</v>
      </c>
      <c r="BV125" s="148">
        <f>SUM(BJ125:BU125)</f>
        <v>320883.75999999995</v>
      </c>
      <c r="BY125" s="226">
        <f t="shared" ref="BY125:CJ125" si="215">BY16+BY42+BY65</f>
        <v>5927.4999999999991</v>
      </c>
      <c r="BZ125" s="160">
        <f t="shared" si="215"/>
        <v>36282.5</v>
      </c>
      <c r="CA125" s="160">
        <f t="shared" si="215"/>
        <v>21096.999999999996</v>
      </c>
      <c r="CB125" s="160">
        <f t="shared" si="215"/>
        <v>31411.5</v>
      </c>
      <c r="CC125" s="160">
        <f t="shared" si="215"/>
        <v>1185.4999999999998</v>
      </c>
      <c r="CD125" s="160">
        <f t="shared" si="215"/>
        <v>37751.5</v>
      </c>
      <c r="CE125" s="160">
        <f t="shared" si="215"/>
        <v>68390</v>
      </c>
      <c r="CF125" s="160">
        <f t="shared" si="215"/>
        <v>34195</v>
      </c>
      <c r="CG125" s="160">
        <f t="shared" si="215"/>
        <v>26967.999999999996</v>
      </c>
      <c r="CH125" s="160">
        <f t="shared" si="215"/>
        <v>22226</v>
      </c>
      <c r="CI125" s="160">
        <f t="shared" si="215"/>
        <v>29874.599999999995</v>
      </c>
      <c r="CJ125" s="160">
        <f t="shared" si="215"/>
        <v>35517.58</v>
      </c>
      <c r="CK125" s="148">
        <f>SUM(BY125:CJ125)</f>
        <v>350826.68</v>
      </c>
      <c r="CN125" s="226">
        <f t="shared" ref="CN125:CY125" si="216">CN16+CN42+CN65</f>
        <v>29722.333333333336</v>
      </c>
      <c r="CO125" s="160">
        <f t="shared" si="216"/>
        <v>54082.250000000007</v>
      </c>
      <c r="CP125" s="160">
        <f t="shared" si="216"/>
        <v>34780.679999999993</v>
      </c>
      <c r="CQ125" s="160">
        <f t="shared" si="216"/>
        <v>23570.17</v>
      </c>
      <c r="CR125" s="160">
        <f t="shared" si="216"/>
        <v>5046.78</v>
      </c>
      <c r="CS125" s="160">
        <f t="shared" si="216"/>
        <v>51993.32386363636</v>
      </c>
      <c r="CT125" s="160">
        <f t="shared" si="216"/>
        <v>94843.199999999997</v>
      </c>
      <c r="CU125" s="160">
        <f t="shared" si="216"/>
        <v>47592.6</v>
      </c>
      <c r="CV125" s="160">
        <f t="shared" si="216"/>
        <v>23894.400000000001</v>
      </c>
      <c r="CW125" s="160">
        <f t="shared" si="216"/>
        <v>16449.043478260872</v>
      </c>
      <c r="CX125" s="160">
        <f t="shared" si="216"/>
        <v>34049.519999999997</v>
      </c>
      <c r="CY125" s="160">
        <f t="shared" si="216"/>
        <v>39724.44000000001</v>
      </c>
      <c r="CZ125" s="148">
        <f>SUM(CN125:CY125)</f>
        <v>455748.74067523057</v>
      </c>
      <c r="DB125" s="142"/>
      <c r="DC125" s="143"/>
    </row>
    <row r="126" spans="2:107" ht="15.75" thickBot="1">
      <c r="B126" s="242" t="s">
        <v>127</v>
      </c>
      <c r="C126" s="146">
        <f t="shared" ref="C126:N126" si="217">-(C33+C54+C121)</f>
        <v>0</v>
      </c>
      <c r="D126" s="146">
        <f t="shared" si="217"/>
        <v>-139.74</v>
      </c>
      <c r="E126" s="146">
        <f t="shared" si="217"/>
        <v>-0.85</v>
      </c>
      <c r="F126" s="146">
        <f t="shared" si="217"/>
        <v>0</v>
      </c>
      <c r="G126" s="146">
        <f t="shared" si="217"/>
        <v>-12.85</v>
      </c>
      <c r="H126" s="146">
        <f t="shared" si="217"/>
        <v>-585.64</v>
      </c>
      <c r="I126" s="146">
        <f t="shared" si="217"/>
        <v>102.00000000000001</v>
      </c>
      <c r="J126" s="146">
        <f t="shared" si="217"/>
        <v>-103.6</v>
      </c>
      <c r="K126" s="146">
        <f t="shared" si="217"/>
        <v>-153.97999999999999</v>
      </c>
      <c r="L126" s="146">
        <f t="shared" si="217"/>
        <v>-91.66</v>
      </c>
      <c r="M126" s="146">
        <f t="shared" si="217"/>
        <v>-102.75</v>
      </c>
      <c r="N126" s="146">
        <f t="shared" si="217"/>
        <v>-92.57</v>
      </c>
      <c r="O126" s="148">
        <f>SUM(C126:N126)</f>
        <v>-1181.6399999999999</v>
      </c>
      <c r="P126" s="246">
        <f t="shared" ref="P126:AA126" si="218">-(P33+P54+P121)</f>
        <v>-91.66</v>
      </c>
      <c r="Q126" s="146">
        <f t="shared" si="218"/>
        <v>-121.66</v>
      </c>
      <c r="R126" s="146">
        <f t="shared" si="218"/>
        <v>-91.66</v>
      </c>
      <c r="S126" s="146">
        <f t="shared" si="218"/>
        <v>-91.66</v>
      </c>
      <c r="T126" s="146">
        <f t="shared" si="218"/>
        <v>-121.69</v>
      </c>
      <c r="U126" s="146">
        <f t="shared" si="218"/>
        <v>-91.69</v>
      </c>
      <c r="V126" s="146">
        <f t="shared" si="218"/>
        <v>-96.87</v>
      </c>
      <c r="W126" s="146">
        <f t="shared" si="218"/>
        <v>-125.93</v>
      </c>
      <c r="X126" s="146">
        <f t="shared" si="218"/>
        <v>-156.02000000000001</v>
      </c>
      <c r="Y126" s="146">
        <f t="shared" si="218"/>
        <v>-282.71000000000004</v>
      </c>
      <c r="Z126" s="146">
        <f t="shared" si="218"/>
        <v>-125.93</v>
      </c>
      <c r="AA126" s="146">
        <f t="shared" si="218"/>
        <v>-3742.28</v>
      </c>
      <c r="AB126" s="148">
        <f>SUM(P126:AA126)</f>
        <v>-5139.76</v>
      </c>
      <c r="AE126" s="246">
        <f t="shared" ref="AE126:AP126" si="219">-(AE33+AE54+AE73+AE121)</f>
        <v>-9552.36</v>
      </c>
      <c r="AF126" s="146">
        <f t="shared" si="219"/>
        <v>-14677.620000000003</v>
      </c>
      <c r="AG126" s="146">
        <f t="shared" si="219"/>
        <v>-17309.37</v>
      </c>
      <c r="AH126" s="146">
        <f t="shared" si="219"/>
        <v>-54493.299999999996</v>
      </c>
      <c r="AI126" s="146">
        <f t="shared" si="219"/>
        <v>-41679.071799999998</v>
      </c>
      <c r="AJ126" s="146">
        <f t="shared" si="219"/>
        <v>-11484.78</v>
      </c>
      <c r="AK126" s="146">
        <f t="shared" si="219"/>
        <v>-10950.157899999998</v>
      </c>
      <c r="AL126" s="146">
        <f t="shared" si="219"/>
        <v>-19113.260000000002</v>
      </c>
      <c r="AM126" s="146">
        <f t="shared" si="219"/>
        <v>-21714.089999999997</v>
      </c>
      <c r="AN126" s="146">
        <f t="shared" si="219"/>
        <v>-24286.1</v>
      </c>
      <c r="AO126" s="146">
        <f t="shared" si="219"/>
        <v>-34879.800000000003</v>
      </c>
      <c r="AP126" s="146">
        <f t="shared" si="219"/>
        <v>-94176.200000000012</v>
      </c>
      <c r="AQ126" s="148">
        <f>SUM(AE126:AP126)</f>
        <v>-354316.10970000003</v>
      </c>
      <c r="AU126" s="246">
        <f t="shared" ref="AU126:BF126" si="220">-(AU33+AU54+AU73+AU121)</f>
        <v>-9015.91</v>
      </c>
      <c r="AV126" s="146">
        <f t="shared" si="220"/>
        <v>-25559.89</v>
      </c>
      <c r="AW126" s="146">
        <f t="shared" si="220"/>
        <v>-44404.060000000005</v>
      </c>
      <c r="AX126" s="146">
        <f t="shared" si="220"/>
        <v>-31129.86</v>
      </c>
      <c r="AY126" s="146">
        <f t="shared" si="220"/>
        <v>-33614.86</v>
      </c>
      <c r="AZ126" s="146">
        <f t="shared" si="220"/>
        <v>-17282.940000000002</v>
      </c>
      <c r="BA126" s="146">
        <f t="shared" si="220"/>
        <v>-20319.259999999998</v>
      </c>
      <c r="BB126" s="146">
        <f t="shared" si="220"/>
        <v>-49070.320000000007</v>
      </c>
      <c r="BC126" s="146">
        <f t="shared" si="220"/>
        <v>-17160.469999999998</v>
      </c>
      <c r="BD126" s="146">
        <f t="shared" si="220"/>
        <v>-24688.980000000003</v>
      </c>
      <c r="BE126" s="146">
        <f t="shared" si="220"/>
        <v>-7021.2900000000009</v>
      </c>
      <c r="BF126" s="146">
        <f t="shared" si="220"/>
        <v>-22752.47</v>
      </c>
      <c r="BG126" s="148">
        <f>SUM(AU126:BF126)</f>
        <v>-302020.31000000006</v>
      </c>
      <c r="BH126" s="160"/>
      <c r="BJ126" s="246">
        <f t="shared" ref="BJ126:BU126" si="221">-(BJ33+BJ54+BJ73+BJ121)</f>
        <v>-49250.74</v>
      </c>
      <c r="BK126" s="146">
        <f t="shared" si="221"/>
        <v>-42855.02</v>
      </c>
      <c r="BL126" s="146">
        <f t="shared" si="221"/>
        <v>-43377.719999999994</v>
      </c>
      <c r="BM126" s="146">
        <f t="shared" si="221"/>
        <v>-37958.619999999995</v>
      </c>
      <c r="BN126" s="146">
        <f t="shared" si="221"/>
        <v>-25045.68</v>
      </c>
      <c r="BO126" s="146">
        <f t="shared" si="221"/>
        <v>-21862.509999999995</v>
      </c>
      <c r="BP126" s="146">
        <f t="shared" si="221"/>
        <v>-34167.01</v>
      </c>
      <c r="BQ126" s="146">
        <f t="shared" si="221"/>
        <v>-15941.050000000001</v>
      </c>
      <c r="BR126" s="146">
        <f t="shared" si="221"/>
        <v>-35748.06</v>
      </c>
      <c r="BS126" s="160">
        <f t="shared" si="221"/>
        <v>-43279.47</v>
      </c>
      <c r="BT126" s="160">
        <f t="shared" si="221"/>
        <v>-14747.539999999997</v>
      </c>
      <c r="BU126" s="160">
        <f t="shared" si="221"/>
        <v>-15656.58</v>
      </c>
      <c r="BV126" s="148">
        <f>SUM(BJ126:BU126)</f>
        <v>-379890</v>
      </c>
      <c r="BY126" s="226">
        <f t="shared" ref="BY126:CJ126" si="222">-(BY33+BY54+BY73+BY121)</f>
        <v>-49978.770000000004</v>
      </c>
      <c r="BZ126" s="160">
        <f t="shared" si="222"/>
        <v>-25531.3</v>
      </c>
      <c r="CA126" s="160">
        <f t="shared" si="222"/>
        <v>-26097.79</v>
      </c>
      <c r="CB126" s="160">
        <f t="shared" si="222"/>
        <v>-34917.47</v>
      </c>
      <c r="CC126" s="160">
        <f t="shared" si="222"/>
        <v>-18692.38</v>
      </c>
      <c r="CD126" s="160">
        <f t="shared" si="222"/>
        <v>-13096.45</v>
      </c>
      <c r="CE126" s="160">
        <f t="shared" si="222"/>
        <v>-14853.84</v>
      </c>
      <c r="CF126" s="160">
        <f t="shared" si="222"/>
        <v>-17836.07</v>
      </c>
      <c r="CG126" s="160">
        <f t="shared" si="222"/>
        <v>-27920.329999999998</v>
      </c>
      <c r="CH126" s="160">
        <f t="shared" si="222"/>
        <v>-8859.67</v>
      </c>
      <c r="CI126" s="160">
        <f t="shared" si="222"/>
        <v>-34390.92</v>
      </c>
      <c r="CJ126" s="160">
        <f t="shared" si="222"/>
        <v>-20773.07</v>
      </c>
      <c r="CK126" s="148">
        <f>SUM(BY126:CJ126)</f>
        <v>-292948.06000000006</v>
      </c>
      <c r="CN126" s="226">
        <f t="shared" ref="CN126:CY126" si="223">-(CN33+CN54+CN73+CN121)</f>
        <v>-30521.2435</v>
      </c>
      <c r="CO126" s="160">
        <f t="shared" si="223"/>
        <v>-25746.12</v>
      </c>
      <c r="CP126" s="160">
        <f t="shared" si="223"/>
        <v>-24593.309999999998</v>
      </c>
      <c r="CQ126" s="160">
        <f t="shared" si="223"/>
        <v>-17296.349999999999</v>
      </c>
      <c r="CR126" s="160">
        <f t="shared" si="223"/>
        <v>-18185.699999999997</v>
      </c>
      <c r="CS126" s="160">
        <f t="shared" si="223"/>
        <v>-24564.52</v>
      </c>
      <c r="CT126" s="160">
        <f t="shared" si="223"/>
        <v>-18467.753499999999</v>
      </c>
      <c r="CU126" s="160">
        <f t="shared" si="223"/>
        <v>-13097.63</v>
      </c>
      <c r="CV126" s="160">
        <f t="shared" si="223"/>
        <v>-29460.329999999998</v>
      </c>
      <c r="CW126" s="160">
        <f t="shared" si="223"/>
        <v>-15020.67</v>
      </c>
      <c r="CX126" s="160">
        <f t="shared" si="223"/>
        <v>-21109.68</v>
      </c>
      <c r="CY126" s="160">
        <f t="shared" si="223"/>
        <v>-20527.07</v>
      </c>
      <c r="CZ126" s="148">
        <f>SUM(CN126:CY126)</f>
        <v>-258590.37700000001</v>
      </c>
      <c r="DB126" s="142"/>
      <c r="DC126" s="143"/>
    </row>
    <row r="127" spans="2:107" s="217" customFormat="1" ht="16.5" thickBot="1">
      <c r="B127" s="275" t="s">
        <v>388</v>
      </c>
      <c r="C127" s="345">
        <f t="shared" ref="C127:D127" si="224">SUM(C124:C126)</f>
        <v>0</v>
      </c>
      <c r="D127" s="345">
        <f t="shared" si="224"/>
        <v>-139.74</v>
      </c>
      <c r="E127" s="345">
        <f t="shared" ref="E127:M127" si="225">SUM(E124:E126)</f>
        <v>-140.59</v>
      </c>
      <c r="F127" s="345">
        <f t="shared" si="225"/>
        <v>-140.59</v>
      </c>
      <c r="G127" s="345">
        <f>SUM(G124:G126)</f>
        <v>-153.44</v>
      </c>
      <c r="H127" s="345">
        <f t="shared" si="225"/>
        <v>-739.07999999999993</v>
      </c>
      <c r="I127" s="345">
        <f t="shared" si="225"/>
        <v>-637.07999999999993</v>
      </c>
      <c r="J127" s="345">
        <f t="shared" si="225"/>
        <v>-740.68</v>
      </c>
      <c r="K127" s="345">
        <f t="shared" si="225"/>
        <v>-894.66</v>
      </c>
      <c r="L127" s="345">
        <f t="shared" si="225"/>
        <v>-986.31999999999994</v>
      </c>
      <c r="M127" s="345">
        <f t="shared" si="225"/>
        <v>-1089.07</v>
      </c>
      <c r="N127" s="345">
        <f>SUM(N124:N126)</f>
        <v>-1181.6399999999999</v>
      </c>
      <c r="O127" s="276">
        <f>SUM(O124:O126)</f>
        <v>-1181.6399999999999</v>
      </c>
      <c r="P127" s="346">
        <f>SUM(P124:P126)</f>
        <v>-1273.3</v>
      </c>
      <c r="Q127" s="345">
        <f>SUM(Q124:Q126)</f>
        <v>-1394.96</v>
      </c>
      <c r="R127" s="345">
        <f t="shared" ref="R127:Z127" si="226">SUM(R124:R126)</f>
        <v>-1486.6200000000001</v>
      </c>
      <c r="S127" s="345">
        <f t="shared" si="226"/>
        <v>-1578.2800000000002</v>
      </c>
      <c r="T127" s="345">
        <f t="shared" si="226"/>
        <v>-1699.9700000000003</v>
      </c>
      <c r="U127" s="345">
        <f t="shared" si="226"/>
        <v>-1791.6600000000003</v>
      </c>
      <c r="V127" s="345">
        <f t="shared" si="226"/>
        <v>-1888.5300000000002</v>
      </c>
      <c r="W127" s="345">
        <f t="shared" si="226"/>
        <v>-2014.4600000000003</v>
      </c>
      <c r="X127" s="345">
        <f t="shared" si="226"/>
        <v>-2170.4800000000005</v>
      </c>
      <c r="Y127" s="345">
        <f t="shared" si="226"/>
        <v>-2453.1900000000005</v>
      </c>
      <c r="Z127" s="345">
        <f t="shared" si="226"/>
        <v>-2579.1200000000003</v>
      </c>
      <c r="AA127" s="345">
        <f>SUM(AA124:AA126)</f>
        <v>-6321.4000000000005</v>
      </c>
      <c r="AB127" s="276">
        <f>SUM(AB124:AB126)</f>
        <v>-6321.4</v>
      </c>
      <c r="AE127" s="346">
        <f>SUM(AE124:AE126)</f>
        <v>-11060.51</v>
      </c>
      <c r="AF127" s="345">
        <f>SUM(AF124:AF126)</f>
        <v>7620.3499999999985</v>
      </c>
      <c r="AG127" s="345">
        <f t="shared" ref="AG127:AP127" si="227">SUM(AG124:AG126)</f>
        <v>61437.25</v>
      </c>
      <c r="AH127" s="345">
        <f t="shared" si="227"/>
        <v>12795.480000000003</v>
      </c>
      <c r="AI127" s="345">
        <f t="shared" si="227"/>
        <v>18046.658200000005</v>
      </c>
      <c r="AJ127" s="345">
        <f t="shared" si="227"/>
        <v>8287.2382000000052</v>
      </c>
      <c r="AK127" s="345">
        <f t="shared" si="227"/>
        <v>-328.34969999999339</v>
      </c>
      <c r="AL127" s="345">
        <f t="shared" si="227"/>
        <v>39521.260300000002</v>
      </c>
      <c r="AM127" s="345">
        <f t="shared" si="227"/>
        <v>98771.470300000015</v>
      </c>
      <c r="AN127" s="345">
        <f t="shared" si="227"/>
        <v>116665.2403</v>
      </c>
      <c r="AO127" s="345">
        <f t="shared" si="227"/>
        <v>83971.450299999997</v>
      </c>
      <c r="AP127" s="345">
        <f t="shared" si="227"/>
        <v>14018.250299999985</v>
      </c>
      <c r="AQ127" s="276">
        <f>SUM(AQ124:AQ126)</f>
        <v>14018.250299999956</v>
      </c>
      <c r="AS127" s="218"/>
      <c r="AU127" s="346">
        <f>SUM(AU124:AU126)</f>
        <v>26705.770299999986</v>
      </c>
      <c r="AV127" s="345">
        <f>SUM(AV124:AV126)</f>
        <v>34017.62029999998</v>
      </c>
      <c r="AW127" s="345">
        <f>SUM(AW124:AW126)</f>
        <v>-8245.7097000000213</v>
      </c>
      <c r="AX127" s="345">
        <f t="shared" ref="AX127:BE127" si="228">SUM(AX124:AX126)</f>
        <v>-22985.869700000021</v>
      </c>
      <c r="AY127" s="345">
        <f>SUM(AY124:AY126)</f>
        <v>-44863.80970000002</v>
      </c>
      <c r="AZ127" s="345">
        <f t="shared" si="228"/>
        <v>-41896.799700000018</v>
      </c>
      <c r="BA127" s="345">
        <f t="shared" si="228"/>
        <v>-33590.019700000019</v>
      </c>
      <c r="BB127" s="345">
        <f t="shared" si="228"/>
        <v>-16468.129700000034</v>
      </c>
      <c r="BC127" s="345">
        <f t="shared" si="228"/>
        <v>-11954.53970000003</v>
      </c>
      <c r="BD127" s="345">
        <f t="shared" si="228"/>
        <v>-29262.139700000032</v>
      </c>
      <c r="BE127" s="345">
        <f t="shared" si="228"/>
        <v>-31063.529700000036</v>
      </c>
      <c r="BF127" s="345">
        <f>SUM(BF124:BF126)</f>
        <v>-20994.949700000034</v>
      </c>
      <c r="BG127" s="276">
        <f>SUM(BG124:BG126)</f>
        <v>-20994.949700000114</v>
      </c>
      <c r="BH127" s="179"/>
      <c r="BJ127" s="346">
        <f>SUM(BJ124:BJ126)</f>
        <v>-58234.819700000036</v>
      </c>
      <c r="BK127" s="345">
        <f>SUM(BK124:BK126)</f>
        <v>-65075.699700000034</v>
      </c>
      <c r="BL127" s="345">
        <f t="shared" ref="BL127:BU127" si="229">SUM(BL124:BL126)</f>
        <v>-67974.219700000016</v>
      </c>
      <c r="BM127" s="345">
        <f t="shared" si="229"/>
        <v>-94101.86970000001</v>
      </c>
      <c r="BN127" s="345">
        <f t="shared" si="229"/>
        <v>-106908.25970000002</v>
      </c>
      <c r="BO127" s="345">
        <f t="shared" si="229"/>
        <v>-97014.349700000021</v>
      </c>
      <c r="BP127" s="345">
        <f t="shared" si="229"/>
        <v>-119560.25970000002</v>
      </c>
      <c r="BQ127" s="345">
        <f t="shared" si="229"/>
        <v>-76023.459700000021</v>
      </c>
      <c r="BR127" s="345">
        <f t="shared" si="229"/>
        <v>-105575.74970000001</v>
      </c>
      <c r="BS127" s="347">
        <f t="shared" si="229"/>
        <v>-120442.78970000002</v>
      </c>
      <c r="BT127" s="347">
        <f t="shared" si="229"/>
        <v>-99156.349700000021</v>
      </c>
      <c r="BU127" s="347">
        <f t="shared" si="229"/>
        <v>-80001.189700000017</v>
      </c>
      <c r="BV127" s="276">
        <f>SUM(BV124:BV126)</f>
        <v>-80001.189700000104</v>
      </c>
      <c r="BY127" s="348">
        <f>SUM(BY124:BY126)</f>
        <v>-124052.45970000002</v>
      </c>
      <c r="BZ127" s="347">
        <f>SUM(BZ124:BZ126)</f>
        <v>-113301.25970000002</v>
      </c>
      <c r="CA127" s="347">
        <f t="shared" ref="CA127:CJ127" si="230">SUM(CA124:CA126)</f>
        <v>-118302.04970000003</v>
      </c>
      <c r="CB127" s="347">
        <f t="shared" si="230"/>
        <v>-121808.01970000003</v>
      </c>
      <c r="CC127" s="347">
        <f t="shared" si="230"/>
        <v>-139314.89970000004</v>
      </c>
      <c r="CD127" s="347">
        <f t="shared" si="230"/>
        <v>-114659.84970000004</v>
      </c>
      <c r="CE127" s="347">
        <f t="shared" si="230"/>
        <v>-61123.689700000032</v>
      </c>
      <c r="CF127" s="347">
        <f t="shared" si="230"/>
        <v>-44764.759700000031</v>
      </c>
      <c r="CG127" s="347">
        <f t="shared" si="230"/>
        <v>-45717.089700000033</v>
      </c>
      <c r="CH127" s="347">
        <f t="shared" si="230"/>
        <v>-32350.759700000031</v>
      </c>
      <c r="CI127" s="347">
        <f t="shared" si="230"/>
        <v>-36867.079700000031</v>
      </c>
      <c r="CJ127" s="347">
        <f t="shared" si="230"/>
        <v>-22122.569700000029</v>
      </c>
      <c r="CK127" s="276">
        <f>SUM(CK124:CK126)</f>
        <v>-22122.569700000109</v>
      </c>
      <c r="CN127" s="348">
        <f>SUM(CN124:CN126)</f>
        <v>-22921.479866666694</v>
      </c>
      <c r="CO127" s="347">
        <f>SUM(CO124:CO126)</f>
        <v>5414.6501333333144</v>
      </c>
      <c r="CP127" s="347">
        <f t="shared" ref="CP127:CY127" si="231">SUM(CP124:CP126)</f>
        <v>15602.02013333331</v>
      </c>
      <c r="CQ127" s="347">
        <f t="shared" si="231"/>
        <v>21875.840133333309</v>
      </c>
      <c r="CR127" s="347">
        <f t="shared" si="231"/>
        <v>8736.9201333333112</v>
      </c>
      <c r="CS127" s="347">
        <f t="shared" si="231"/>
        <v>36165.723996969667</v>
      </c>
      <c r="CT127" s="347">
        <f t="shared" si="231"/>
        <v>112541.17049696966</v>
      </c>
      <c r="CU127" s="347">
        <f t="shared" si="231"/>
        <v>147036.14049696966</v>
      </c>
      <c r="CV127" s="347">
        <f t="shared" si="231"/>
        <v>141470.21049696967</v>
      </c>
      <c r="CW127" s="347">
        <f t="shared" si="231"/>
        <v>142898.58397523052</v>
      </c>
      <c r="CX127" s="347">
        <f t="shared" si="231"/>
        <v>155838.42397523051</v>
      </c>
      <c r="CY127" s="347">
        <f t="shared" si="231"/>
        <v>175035.79397523051</v>
      </c>
      <c r="CZ127" s="276">
        <f>SUM(CZ124:CZ126)</f>
        <v>175035.79397523051</v>
      </c>
      <c r="DB127" s="219"/>
      <c r="DC127" s="222"/>
    </row>
    <row r="128" spans="2:107">
      <c r="B128" s="265" t="s">
        <v>128</v>
      </c>
      <c r="C128" s="146"/>
      <c r="D128" s="146" t="e">
        <f>D127/C127</f>
        <v>#DIV/0!</v>
      </c>
      <c r="E128" s="146">
        <f t="shared" ref="E128:M128" si="232">E127/D127</f>
        <v>1.0060827250608273</v>
      </c>
      <c r="F128" s="146">
        <f t="shared" si="232"/>
        <v>1</v>
      </c>
      <c r="G128" s="146">
        <f t="shared" si="232"/>
        <v>1.0914005263532256</v>
      </c>
      <c r="H128" s="146">
        <f t="shared" si="232"/>
        <v>4.8167361835245046</v>
      </c>
      <c r="I128" s="146">
        <f t="shared" si="232"/>
        <v>0.86199058288683228</v>
      </c>
      <c r="J128" s="146">
        <f t="shared" si="232"/>
        <v>1.1626169397877819</v>
      </c>
      <c r="K128" s="146">
        <f t="shared" si="232"/>
        <v>1.2078900469838527</v>
      </c>
      <c r="L128" s="146">
        <f t="shared" si="232"/>
        <v>1.1024523282587799</v>
      </c>
      <c r="M128" s="146">
        <f t="shared" si="232"/>
        <v>1.1041751155811501</v>
      </c>
      <c r="N128" s="146">
        <f>N127/M127</f>
        <v>1.0849991276961077</v>
      </c>
      <c r="O128" s="160"/>
      <c r="P128" s="146">
        <f>P127/N127</f>
        <v>1.0775701567313227</v>
      </c>
      <c r="Q128" s="146">
        <f>Q127/P127</f>
        <v>1.0955470038482684</v>
      </c>
      <c r="R128" s="146">
        <f t="shared" ref="R128:AA128" si="233">R127/Q127</f>
        <v>1.0657079772896714</v>
      </c>
      <c r="S128" s="146">
        <f t="shared" si="233"/>
        <v>1.0616566439305271</v>
      </c>
      <c r="T128" s="146">
        <f t="shared" si="233"/>
        <v>1.0771029221684365</v>
      </c>
      <c r="U128" s="146">
        <f t="shared" si="233"/>
        <v>1.0539362459337518</v>
      </c>
      <c r="V128" s="146">
        <f t="shared" si="233"/>
        <v>1.0540671779243829</v>
      </c>
      <c r="W128" s="146">
        <f t="shared" si="233"/>
        <v>1.0666814930130843</v>
      </c>
      <c r="X128" s="146">
        <f t="shared" si="233"/>
        <v>1.0774500362379993</v>
      </c>
      <c r="Y128" s="146">
        <f t="shared" si="233"/>
        <v>1.1302522944233533</v>
      </c>
      <c r="Z128" s="146">
        <f t="shared" si="233"/>
        <v>1.0513331621276787</v>
      </c>
      <c r="AA128" s="146">
        <f t="shared" si="233"/>
        <v>2.4509910357020996</v>
      </c>
      <c r="AB128" s="160"/>
      <c r="AE128" s="146">
        <f>AE127/AA127</f>
        <v>1.7496931059575409</v>
      </c>
      <c r="AF128" s="146">
        <f>AF127/AE127</f>
        <v>-0.68896913433467344</v>
      </c>
      <c r="AG128" s="146">
        <f t="shared" ref="AG128" si="234">AG127/AF127</f>
        <v>8.0622609197740278</v>
      </c>
      <c r="AH128" s="146">
        <f t="shared" ref="AH128" si="235">AH127/AG127</f>
        <v>0.20826908756495455</v>
      </c>
      <c r="AI128" s="146">
        <f t="shared" ref="AI128" si="236">AI127/AH127</f>
        <v>1.410393216979746</v>
      </c>
      <c r="AJ128" s="146">
        <f t="shared" ref="AJ128" si="237">AJ127/AI127</f>
        <v>0.45921178913888905</v>
      </c>
      <c r="AK128" s="146">
        <f t="shared" ref="AK128" si="238">AK127/AJ127</f>
        <v>-3.9621124924343692E-2</v>
      </c>
      <c r="AL128" s="146">
        <f t="shared" ref="AL128" si="239">AL127/AK127</f>
        <v>-120.36332087405835</v>
      </c>
      <c r="AM128" s="146">
        <f t="shared" ref="AM128" si="240">AM127/AL127</f>
        <v>2.4991983947434999</v>
      </c>
      <c r="AN128" s="146">
        <f t="shared" ref="AN128" si="241">AN127/AM127</f>
        <v>1.181163345505043</v>
      </c>
      <c r="AO128" s="146">
        <f t="shared" ref="AO128" si="242">AO127/AN127</f>
        <v>0.71976408812145565</v>
      </c>
      <c r="AP128" s="146">
        <f t="shared" ref="AP128" si="243">AP127/AO127</f>
        <v>0.16694067150106118</v>
      </c>
      <c r="AQ128" s="160"/>
      <c r="AU128" s="146">
        <f>AU127/AP127</f>
        <v>1.9050715837196897</v>
      </c>
      <c r="AV128" s="146">
        <f>AV127/AU127</f>
        <v>1.2737928888724097</v>
      </c>
      <c r="AW128" s="146">
        <f t="shared" ref="AW128" si="244">AW127/AV127</f>
        <v>-0.24239525361508094</v>
      </c>
      <c r="AX128" s="146">
        <f t="shared" ref="AX128" si="245">AX127/AW127</f>
        <v>2.7876156857668617</v>
      </c>
      <c r="AY128" s="146">
        <f t="shared" ref="AY128" si="246">AY127/AX127</f>
        <v>1.9517995309962093</v>
      </c>
      <c r="AZ128" s="146">
        <f t="shared" ref="AZ128" si="247">AZ127/AY127</f>
        <v>0.93386629401648868</v>
      </c>
      <c r="BA128" s="146">
        <f t="shared" ref="BA128" si="248">BA127/AZ127</f>
        <v>0.80173235045444302</v>
      </c>
      <c r="BB128" s="146">
        <f t="shared" ref="BB128" si="249">BB127/BA127</f>
        <v>0.49026853354301619</v>
      </c>
      <c r="BC128" s="146">
        <f t="shared" ref="BC128" si="250">BC127/BB127</f>
        <v>0.7259196956652586</v>
      </c>
      <c r="BD128" s="146">
        <f t="shared" ref="BD128" si="251">BD127/BC127</f>
        <v>2.4477847273366753</v>
      </c>
      <c r="BE128" s="146">
        <f t="shared" ref="BE128" si="252">BE127/BD127</f>
        <v>1.0615604333267536</v>
      </c>
      <c r="BF128" s="146">
        <f t="shared" ref="BF128" si="253">BF127/BE127</f>
        <v>0.67587134825827633</v>
      </c>
      <c r="BG128" s="160"/>
      <c r="BH128" s="160"/>
      <c r="BJ128" s="146">
        <f>BJ127/BF127</f>
        <v>2.7737537137324004</v>
      </c>
      <c r="BK128" s="146">
        <f>BK127/BJ127</f>
        <v>1.1174706135477224</v>
      </c>
      <c r="BL128" s="146">
        <f t="shared" ref="BL128" si="254">BL127/BK127</f>
        <v>1.0445407427559319</v>
      </c>
      <c r="BM128" s="146">
        <f t="shared" ref="BM128" si="255">BM127/BL127</f>
        <v>1.3843758724309414</v>
      </c>
      <c r="BN128" s="146">
        <f t="shared" ref="BN128" si="256">BN127/BM127</f>
        <v>1.1360907072391571</v>
      </c>
      <c r="BO128" s="146">
        <f t="shared" ref="BO128" si="257">BO127/BN127</f>
        <v>0.90745420393369292</v>
      </c>
      <c r="BP128" s="146">
        <f t="shared" ref="BP128" si="258">BP127/BO127</f>
        <v>1.2323976820925904</v>
      </c>
      <c r="BQ128" s="146">
        <f t="shared" ref="BQ128" si="259">BQ127/BP127</f>
        <v>0.63585893749944744</v>
      </c>
      <c r="BR128" s="146">
        <f t="shared" ref="BR128" si="260">BR127/BQ127</f>
        <v>1.388725929030562</v>
      </c>
      <c r="BS128" s="160">
        <f t="shared" ref="BS128" si="261">BS127/BR127</f>
        <v>1.1408187016644031</v>
      </c>
      <c r="BT128" s="160">
        <f t="shared" ref="BT128" si="262">BT127/BS127</f>
        <v>0.82326513647665867</v>
      </c>
      <c r="BU128" s="160">
        <f t="shared" ref="BU128" si="263">BU127/BT127</f>
        <v>0.80681862474814359</v>
      </c>
      <c r="BV128" s="160"/>
      <c r="BY128" s="160">
        <f>BY127/BU127</f>
        <v>1.5506326864036621</v>
      </c>
      <c r="BZ128" s="160">
        <f>BZ127/BY127</f>
        <v>0.91333343953034096</v>
      </c>
      <c r="CA128" s="160">
        <f t="shared" ref="CA128" si="264">CA127/BZ127</f>
        <v>1.0441371085656164</v>
      </c>
      <c r="CB128" s="160">
        <f t="shared" ref="CB128" si="265">CB127/CA127</f>
        <v>1.0296357502586873</v>
      </c>
      <c r="CC128" s="160">
        <f t="shared" ref="CC128" si="266">CC127/CB127</f>
        <v>1.1437251836382987</v>
      </c>
      <c r="CD128" s="160">
        <f t="shared" ref="CD128" si="267">CD127/CC127</f>
        <v>0.82302646699604953</v>
      </c>
      <c r="CE128" s="160">
        <f t="shared" ref="CE128" si="268">CE127/CD127</f>
        <v>0.53308712561481764</v>
      </c>
      <c r="CF128" s="160">
        <f t="shared" ref="CF128" si="269">CF127/CE127</f>
        <v>0.73236350619062851</v>
      </c>
      <c r="CG128" s="160">
        <f t="shared" ref="CG128" si="270">CG127/CF127</f>
        <v>1.0212741005733579</v>
      </c>
      <c r="CH128" s="160">
        <f t="shared" ref="CH128" si="271">CH127/CG127</f>
        <v>0.70762946443635955</v>
      </c>
      <c r="CI128" s="160">
        <f t="shared" ref="CI128" si="272">CI127/CH127</f>
        <v>1.1396047586480633</v>
      </c>
      <c r="CJ128" s="160">
        <f t="shared" ref="CJ128" si="273">CJ127/CI127</f>
        <v>0.60006297976457323</v>
      </c>
      <c r="CK128" s="160"/>
      <c r="CN128" s="160">
        <f>CN127/CJ127</f>
        <v>1.0361129008745609</v>
      </c>
      <c r="CO128" s="160">
        <f>CO127/CN127</f>
        <v>-0.23622602750041061</v>
      </c>
      <c r="CP128" s="160">
        <f t="shared" ref="CP128" si="274">CP127/CO127</f>
        <v>2.8814456611490327</v>
      </c>
      <c r="CQ128" s="160">
        <f t="shared" ref="CQ128" si="275">CQ127/CP127</f>
        <v>1.4021158764303956</v>
      </c>
      <c r="CR128" s="160">
        <f t="shared" ref="CR128" si="276">CR127/CQ127</f>
        <v>0.39938672435352229</v>
      </c>
      <c r="CS128" s="160">
        <f t="shared" ref="CS128" si="277">CS127/CR127</f>
        <v>4.13941336821763</v>
      </c>
      <c r="CT128" s="160">
        <f t="shared" ref="CT128" si="278">CT127/CS127</f>
        <v>3.1118185414012314</v>
      </c>
      <c r="CU128" s="160">
        <f t="shared" ref="CU128" si="279">CU127/CT127</f>
        <v>1.3065097852428045</v>
      </c>
      <c r="CV128" s="160">
        <f t="shared" ref="CV128" si="280">CV127/CU127</f>
        <v>0.96214583719902047</v>
      </c>
      <c r="CW128" s="160">
        <f t="shared" ref="CW128" si="281">CW127/CV127</f>
        <v>1.0100966378239145</v>
      </c>
      <c r="CX128" s="160">
        <f t="shared" ref="CX128" si="282">CX127/CW127</f>
        <v>1.0905526117896518</v>
      </c>
      <c r="CY128" s="160">
        <f t="shared" ref="CY128" si="283">CY127/CX127</f>
        <v>1.1231876549460695</v>
      </c>
      <c r="CZ128" s="160"/>
      <c r="DB128" s="142"/>
      <c r="DC128" s="143"/>
    </row>
    <row r="129" spans="2:107">
      <c r="B129" s="265"/>
      <c r="C129" s="146"/>
      <c r="D129" s="146"/>
      <c r="E129" s="146"/>
      <c r="F129" s="146"/>
      <c r="G129" s="146"/>
      <c r="H129" s="146"/>
      <c r="I129" s="146"/>
      <c r="J129" s="146"/>
      <c r="K129" s="146"/>
      <c r="L129" s="146"/>
      <c r="M129" s="146"/>
      <c r="N129" s="146"/>
      <c r="O129" s="160"/>
      <c r="P129" s="146"/>
      <c r="Q129" s="146"/>
      <c r="R129" s="146"/>
      <c r="S129" s="146"/>
      <c r="T129" s="146"/>
      <c r="U129" s="146"/>
      <c r="V129" s="146"/>
      <c r="W129" s="146"/>
      <c r="X129" s="146"/>
      <c r="Y129" s="146"/>
      <c r="Z129" s="146"/>
      <c r="AA129" s="146"/>
      <c r="AB129" s="160"/>
      <c r="AE129" s="146"/>
      <c r="AF129" s="146"/>
      <c r="AG129" s="146"/>
      <c r="AH129" s="146"/>
      <c r="AI129" s="146"/>
      <c r="AJ129" s="146"/>
      <c r="AK129" s="146"/>
      <c r="AL129" s="146"/>
      <c r="AM129" s="146"/>
      <c r="AN129" s="146"/>
      <c r="AO129" s="146"/>
      <c r="AP129" s="146"/>
      <c r="AQ129" s="160"/>
      <c r="AU129" s="146"/>
      <c r="AV129" s="146"/>
      <c r="AW129" s="146"/>
      <c r="AX129" s="146"/>
      <c r="AY129" s="146"/>
      <c r="AZ129" s="146"/>
      <c r="BA129" s="146"/>
      <c r="BB129" s="146"/>
      <c r="BC129" s="146"/>
      <c r="BD129" s="146"/>
      <c r="BE129" s="146"/>
      <c r="BF129" s="146"/>
      <c r="BG129" s="160"/>
      <c r="BH129" s="160"/>
      <c r="BJ129" s="146"/>
      <c r="BK129" s="146"/>
      <c r="BL129" s="146"/>
      <c r="BM129" s="146"/>
      <c r="BN129" s="146"/>
      <c r="BO129" s="146"/>
      <c r="BP129" s="146"/>
      <c r="BQ129" s="146"/>
      <c r="BR129" s="146"/>
      <c r="BS129" s="160"/>
      <c r="BT129" s="160"/>
      <c r="BU129" s="160"/>
      <c r="BV129" s="160"/>
      <c r="BY129" s="160"/>
      <c r="BZ129" s="160"/>
      <c r="CA129" s="160"/>
      <c r="CB129" s="160"/>
      <c r="CC129" s="160"/>
      <c r="CD129" s="160"/>
      <c r="CE129" s="160"/>
      <c r="CF129" s="160"/>
      <c r="CG129" s="160"/>
      <c r="CH129" s="160"/>
      <c r="CI129" s="160"/>
      <c r="CJ129" s="160"/>
      <c r="CK129" s="160"/>
      <c r="CN129" s="160"/>
      <c r="CO129" s="160"/>
      <c r="CP129" s="160"/>
      <c r="CQ129" s="160"/>
      <c r="CR129" s="160"/>
      <c r="CS129" s="160"/>
      <c r="CT129" s="160"/>
      <c r="CU129" s="160"/>
      <c r="CV129" s="160"/>
      <c r="CW129" s="160"/>
      <c r="CX129" s="160"/>
      <c r="CY129" s="160"/>
      <c r="CZ129" s="160"/>
      <c r="DB129" s="142"/>
      <c r="DC129" s="143"/>
    </row>
    <row r="130" spans="2:107">
      <c r="B130" s="349" t="s">
        <v>25</v>
      </c>
      <c r="C130" s="146"/>
      <c r="D130" s="146"/>
      <c r="E130" s="146"/>
      <c r="F130" s="146"/>
      <c r="G130" s="146"/>
      <c r="H130" s="146"/>
      <c r="I130" s="146"/>
      <c r="J130" s="146"/>
      <c r="K130" s="146"/>
      <c r="L130" s="146"/>
      <c r="M130" s="146"/>
      <c r="N130" s="146"/>
      <c r="O130" s="160"/>
      <c r="P130" s="146"/>
      <c r="Q130" s="146"/>
      <c r="R130" s="146"/>
      <c r="S130" s="146"/>
      <c r="T130" s="146"/>
      <c r="U130" s="146"/>
      <c r="V130" s="146"/>
      <c r="W130" s="146"/>
      <c r="X130" s="146"/>
      <c r="Y130" s="146"/>
      <c r="Z130" s="146"/>
      <c r="AA130" s="146"/>
      <c r="AB130" s="160"/>
      <c r="AE130" s="146"/>
      <c r="AF130" s="146"/>
      <c r="AG130" s="146"/>
      <c r="AH130" s="146"/>
      <c r="AI130" s="146"/>
      <c r="AJ130" s="146"/>
      <c r="AK130" s="146"/>
      <c r="AL130" s="146"/>
      <c r="AM130" s="146"/>
      <c r="AN130" s="146"/>
      <c r="AO130" s="146"/>
      <c r="AP130" s="146"/>
      <c r="AQ130" s="160"/>
      <c r="AU130" s="146"/>
      <c r="AV130" s="146"/>
      <c r="AW130" s="146"/>
      <c r="AX130" s="146"/>
      <c r="AY130" s="146"/>
      <c r="AZ130" s="146"/>
      <c r="BA130" s="146"/>
      <c r="BB130" s="146"/>
      <c r="BC130" s="146"/>
      <c r="BD130" s="146"/>
      <c r="BE130" s="146"/>
      <c r="BF130" s="146"/>
      <c r="BG130" s="160"/>
      <c r="BH130" s="160"/>
      <c r="BJ130" s="146"/>
      <c r="BK130" s="146"/>
      <c r="BL130" s="146"/>
      <c r="BM130" s="146"/>
      <c r="BN130" s="146"/>
      <c r="BO130" s="146"/>
      <c r="BP130" s="146"/>
      <c r="BQ130" s="146"/>
      <c r="BR130" s="146"/>
      <c r="BS130" s="160"/>
      <c r="BT130" s="160"/>
      <c r="BU130" s="160"/>
      <c r="BV130" s="160"/>
      <c r="BY130" s="160"/>
      <c r="BZ130" s="160"/>
      <c r="CA130" s="160"/>
      <c r="CB130" s="160"/>
      <c r="CC130" s="160"/>
      <c r="CD130" s="160"/>
      <c r="CE130" s="160"/>
      <c r="CF130" s="160"/>
      <c r="CG130" s="160"/>
      <c r="CH130" s="160"/>
      <c r="CI130" s="160"/>
      <c r="CJ130" s="160"/>
      <c r="CK130" s="160"/>
      <c r="CN130" s="160"/>
      <c r="CO130" s="160"/>
      <c r="CP130" s="160"/>
      <c r="CQ130" s="160"/>
      <c r="CR130" s="160"/>
      <c r="CS130" s="160"/>
      <c r="CT130" s="160"/>
      <c r="CU130" s="160"/>
      <c r="CV130" s="160"/>
      <c r="CW130" s="160"/>
      <c r="CX130" s="160"/>
      <c r="CY130" s="160"/>
      <c r="CZ130" s="160"/>
      <c r="DB130" s="142"/>
      <c r="DC130" s="143"/>
    </row>
    <row r="131" spans="2:107">
      <c r="B131" s="193" t="s">
        <v>129</v>
      </c>
      <c r="C131" s="350"/>
      <c r="D131" s="194"/>
      <c r="E131" s="194"/>
      <c r="F131" s="151"/>
      <c r="G131" s="195"/>
      <c r="H131" s="151"/>
      <c r="I131" s="151"/>
      <c r="J131" s="151"/>
      <c r="K131" s="151"/>
      <c r="L131" s="194"/>
      <c r="M131" s="151"/>
      <c r="N131" s="151"/>
      <c r="O131" s="202">
        <f>SUM(C131:N131)</f>
        <v>0</v>
      </c>
      <c r="P131" s="280"/>
      <c r="Q131" s="151"/>
      <c r="R131" s="151"/>
      <c r="S131" s="151"/>
      <c r="T131" s="151"/>
      <c r="U131" s="151"/>
      <c r="V131" s="151"/>
      <c r="W131" s="151"/>
      <c r="X131" s="151"/>
      <c r="Y131" s="151"/>
      <c r="Z131" s="151"/>
      <c r="AA131" s="151"/>
      <c r="AB131" s="202">
        <f t="shared" ref="AB131:AB136" si="284">SUM(P131:AA131)</f>
        <v>0</v>
      </c>
      <c r="AC131" s="317"/>
      <c r="AE131" s="243"/>
      <c r="AF131" s="151"/>
      <c r="AG131" s="151"/>
      <c r="AH131" s="151"/>
      <c r="AI131" s="151"/>
      <c r="AJ131" s="195">
        <v>10393.93</v>
      </c>
      <c r="AK131" s="151"/>
      <c r="AL131" s="151"/>
      <c r="AM131" s="151"/>
      <c r="AN131" s="151"/>
      <c r="AO131" s="151"/>
      <c r="AP131" s="151"/>
      <c r="AQ131" s="202">
        <f>SUM(AE131:AP131)</f>
        <v>10393.93</v>
      </c>
      <c r="AU131" s="243"/>
      <c r="AV131" s="151"/>
      <c r="AW131" s="151"/>
      <c r="AX131" s="151"/>
      <c r="AY131" s="151"/>
      <c r="AZ131" s="151"/>
      <c r="BA131" s="151"/>
      <c r="BB131" s="151"/>
      <c r="BC131" s="195">
        <v>1068.48</v>
      </c>
      <c r="BD131" s="151"/>
      <c r="BE131" s="151"/>
      <c r="BF131" s="151"/>
      <c r="BG131" s="202">
        <f>SUM(AU131:BF131)</f>
        <v>1068.48</v>
      </c>
      <c r="BH131" s="160"/>
      <c r="BJ131" s="243"/>
      <c r="BK131" s="151"/>
      <c r="BL131" s="151"/>
      <c r="BM131" s="151"/>
      <c r="BN131" s="151"/>
      <c r="BO131" s="151"/>
      <c r="BP131" s="151"/>
      <c r="BQ131" s="151"/>
      <c r="BR131" s="151"/>
      <c r="BS131" s="284"/>
      <c r="BT131" s="284"/>
      <c r="BU131" s="284"/>
      <c r="BV131" s="202">
        <f>SUM(BJ131:BU131)</f>
        <v>0</v>
      </c>
      <c r="BY131" s="268"/>
      <c r="BZ131" s="284"/>
      <c r="CA131" s="284"/>
      <c r="CB131" s="284"/>
      <c r="CC131" s="284"/>
      <c r="CD131" s="284"/>
      <c r="CE131" s="284"/>
      <c r="CF131" s="284"/>
      <c r="CG131" s="284"/>
      <c r="CH131" s="284"/>
      <c r="CI131" s="284"/>
      <c r="CJ131" s="284"/>
      <c r="CK131" s="202">
        <f>SUM(BY131:CJ131)</f>
        <v>0</v>
      </c>
      <c r="CN131" s="268"/>
      <c r="CO131" s="284"/>
      <c r="CP131" s="284"/>
      <c r="CQ131" s="284"/>
      <c r="CR131" s="284"/>
      <c r="CS131" s="284"/>
      <c r="CT131" s="284"/>
      <c r="CU131" s="284"/>
      <c r="CV131" s="284"/>
      <c r="CW131" s="284"/>
      <c r="CX131" s="284"/>
      <c r="CY131" s="284"/>
      <c r="CZ131" s="202">
        <f>SUM(CN131:CY131)</f>
        <v>0</v>
      </c>
      <c r="DB131" s="142"/>
      <c r="DC131" s="143"/>
    </row>
    <row r="132" spans="2:107">
      <c r="B132" s="143" t="s">
        <v>130</v>
      </c>
      <c r="C132" s="203"/>
      <c r="D132" s="146"/>
      <c r="E132" s="146"/>
      <c r="F132" s="146"/>
      <c r="G132" s="146"/>
      <c r="H132" s="146"/>
      <c r="I132" s="146"/>
      <c r="J132" s="146"/>
      <c r="K132" s="146"/>
      <c r="L132" s="146"/>
      <c r="M132" s="146"/>
      <c r="N132" s="205"/>
      <c r="O132" s="148">
        <f t="shared" ref="O132:O134" si="285">SUM(C132:N132)</f>
        <v>0</v>
      </c>
      <c r="P132" s="246"/>
      <c r="Q132" s="146"/>
      <c r="R132" s="146"/>
      <c r="S132" s="146"/>
      <c r="T132" s="146"/>
      <c r="U132" s="146"/>
      <c r="V132" s="146"/>
      <c r="W132" s="146"/>
      <c r="X132" s="146"/>
      <c r="Y132" s="146"/>
      <c r="Z132" s="146"/>
      <c r="AA132" s="146"/>
      <c r="AB132" s="148">
        <f t="shared" si="284"/>
        <v>0</v>
      </c>
      <c r="AC132" s="317"/>
      <c r="AE132" s="246"/>
      <c r="AF132" s="146"/>
      <c r="AG132" s="146"/>
      <c r="AH132" s="146"/>
      <c r="AI132" s="146"/>
      <c r="AJ132" s="146"/>
      <c r="AK132" s="146"/>
      <c r="AL132" s="203">
        <f>-2500*1.1</f>
        <v>-2750</v>
      </c>
      <c r="AM132" s="146"/>
      <c r="AN132" s="146"/>
      <c r="AO132" s="146"/>
      <c r="AP132" s="146"/>
      <c r="AQ132" s="148">
        <f>SUM(AE132:AP132)</f>
        <v>-2750</v>
      </c>
      <c r="AU132" s="246"/>
      <c r="AV132" s="146"/>
      <c r="AW132" s="203">
        <f>-2750</f>
        <v>-2750</v>
      </c>
      <c r="AX132" s="146"/>
      <c r="AY132" s="146"/>
      <c r="AZ132" s="227">
        <v>-1200</v>
      </c>
      <c r="BA132" s="146"/>
      <c r="BB132" s="146"/>
      <c r="BC132" s="146"/>
      <c r="BD132" s="146"/>
      <c r="BE132" s="146"/>
      <c r="BF132" s="146"/>
      <c r="BG132" s="148">
        <f>SUM(AU132:BF132)</f>
        <v>-3950</v>
      </c>
      <c r="BH132" s="160"/>
      <c r="BJ132" s="246"/>
      <c r="BK132" s="529">
        <v>-2475</v>
      </c>
      <c r="BL132" s="146"/>
      <c r="BM132" s="146"/>
      <c r="BN132" s="146"/>
      <c r="BO132" s="146"/>
      <c r="BP132" s="146"/>
      <c r="BQ132" s="146"/>
      <c r="BR132" s="146"/>
      <c r="BS132" s="160"/>
      <c r="BT132" s="160"/>
      <c r="BU132" s="160"/>
      <c r="BV132" s="148">
        <f>SUM(BJ132:BU132)</f>
        <v>-2475</v>
      </c>
      <c r="BY132" s="226"/>
      <c r="BZ132" s="160"/>
      <c r="CA132" s="160"/>
      <c r="CB132" s="160"/>
      <c r="CC132" s="160"/>
      <c r="CD132" s="160"/>
      <c r="CE132" s="160"/>
      <c r="CF132" s="160"/>
      <c r="CG132" s="160"/>
      <c r="CH132" s="160"/>
      <c r="CI132" s="160"/>
      <c r="CJ132" s="160"/>
      <c r="CK132" s="148">
        <f>SUM(BY132:CJ132)</f>
        <v>0</v>
      </c>
      <c r="CN132" s="226"/>
      <c r="CO132" s="160"/>
      <c r="CP132" s="160"/>
      <c r="CQ132" s="160"/>
      <c r="CR132" s="160"/>
      <c r="CS132" s="160"/>
      <c r="CT132" s="160"/>
      <c r="CU132" s="160"/>
      <c r="CV132" s="160"/>
      <c r="CW132" s="160"/>
      <c r="CX132" s="160"/>
      <c r="CY132" s="160"/>
      <c r="CZ132" s="148">
        <f>SUM(CN132:CY132)</f>
        <v>0</v>
      </c>
      <c r="DB132" s="142"/>
      <c r="DC132" s="143"/>
    </row>
    <row r="133" spans="2:107">
      <c r="B133" s="127" t="s">
        <v>131</v>
      </c>
      <c r="C133" s="212"/>
      <c r="D133" s="140"/>
      <c r="E133" s="140"/>
      <c r="F133" s="140"/>
      <c r="G133" s="140"/>
      <c r="H133" s="140"/>
      <c r="I133" s="146"/>
      <c r="J133" s="140"/>
      <c r="K133" s="140"/>
      <c r="L133" s="140"/>
      <c r="M133" s="211"/>
      <c r="N133" s="205"/>
      <c r="O133" s="148">
        <f t="shared" si="285"/>
        <v>0</v>
      </c>
      <c r="P133" s="246"/>
      <c r="Q133" s="146"/>
      <c r="R133" s="146"/>
      <c r="S133" s="146"/>
      <c r="T133" s="146"/>
      <c r="U133" s="146"/>
      <c r="V133" s="146"/>
      <c r="W133" s="146"/>
      <c r="X133" s="146"/>
      <c r="Y133" s="146"/>
      <c r="Z133" s="146"/>
      <c r="AA133" s="146"/>
      <c r="AB133" s="148">
        <f t="shared" si="284"/>
        <v>0</v>
      </c>
      <c r="AC133" s="317"/>
      <c r="AE133" s="246"/>
      <c r="AF133" s="146"/>
      <c r="AG133" s="146"/>
      <c r="AH133" s="146"/>
      <c r="AI133" s="146"/>
      <c r="AJ133" s="146"/>
      <c r="AK133" s="146"/>
      <c r="AL133" s="203">
        <f>2983.25*1.1</f>
        <v>3281.5750000000003</v>
      </c>
      <c r="AM133" s="203">
        <f>4112.9</f>
        <v>4112.8999999999996</v>
      </c>
      <c r="AN133" s="146"/>
      <c r="AO133" s="146"/>
      <c r="AP133" s="146"/>
      <c r="AQ133" s="148">
        <f t="shared" ref="AQ133:AQ136" si="286">SUM(AE133:AP133)</f>
        <v>7394.4750000000004</v>
      </c>
      <c r="AU133" s="246"/>
      <c r="AV133" s="146"/>
      <c r="AW133" s="146"/>
      <c r="AX133" s="140"/>
      <c r="AY133" s="227">
        <f>2964.5-3340</f>
        <v>-375.5</v>
      </c>
      <c r="AZ133" s="140"/>
      <c r="BA133" s="146"/>
      <c r="BB133" s="146"/>
      <c r="BC133" s="146"/>
      <c r="BD133" s="146"/>
      <c r="BE133" s="146"/>
      <c r="BF133" s="146"/>
      <c r="BG133" s="148">
        <f t="shared" ref="BG133:BG136" si="287">SUM(AU133:BF133)</f>
        <v>-375.5</v>
      </c>
      <c r="BH133" s="160"/>
      <c r="BJ133" s="246"/>
      <c r="BK133" s="530"/>
      <c r="BL133" s="146"/>
      <c r="BM133" s="146"/>
      <c r="BN133" s="146"/>
      <c r="BO133" s="146"/>
      <c r="BP133" s="146"/>
      <c r="BQ133" s="146"/>
      <c r="BR133" s="146"/>
      <c r="BS133" s="160"/>
      <c r="BT133" s="160"/>
      <c r="BU133" s="160"/>
      <c r="BV133" s="148">
        <f t="shared" ref="BV133:BV136" si="288">SUM(BJ133:BU133)</f>
        <v>0</v>
      </c>
      <c r="BY133" s="226"/>
      <c r="BZ133" s="160"/>
      <c r="CA133" s="160"/>
      <c r="CB133" s="160"/>
      <c r="CC133" s="160"/>
      <c r="CD133" s="160"/>
      <c r="CE133" s="160"/>
      <c r="CF133" s="160"/>
      <c r="CG133" s="160"/>
      <c r="CH133" s="160"/>
      <c r="CI133" s="160"/>
      <c r="CJ133" s="160"/>
      <c r="CK133" s="148">
        <f t="shared" ref="CK133:CK136" si="289">SUM(BY133:CJ133)</f>
        <v>0</v>
      </c>
      <c r="CN133" s="226"/>
      <c r="CO133" s="160"/>
      <c r="CP133" s="160"/>
      <c r="CQ133" s="160"/>
      <c r="CR133" s="160"/>
      <c r="CS133" s="160"/>
      <c r="CT133" s="160"/>
      <c r="CU133" s="160"/>
      <c r="CV133" s="160"/>
      <c r="CW133" s="160"/>
      <c r="CX133" s="160"/>
      <c r="CY133" s="160"/>
      <c r="CZ133" s="148">
        <f t="shared" ref="CZ133:CZ136" si="290">SUM(CN133:CY133)</f>
        <v>0</v>
      </c>
      <c r="DB133" s="142"/>
      <c r="DC133" s="143"/>
    </row>
    <row r="134" spans="2:107">
      <c r="B134" s="127" t="s">
        <v>428</v>
      </c>
      <c r="C134" s="203"/>
      <c r="D134" s="146"/>
      <c r="E134" s="146"/>
      <c r="F134" s="147"/>
      <c r="G134" s="144"/>
      <c r="H134" s="146"/>
      <c r="I134" s="146"/>
      <c r="J134" s="140"/>
      <c r="K134" s="140"/>
      <c r="L134" s="140"/>
      <c r="M134" s="147"/>
      <c r="N134" s="205"/>
      <c r="O134" s="148">
        <f t="shared" si="285"/>
        <v>0</v>
      </c>
      <c r="P134" s="246"/>
      <c r="Q134" s="146"/>
      <c r="R134" s="146"/>
      <c r="S134" s="146"/>
      <c r="T134" s="146"/>
      <c r="U134" s="146"/>
      <c r="V134" s="146"/>
      <c r="W134" s="146"/>
      <c r="X134" s="146"/>
      <c r="Y134" s="146"/>
      <c r="Z134" s="146"/>
      <c r="AA134" s="146"/>
      <c r="AB134" s="148">
        <f t="shared" si="284"/>
        <v>0</v>
      </c>
      <c r="AC134" s="317"/>
      <c r="AE134" s="246"/>
      <c r="AF134" s="146"/>
      <c r="AG134" s="146"/>
      <c r="AH134" s="146"/>
      <c r="AI134" s="146"/>
      <c r="AJ134" s="146"/>
      <c r="AK134" s="146"/>
      <c r="AL134" s="146"/>
      <c r="AM134" s="146"/>
      <c r="AN134" s="146"/>
      <c r="AO134" s="146"/>
      <c r="AP134" s="146"/>
      <c r="AQ134" s="148">
        <f t="shared" si="286"/>
        <v>0</v>
      </c>
      <c r="AU134" s="246"/>
      <c r="AV134" s="146"/>
      <c r="AW134" s="146"/>
      <c r="AX134" s="146"/>
      <c r="AY134" s="146"/>
      <c r="AZ134" s="227">
        <v>-420</v>
      </c>
      <c r="BA134" s="146"/>
      <c r="BB134" s="146"/>
      <c r="BC134" s="146"/>
      <c r="BD134" s="146"/>
      <c r="BE134" s="146"/>
      <c r="BF134" s="146"/>
      <c r="BG134" s="148">
        <f>SUM(AU134:BF134)</f>
        <v>-420</v>
      </c>
      <c r="BH134" s="160"/>
      <c r="BJ134" s="246"/>
      <c r="BK134" s="146"/>
      <c r="BL134" s="146"/>
      <c r="BM134" s="146"/>
      <c r="BN134" s="146"/>
      <c r="BO134" s="146"/>
      <c r="BP134" s="146"/>
      <c r="BQ134" s="146"/>
      <c r="BR134" s="146"/>
      <c r="BS134" s="160"/>
      <c r="BT134" s="160"/>
      <c r="BU134" s="160"/>
      <c r="BV134" s="148">
        <f t="shared" si="288"/>
        <v>0</v>
      </c>
      <c r="BY134" s="226"/>
      <c r="BZ134" s="160"/>
      <c r="CA134" s="160"/>
      <c r="CB134" s="160"/>
      <c r="CC134" s="160"/>
      <c r="CD134" s="160"/>
      <c r="CE134" s="160"/>
      <c r="CF134" s="160"/>
      <c r="CG134" s="160"/>
      <c r="CH134" s="160"/>
      <c r="CI134" s="160"/>
      <c r="CJ134" s="160"/>
      <c r="CK134" s="148">
        <f t="shared" si="289"/>
        <v>0</v>
      </c>
      <c r="CN134" s="226"/>
      <c r="CO134" s="160"/>
      <c r="CP134" s="160"/>
      <c r="CQ134" s="160"/>
      <c r="CR134" s="160"/>
      <c r="CS134" s="160"/>
      <c r="CT134" s="160"/>
      <c r="CU134" s="160"/>
      <c r="CV134" s="160"/>
      <c r="CW134" s="160"/>
      <c r="CX134" s="160"/>
      <c r="CY134" s="160"/>
      <c r="CZ134" s="148">
        <f t="shared" si="290"/>
        <v>0</v>
      </c>
      <c r="DB134" s="142"/>
      <c r="DC134" s="143"/>
    </row>
    <row r="135" spans="2:107">
      <c r="B135" s="127" t="s">
        <v>132</v>
      </c>
      <c r="C135" s="144"/>
      <c r="D135" s="144"/>
      <c r="E135" s="203"/>
      <c r="F135" s="146"/>
      <c r="G135" s="227"/>
      <c r="H135" s="147"/>
      <c r="I135" s="211"/>
      <c r="J135" s="227"/>
      <c r="K135" s="144"/>
      <c r="L135" s="140"/>
      <c r="M135" s="146"/>
      <c r="N135" s="205"/>
      <c r="O135" s="148">
        <f t="shared" ref="O135" si="291">SUM(C135:N135)</f>
        <v>0</v>
      </c>
      <c r="P135" s="246"/>
      <c r="Q135" s="146"/>
      <c r="R135" s="146"/>
      <c r="S135" s="146"/>
      <c r="T135" s="146"/>
      <c r="U135" s="146"/>
      <c r="V135" s="146"/>
      <c r="W135" s="146"/>
      <c r="X135" s="146"/>
      <c r="Y135" s="146"/>
      <c r="Z135" s="146"/>
      <c r="AA135" s="146"/>
      <c r="AB135" s="148">
        <f t="shared" si="284"/>
        <v>0</v>
      </c>
      <c r="AC135" s="317"/>
      <c r="AE135" s="246"/>
      <c r="AF135" s="146"/>
      <c r="AG135" s="146"/>
      <c r="AH135" s="146"/>
      <c r="AI135" s="203">
        <v>544.5</v>
      </c>
      <c r="AJ135" s="140"/>
      <c r="AK135" s="140"/>
      <c r="AL135" s="144">
        <f>1207.58</f>
        <v>1207.58</v>
      </c>
      <c r="AM135" s="146"/>
      <c r="AN135" s="146"/>
      <c r="AO135" s="146"/>
      <c r="AP135" s="146"/>
      <c r="AQ135" s="148">
        <f t="shared" si="286"/>
        <v>1752.08</v>
      </c>
      <c r="AU135" s="246"/>
      <c r="AV135" s="146"/>
      <c r="AW135" s="146"/>
      <c r="AX135" s="146"/>
      <c r="AY135" s="146"/>
      <c r="AZ135" s="146"/>
      <c r="BA135" s="146"/>
      <c r="BB135" s="146"/>
      <c r="BC135" s="203">
        <v>2600</v>
      </c>
      <c r="BD135" s="203">
        <v>-2600</v>
      </c>
      <c r="BE135" s="146"/>
      <c r="BF135" s="146"/>
      <c r="BG135" s="148">
        <f t="shared" si="287"/>
        <v>0</v>
      </c>
      <c r="BH135" s="160"/>
      <c r="BJ135" s="246"/>
      <c r="BK135" s="146"/>
      <c r="BL135" s="146"/>
      <c r="BM135" s="146"/>
      <c r="BN135" s="146"/>
      <c r="BO135" s="146"/>
      <c r="BP135" s="146"/>
      <c r="BQ135" s="146"/>
      <c r="BR135" s="146"/>
      <c r="BS135" s="160"/>
      <c r="BT135" s="160"/>
      <c r="BU135" s="160"/>
      <c r="BV135" s="148">
        <f t="shared" si="288"/>
        <v>0</v>
      </c>
      <c r="BY135" s="226"/>
      <c r="BZ135" s="160"/>
      <c r="CA135" s="160"/>
      <c r="CB135" s="160"/>
      <c r="CC135" s="160"/>
      <c r="CD135" s="160"/>
      <c r="CE135" s="160"/>
      <c r="CF135" s="160"/>
      <c r="CG135" s="160"/>
      <c r="CH135" s="160"/>
      <c r="CI135" s="160"/>
      <c r="CJ135" s="160"/>
      <c r="CK135" s="148">
        <f t="shared" si="289"/>
        <v>0</v>
      </c>
      <c r="CN135" s="226"/>
      <c r="CO135" s="160"/>
      <c r="CP135" s="160"/>
      <c r="CQ135" s="160"/>
      <c r="CR135" s="160"/>
      <c r="CS135" s="160"/>
      <c r="CT135" s="160"/>
      <c r="CU135" s="160"/>
      <c r="CV135" s="160"/>
      <c r="CW135" s="160"/>
      <c r="CX135" s="160"/>
      <c r="CY135" s="160"/>
      <c r="CZ135" s="148">
        <f t="shared" si="290"/>
        <v>0</v>
      </c>
      <c r="DB135" s="142"/>
      <c r="DC135" s="143"/>
    </row>
    <row r="136" spans="2:107">
      <c r="B136" s="127" t="s">
        <v>133</v>
      </c>
      <c r="C136" s="203"/>
      <c r="D136" s="144"/>
      <c r="E136" s="203"/>
      <c r="F136" s="146"/>
      <c r="G136" s="144"/>
      <c r="H136" s="147"/>
      <c r="I136" s="146"/>
      <c r="J136" s="145"/>
      <c r="K136" s="147"/>
      <c r="L136" s="140"/>
      <c r="M136" s="147"/>
      <c r="N136" s="147"/>
      <c r="O136" s="148">
        <f t="shared" ref="O136" si="292">SUM(C136:N136)</f>
        <v>0</v>
      </c>
      <c r="P136" s="351"/>
      <c r="Q136" s="146"/>
      <c r="R136" s="146"/>
      <c r="S136" s="146"/>
      <c r="T136" s="146"/>
      <c r="U136" s="146"/>
      <c r="V136" s="146"/>
      <c r="W136" s="146"/>
      <c r="X136" s="146"/>
      <c r="Y136" s="146"/>
      <c r="Z136" s="146"/>
      <c r="AA136" s="146"/>
      <c r="AB136" s="148">
        <f t="shared" si="284"/>
        <v>0</v>
      </c>
      <c r="AC136" s="317"/>
      <c r="AE136" s="246"/>
      <c r="AF136" s="146"/>
      <c r="AG136" s="146"/>
      <c r="AH136" s="146"/>
      <c r="AI136" s="146"/>
      <c r="AJ136" s="146"/>
      <c r="AK136" s="146"/>
      <c r="AL136" s="146"/>
      <c r="AM136" s="146"/>
      <c r="AN136" s="146"/>
      <c r="AO136" s="146"/>
      <c r="AP136" s="146"/>
      <c r="AQ136" s="148">
        <f t="shared" si="286"/>
        <v>0</v>
      </c>
      <c r="AU136" s="246"/>
      <c r="AV136" s="146"/>
      <c r="AW136" s="146"/>
      <c r="AX136" s="146"/>
      <c r="AY136" s="146"/>
      <c r="AZ136" s="146"/>
      <c r="BA136" s="146"/>
      <c r="BB136" s="146"/>
      <c r="BC136" s="146"/>
      <c r="BD136" s="146"/>
      <c r="BE136" s="146"/>
      <c r="BF136" s="146"/>
      <c r="BG136" s="148">
        <f t="shared" si="287"/>
        <v>0</v>
      </c>
      <c r="BH136" s="160"/>
      <c r="BJ136" s="246"/>
      <c r="BK136" s="146"/>
      <c r="BL136" s="146"/>
      <c r="BM136" s="146"/>
      <c r="BN136" s="146"/>
      <c r="BO136" s="146"/>
      <c r="BP136" s="146"/>
      <c r="BQ136" s="146"/>
      <c r="BR136" s="146"/>
      <c r="BS136" s="160"/>
      <c r="BT136" s="160"/>
      <c r="BU136" s="160"/>
      <c r="BV136" s="148">
        <f t="shared" si="288"/>
        <v>0</v>
      </c>
      <c r="BY136" s="226"/>
      <c r="BZ136" s="160"/>
      <c r="CA136" s="160"/>
      <c r="CB136" s="160"/>
      <c r="CC136" s="160"/>
      <c r="CD136" s="160"/>
      <c r="CE136" s="160"/>
      <c r="CF136" s="160"/>
      <c r="CG136" s="160"/>
      <c r="CH136" s="160"/>
      <c r="CI136" s="160"/>
      <c r="CJ136" s="160"/>
      <c r="CK136" s="148">
        <f t="shared" si="289"/>
        <v>0</v>
      </c>
      <c r="CN136" s="226"/>
      <c r="CO136" s="160"/>
      <c r="CP136" s="160"/>
      <c r="CQ136" s="160"/>
      <c r="CR136" s="160"/>
      <c r="CS136" s="160"/>
      <c r="CT136" s="160"/>
      <c r="CU136" s="160"/>
      <c r="CV136" s="160"/>
      <c r="CW136" s="160"/>
      <c r="CX136" s="160"/>
      <c r="CY136" s="160"/>
      <c r="CZ136" s="148">
        <f t="shared" si="290"/>
        <v>0</v>
      </c>
      <c r="DB136" s="142"/>
      <c r="DC136" s="143"/>
    </row>
    <row r="137" spans="2:107" s="356" customFormat="1" ht="16.5" thickBot="1">
      <c r="B137" s="352" t="s">
        <v>134</v>
      </c>
      <c r="C137" s="353">
        <f>SUM(C131:C136)</f>
        <v>0</v>
      </c>
      <c r="D137" s="172">
        <f t="shared" ref="D137:N137" si="293">C137+SUM(D131:D136)</f>
        <v>0</v>
      </c>
      <c r="E137" s="172">
        <f t="shared" si="293"/>
        <v>0</v>
      </c>
      <c r="F137" s="172">
        <f t="shared" si="293"/>
        <v>0</v>
      </c>
      <c r="G137" s="172">
        <f t="shared" si="293"/>
        <v>0</v>
      </c>
      <c r="H137" s="172">
        <f t="shared" si="293"/>
        <v>0</v>
      </c>
      <c r="I137" s="172">
        <f t="shared" si="293"/>
        <v>0</v>
      </c>
      <c r="J137" s="172">
        <f t="shared" si="293"/>
        <v>0</v>
      </c>
      <c r="K137" s="172">
        <f t="shared" si="293"/>
        <v>0</v>
      </c>
      <c r="L137" s="172">
        <f t="shared" si="293"/>
        <v>0</v>
      </c>
      <c r="M137" s="172">
        <f t="shared" si="293"/>
        <v>0</v>
      </c>
      <c r="N137" s="172">
        <f t="shared" si="293"/>
        <v>0</v>
      </c>
      <c r="O137" s="354">
        <f>N137</f>
        <v>0</v>
      </c>
      <c r="P137" s="355">
        <f>N137+SUM(P131:P136)</f>
        <v>0</v>
      </c>
      <c r="Q137" s="172">
        <f t="shared" ref="Q137:AA137" si="294">P137+SUM(Q131:Q136)</f>
        <v>0</v>
      </c>
      <c r="R137" s="172">
        <f t="shared" si="294"/>
        <v>0</v>
      </c>
      <c r="S137" s="172">
        <f t="shared" si="294"/>
        <v>0</v>
      </c>
      <c r="T137" s="172">
        <f t="shared" si="294"/>
        <v>0</v>
      </c>
      <c r="U137" s="172">
        <f t="shared" si="294"/>
        <v>0</v>
      </c>
      <c r="V137" s="172">
        <f t="shared" si="294"/>
        <v>0</v>
      </c>
      <c r="W137" s="172">
        <f t="shared" si="294"/>
        <v>0</v>
      </c>
      <c r="X137" s="172">
        <f t="shared" si="294"/>
        <v>0</v>
      </c>
      <c r="Y137" s="172">
        <f t="shared" si="294"/>
        <v>0</v>
      </c>
      <c r="Z137" s="172">
        <f t="shared" si="294"/>
        <v>0</v>
      </c>
      <c r="AA137" s="172">
        <f t="shared" si="294"/>
        <v>0</v>
      </c>
      <c r="AB137" s="173">
        <f>AA137</f>
        <v>0</v>
      </c>
      <c r="AE137" s="355">
        <f>AA137+SUM(AE131:AE136)</f>
        <v>0</v>
      </c>
      <c r="AF137" s="172">
        <f t="shared" ref="AF137:AP137" si="295">AE137+SUM(AF131:AF136)</f>
        <v>0</v>
      </c>
      <c r="AG137" s="172">
        <f t="shared" si="295"/>
        <v>0</v>
      </c>
      <c r="AH137" s="172">
        <f t="shared" si="295"/>
        <v>0</v>
      </c>
      <c r="AI137" s="172">
        <f t="shared" si="295"/>
        <v>544.5</v>
      </c>
      <c r="AJ137" s="172">
        <f>AI137+SUM(AJ131:AJ136)</f>
        <v>10938.43</v>
      </c>
      <c r="AK137" s="172">
        <f t="shared" si="295"/>
        <v>10938.43</v>
      </c>
      <c r="AL137" s="172">
        <f t="shared" si="295"/>
        <v>12677.585000000001</v>
      </c>
      <c r="AM137" s="172">
        <f t="shared" si="295"/>
        <v>16790.485000000001</v>
      </c>
      <c r="AN137" s="172">
        <f t="shared" si="295"/>
        <v>16790.485000000001</v>
      </c>
      <c r="AO137" s="172">
        <f t="shared" si="295"/>
        <v>16790.485000000001</v>
      </c>
      <c r="AP137" s="172">
        <f t="shared" si="295"/>
        <v>16790.485000000001</v>
      </c>
      <c r="AQ137" s="173">
        <f>AP137</f>
        <v>16790.485000000001</v>
      </c>
      <c r="AS137" s="357"/>
      <c r="AU137" s="355">
        <f>AP137+SUM(AU131:AU136)</f>
        <v>16790.485000000001</v>
      </c>
      <c r="AV137" s="172">
        <f t="shared" ref="AV137:BF137" si="296">AU137+SUM(AV131:AV136)</f>
        <v>16790.485000000001</v>
      </c>
      <c r="AW137" s="172">
        <f t="shared" si="296"/>
        <v>14040.485000000001</v>
      </c>
      <c r="AX137" s="172">
        <f t="shared" si="296"/>
        <v>14040.485000000001</v>
      </c>
      <c r="AY137" s="172">
        <f>AX137+SUM(AY131:AY136)</f>
        <v>13664.985000000001</v>
      </c>
      <c r="AZ137" s="172">
        <f t="shared" si="296"/>
        <v>12044.985000000001</v>
      </c>
      <c r="BA137" s="172">
        <f t="shared" si="296"/>
        <v>12044.985000000001</v>
      </c>
      <c r="BB137" s="172">
        <f t="shared" si="296"/>
        <v>12044.985000000001</v>
      </c>
      <c r="BC137" s="172">
        <f t="shared" si="296"/>
        <v>15713.465</v>
      </c>
      <c r="BD137" s="172">
        <f>BC137+SUM(BD131:BD136)</f>
        <v>13113.465</v>
      </c>
      <c r="BE137" s="172">
        <f t="shared" si="296"/>
        <v>13113.465</v>
      </c>
      <c r="BF137" s="172">
        <f t="shared" si="296"/>
        <v>13113.465</v>
      </c>
      <c r="BG137" s="173">
        <f>BF137</f>
        <v>13113.465</v>
      </c>
      <c r="BH137" s="179"/>
      <c r="BJ137" s="355">
        <f>BF137+SUM(BJ131:BJ136)</f>
        <v>13113.465</v>
      </c>
      <c r="BK137" s="172">
        <f t="shared" ref="BK137" si="297">BJ137+SUM(BK131:BK136)</f>
        <v>10638.465</v>
      </c>
      <c r="BL137" s="172">
        <f t="shared" ref="BL137" si="298">BK137+SUM(BL131:BL136)</f>
        <v>10638.465</v>
      </c>
      <c r="BM137" s="172">
        <f t="shared" ref="BM137" si="299">BL137+SUM(BM131:BM136)</f>
        <v>10638.465</v>
      </c>
      <c r="BN137" s="172">
        <f t="shared" ref="BN137" si="300">BM137+SUM(BN131:BN136)</f>
        <v>10638.465</v>
      </c>
      <c r="BO137" s="172">
        <f t="shared" ref="BO137" si="301">BN137+SUM(BO131:BO136)</f>
        <v>10638.465</v>
      </c>
      <c r="BP137" s="172">
        <f t="shared" ref="BP137" si="302">BO137+SUM(BP131:BP136)</f>
        <v>10638.465</v>
      </c>
      <c r="BQ137" s="172">
        <f t="shared" ref="BQ137" si="303">BP137+SUM(BQ131:BQ136)</f>
        <v>10638.465</v>
      </c>
      <c r="BR137" s="172">
        <f t="shared" ref="BR137" si="304">BQ137+SUM(BR131:BR136)</f>
        <v>10638.465</v>
      </c>
      <c r="BS137" s="177">
        <f t="shared" ref="BS137" si="305">BR137+SUM(BS131:BS136)</f>
        <v>10638.465</v>
      </c>
      <c r="BT137" s="177">
        <f t="shared" ref="BT137" si="306">BS137+SUM(BT131:BT136)</f>
        <v>10638.465</v>
      </c>
      <c r="BU137" s="177">
        <f t="shared" ref="BU137" si="307">BT137+SUM(BU131:BU136)</f>
        <v>10638.465</v>
      </c>
      <c r="BV137" s="173">
        <f>BU137</f>
        <v>10638.465</v>
      </c>
      <c r="BY137" s="358">
        <f>BU137+SUM(BY131:BY136)</f>
        <v>10638.465</v>
      </c>
      <c r="BZ137" s="177">
        <f t="shared" ref="BZ137" si="308">BY137+SUM(BZ131:BZ136)</f>
        <v>10638.465</v>
      </c>
      <c r="CA137" s="177">
        <f t="shared" ref="CA137" si="309">BZ137+SUM(CA131:CA136)</f>
        <v>10638.465</v>
      </c>
      <c r="CB137" s="177">
        <f t="shared" ref="CB137" si="310">CA137+SUM(CB131:CB136)</f>
        <v>10638.465</v>
      </c>
      <c r="CC137" s="177">
        <f t="shared" ref="CC137" si="311">CB137+SUM(CC131:CC136)</f>
        <v>10638.465</v>
      </c>
      <c r="CD137" s="177">
        <f t="shared" ref="CD137" si="312">CC137+SUM(CD131:CD136)</f>
        <v>10638.465</v>
      </c>
      <c r="CE137" s="177">
        <f t="shared" ref="CE137" si="313">CD137+SUM(CE131:CE136)</f>
        <v>10638.465</v>
      </c>
      <c r="CF137" s="177">
        <f t="shared" ref="CF137" si="314">CE137+SUM(CF131:CF136)</f>
        <v>10638.465</v>
      </c>
      <c r="CG137" s="177">
        <f t="shared" ref="CG137" si="315">CF137+SUM(CG131:CG136)</f>
        <v>10638.465</v>
      </c>
      <c r="CH137" s="177">
        <f t="shared" ref="CH137" si="316">CG137+SUM(CH131:CH136)</f>
        <v>10638.465</v>
      </c>
      <c r="CI137" s="177">
        <f t="shared" ref="CI137" si="317">CH137+SUM(CI131:CI136)</f>
        <v>10638.465</v>
      </c>
      <c r="CJ137" s="177">
        <f t="shared" ref="CJ137" si="318">CI137+SUM(CJ131:CJ136)</f>
        <v>10638.465</v>
      </c>
      <c r="CK137" s="173">
        <f>CJ137</f>
        <v>10638.465</v>
      </c>
      <c r="CN137" s="358">
        <f>CJ137+SUM(CN131:CN136)</f>
        <v>10638.465</v>
      </c>
      <c r="CO137" s="177">
        <f t="shared" ref="CO137" si="319">CN137+SUM(CO131:CO136)</f>
        <v>10638.465</v>
      </c>
      <c r="CP137" s="177">
        <f t="shared" ref="CP137" si="320">CO137+SUM(CP131:CP136)</f>
        <v>10638.465</v>
      </c>
      <c r="CQ137" s="177">
        <f t="shared" ref="CQ137" si="321">CP137+SUM(CQ131:CQ136)</f>
        <v>10638.465</v>
      </c>
      <c r="CR137" s="177">
        <f t="shared" ref="CR137" si="322">CQ137+SUM(CR131:CR136)</f>
        <v>10638.465</v>
      </c>
      <c r="CS137" s="177">
        <f t="shared" ref="CS137" si="323">CR137+SUM(CS131:CS136)</f>
        <v>10638.465</v>
      </c>
      <c r="CT137" s="177">
        <f t="shared" ref="CT137" si="324">CS137+SUM(CT131:CT136)</f>
        <v>10638.465</v>
      </c>
      <c r="CU137" s="177">
        <f t="shared" ref="CU137" si="325">CT137+SUM(CU131:CU136)</f>
        <v>10638.465</v>
      </c>
      <c r="CV137" s="177">
        <f t="shared" ref="CV137" si="326">CU137+SUM(CV131:CV136)</f>
        <v>10638.465</v>
      </c>
      <c r="CW137" s="177">
        <f t="shared" ref="CW137" si="327">CV137+SUM(CW131:CW136)</f>
        <v>10638.465</v>
      </c>
      <c r="CX137" s="177">
        <f t="shared" ref="CX137" si="328">CW137+SUM(CX131:CX136)</f>
        <v>10638.465</v>
      </c>
      <c r="CY137" s="177">
        <f t="shared" ref="CY137" si="329">CX137+SUM(CY131:CY136)</f>
        <v>10638.465</v>
      </c>
      <c r="CZ137" s="173">
        <f>CY137</f>
        <v>10638.465</v>
      </c>
      <c r="DB137" s="359"/>
      <c r="DC137" s="360"/>
    </row>
    <row r="138" spans="2:107">
      <c r="B138" s="265"/>
      <c r="C138" s="203"/>
      <c r="D138" s="146"/>
      <c r="E138" s="146"/>
      <c r="F138" s="146"/>
      <c r="G138" s="146"/>
      <c r="H138" s="146"/>
      <c r="I138" s="146"/>
      <c r="J138" s="146"/>
      <c r="K138" s="146"/>
      <c r="L138" s="146"/>
      <c r="M138" s="146"/>
      <c r="N138" s="146"/>
      <c r="O138" s="160"/>
      <c r="P138" s="146"/>
      <c r="Q138" s="146"/>
      <c r="R138" s="146"/>
      <c r="S138" s="146"/>
      <c r="T138" s="146"/>
      <c r="U138" s="146"/>
      <c r="V138" s="146"/>
      <c r="W138" s="146"/>
      <c r="X138" s="146"/>
      <c r="Y138" s="146"/>
      <c r="Z138" s="146"/>
      <c r="AA138" s="146"/>
      <c r="AB138" s="160"/>
      <c r="AE138" s="146"/>
      <c r="AF138" s="146"/>
      <c r="AG138" s="146"/>
      <c r="AH138" s="146"/>
      <c r="AI138" s="146"/>
      <c r="AJ138" s="146"/>
      <c r="AK138" s="146"/>
      <c r="AL138" s="146"/>
      <c r="AM138" s="146"/>
      <c r="AN138" s="146"/>
      <c r="AO138" s="146"/>
      <c r="AP138" s="146"/>
      <c r="AQ138" s="160"/>
      <c r="AU138" s="146"/>
      <c r="AV138" s="146"/>
      <c r="AW138" s="146"/>
      <c r="AX138" s="146"/>
      <c r="AY138" s="146"/>
      <c r="AZ138" s="146"/>
      <c r="BA138" s="146"/>
      <c r="BB138" s="146"/>
      <c r="BC138" s="146"/>
      <c r="BD138" s="146"/>
      <c r="BE138" s="146"/>
      <c r="BF138" s="146"/>
      <c r="BG138" s="160"/>
      <c r="BH138" s="160"/>
      <c r="BJ138" s="146"/>
      <c r="BK138" s="146"/>
      <c r="BL138" s="146"/>
      <c r="BM138" s="146"/>
      <c r="BN138" s="146"/>
      <c r="BO138" s="146"/>
      <c r="BP138" s="146"/>
      <c r="BQ138" s="146"/>
      <c r="BR138" s="146"/>
      <c r="BS138" s="160"/>
      <c r="BT138" s="160"/>
      <c r="BU138" s="160"/>
      <c r="BV138" s="160"/>
      <c r="BY138" s="160"/>
      <c r="BZ138" s="160"/>
      <c r="CA138" s="160"/>
      <c r="CB138" s="160"/>
      <c r="CC138" s="160"/>
      <c r="CD138" s="160"/>
      <c r="CE138" s="160"/>
      <c r="CF138" s="160"/>
      <c r="CG138" s="160"/>
      <c r="CH138" s="160"/>
      <c r="CI138" s="160"/>
      <c r="CJ138" s="160"/>
      <c r="CK138" s="160"/>
      <c r="CN138" s="160"/>
      <c r="CO138" s="160"/>
      <c r="CP138" s="160"/>
      <c r="CQ138" s="160"/>
      <c r="CR138" s="160"/>
      <c r="CS138" s="160"/>
      <c r="CT138" s="160"/>
      <c r="CU138" s="160"/>
      <c r="CV138" s="160"/>
      <c r="CW138" s="160"/>
      <c r="CX138" s="160"/>
      <c r="CY138" s="160"/>
      <c r="CZ138" s="160"/>
      <c r="DB138" s="142"/>
      <c r="DC138" s="143"/>
    </row>
    <row r="139" spans="2:107">
      <c r="B139" s="349" t="s">
        <v>135</v>
      </c>
      <c r="C139" s="203"/>
      <c r="D139" s="146"/>
      <c r="E139" s="146"/>
      <c r="F139" s="146"/>
      <c r="G139" s="146"/>
      <c r="H139" s="146"/>
      <c r="I139" s="146"/>
      <c r="J139" s="146"/>
      <c r="K139" s="146"/>
      <c r="L139" s="146"/>
      <c r="M139" s="146"/>
      <c r="N139" s="146"/>
      <c r="O139" s="160"/>
      <c r="P139" s="146"/>
      <c r="Q139" s="146"/>
      <c r="R139" s="146"/>
      <c r="S139" s="146"/>
      <c r="T139" s="146"/>
      <c r="U139" s="146"/>
      <c r="V139" s="146"/>
      <c r="W139" s="146"/>
      <c r="X139" s="146"/>
      <c r="Y139" s="146"/>
      <c r="Z139" s="146"/>
      <c r="AA139" s="146"/>
      <c r="AB139" s="160"/>
      <c r="AE139" s="146"/>
      <c r="AF139" s="146"/>
      <c r="AG139" s="146"/>
      <c r="AH139" s="146"/>
      <c r="AI139" s="146"/>
      <c r="AJ139" s="146"/>
      <c r="AK139" s="146"/>
      <c r="AL139" s="146"/>
      <c r="AM139" s="146"/>
      <c r="AN139" s="146"/>
      <c r="AO139" s="146"/>
      <c r="AP139" s="146"/>
      <c r="AQ139" s="160"/>
      <c r="AU139" s="146"/>
      <c r="AV139" s="146"/>
      <c r="AW139" s="146"/>
      <c r="AX139" s="146"/>
      <c r="AY139" s="146"/>
      <c r="AZ139" s="146"/>
      <c r="BA139" s="146"/>
      <c r="BB139" s="146"/>
      <c r="BC139" s="146"/>
      <c r="BD139" s="146"/>
      <c r="BE139" s="146"/>
      <c r="BF139" s="146"/>
      <c r="BG139" s="160"/>
      <c r="BH139" s="160"/>
      <c r="BJ139" s="146"/>
      <c r="BK139" s="146"/>
      <c r="BL139" s="146"/>
      <c r="BM139" s="146"/>
      <c r="BN139" s="146"/>
      <c r="BO139" s="146"/>
      <c r="BP139" s="146"/>
      <c r="BQ139" s="146"/>
      <c r="BR139" s="146"/>
      <c r="BS139" s="160"/>
      <c r="BT139" s="160"/>
      <c r="BU139" s="160"/>
      <c r="BV139" s="160"/>
      <c r="BY139" s="160"/>
      <c r="BZ139" s="160"/>
      <c r="CA139" s="160"/>
      <c r="CB139" s="160"/>
      <c r="CC139" s="160"/>
      <c r="CD139" s="160"/>
      <c r="CE139" s="160"/>
      <c r="CF139" s="160"/>
      <c r="CG139" s="160"/>
      <c r="CH139" s="160"/>
      <c r="CI139" s="160"/>
      <c r="CJ139" s="160"/>
      <c r="CK139" s="160"/>
      <c r="CN139" s="160"/>
      <c r="CO139" s="160"/>
      <c r="CP139" s="160"/>
      <c r="CQ139" s="160"/>
      <c r="CR139" s="160"/>
      <c r="CS139" s="160"/>
      <c r="CT139" s="160"/>
      <c r="CU139" s="160"/>
      <c r="CV139" s="160"/>
      <c r="CW139" s="160"/>
      <c r="CX139" s="160"/>
      <c r="CY139" s="160"/>
      <c r="CZ139" s="160"/>
      <c r="DB139" s="142"/>
      <c r="DC139" s="143"/>
    </row>
    <row r="140" spans="2:107">
      <c r="B140" s="361" t="s">
        <v>136</v>
      </c>
      <c r="C140" s="151"/>
      <c r="D140" s="151"/>
      <c r="E140" s="151"/>
      <c r="F140" s="151"/>
      <c r="G140" s="151"/>
      <c r="H140" s="151"/>
      <c r="I140" s="151"/>
      <c r="J140" s="151"/>
      <c r="K140" s="151"/>
      <c r="L140" s="151"/>
      <c r="M140" s="151"/>
      <c r="N140" s="151"/>
      <c r="O140" s="202"/>
      <c r="P140" s="243"/>
      <c r="Q140" s="151"/>
      <c r="R140" s="151"/>
      <c r="S140" s="151"/>
      <c r="T140" s="151"/>
      <c r="U140" s="151"/>
      <c r="V140" s="151"/>
      <c r="W140" s="151"/>
      <c r="X140" s="151"/>
      <c r="Y140" s="151"/>
      <c r="Z140" s="151"/>
      <c r="AA140" s="151"/>
      <c r="AB140" s="202"/>
      <c r="AC140" s="317"/>
      <c r="AE140" s="243"/>
      <c r="AF140" s="151"/>
      <c r="AG140" s="151"/>
      <c r="AH140" s="151"/>
      <c r="AI140" s="151"/>
      <c r="AJ140" s="151"/>
      <c r="AK140" s="151"/>
      <c r="AL140" s="151"/>
      <c r="AM140" s="151"/>
      <c r="AN140" s="151"/>
      <c r="AO140" s="151"/>
      <c r="AP140" s="151"/>
      <c r="AQ140" s="202"/>
      <c r="AU140" s="243"/>
      <c r="AV140" s="151"/>
      <c r="AW140" s="151"/>
      <c r="AX140" s="151"/>
      <c r="AY140" s="151"/>
      <c r="AZ140" s="151"/>
      <c r="BA140" s="151"/>
      <c r="BB140" s="151"/>
      <c r="BC140" s="151"/>
      <c r="BD140" s="151"/>
      <c r="BE140" s="151"/>
      <c r="BF140" s="151"/>
      <c r="BG140" s="202"/>
      <c r="BH140" s="160"/>
      <c r="BJ140" s="243"/>
      <c r="BK140" s="151"/>
      <c r="BL140" s="151"/>
      <c r="BM140" s="151"/>
      <c r="BN140" s="151"/>
      <c r="BO140" s="151"/>
      <c r="BP140" s="151"/>
      <c r="BQ140" s="151"/>
      <c r="BR140" s="151"/>
      <c r="BS140" s="284"/>
      <c r="BT140" s="284"/>
      <c r="BU140" s="284"/>
      <c r="BV140" s="202"/>
      <c r="BY140" s="268"/>
      <c r="BZ140" s="284"/>
      <c r="CA140" s="284"/>
      <c r="CB140" s="284"/>
      <c r="CC140" s="284"/>
      <c r="CD140" s="284"/>
      <c r="CE140" s="284"/>
      <c r="CF140" s="284"/>
      <c r="CG140" s="284"/>
      <c r="CH140" s="284"/>
      <c r="CI140" s="284"/>
      <c r="CJ140" s="284"/>
      <c r="CK140" s="202"/>
      <c r="CN140" s="268"/>
      <c r="CO140" s="284"/>
      <c r="CP140" s="284"/>
      <c r="CQ140" s="284"/>
      <c r="CR140" s="284"/>
      <c r="CS140" s="284"/>
      <c r="CT140" s="284"/>
      <c r="CU140" s="284"/>
      <c r="CV140" s="284"/>
      <c r="CW140" s="284"/>
      <c r="CX140" s="284"/>
      <c r="CY140" s="284"/>
      <c r="CZ140" s="202"/>
      <c r="DB140" s="142"/>
      <c r="DC140" s="143"/>
    </row>
    <row r="141" spans="2:107">
      <c r="B141" s="242" t="s">
        <v>137</v>
      </c>
      <c r="C141" s="203"/>
      <c r="D141" s="203"/>
      <c r="E141" s="203"/>
      <c r="F141" s="144"/>
      <c r="G141" s="144"/>
      <c r="H141" s="144"/>
      <c r="I141" s="144"/>
      <c r="J141" s="144"/>
      <c r="K141" s="211"/>
      <c r="L141" s="211"/>
      <c r="M141" s="211"/>
      <c r="N141" s="211"/>
      <c r="O141" s="362"/>
      <c r="P141" s="324"/>
      <c r="Q141" s="211"/>
      <c r="R141" s="211"/>
      <c r="S141" s="211"/>
      <c r="T141" s="211"/>
      <c r="U141" s="211"/>
      <c r="V141" s="211"/>
      <c r="W141" s="211"/>
      <c r="X141" s="211"/>
      <c r="Y141" s="211"/>
      <c r="Z141" s="211"/>
      <c r="AA141" s="211"/>
      <c r="AB141" s="362"/>
      <c r="AC141" s="317"/>
      <c r="AE141" s="324"/>
      <c r="AF141" s="211"/>
      <c r="AG141" s="211"/>
      <c r="AH141" s="211"/>
      <c r="AI141" s="211"/>
      <c r="AJ141" s="211"/>
      <c r="AK141" s="211"/>
      <c r="AL141" s="211"/>
      <c r="AM141" s="211"/>
      <c r="AN141" s="211"/>
      <c r="AO141" s="211"/>
      <c r="AP141" s="211"/>
      <c r="AQ141" s="362"/>
      <c r="AU141" s="324"/>
      <c r="AV141" s="211"/>
      <c r="AW141" s="211"/>
      <c r="AX141" s="211"/>
      <c r="AY141" s="211"/>
      <c r="AZ141" s="211"/>
      <c r="BA141" s="211"/>
      <c r="BB141" s="211"/>
      <c r="BC141" s="211"/>
      <c r="BD141" s="227">
        <v>915</v>
      </c>
      <c r="BE141" s="211"/>
      <c r="BF141" s="211"/>
      <c r="BG141" s="362"/>
      <c r="BH141" s="230"/>
      <c r="BJ141" s="247">
        <v>1350</v>
      </c>
      <c r="BK141" s="211"/>
      <c r="BL141" s="227">
        <v>250</v>
      </c>
      <c r="BM141" s="227">
        <f>850-255</f>
        <v>595</v>
      </c>
      <c r="BN141" s="272"/>
      <c r="BO141" s="211"/>
      <c r="BP141" s="227">
        <v>-850</v>
      </c>
      <c r="BQ141" s="227">
        <v>-1405</v>
      </c>
      <c r="BR141" s="272"/>
      <c r="BS141" s="274">
        <f>-915-1350-250-850+255+850+1405</f>
        <v>-855</v>
      </c>
      <c r="BT141" s="230"/>
      <c r="BU141" s="230"/>
      <c r="BV141" s="362"/>
      <c r="BY141" s="363"/>
      <c r="BZ141" s="230"/>
      <c r="CA141" s="230"/>
      <c r="CB141" s="230"/>
      <c r="CC141" s="230"/>
      <c r="CD141" s="230"/>
      <c r="CE141" s="230"/>
      <c r="CF141" s="230"/>
      <c r="CG141" s="230"/>
      <c r="CH141" s="230"/>
      <c r="CI141" s="230"/>
      <c r="CJ141" s="230"/>
      <c r="CK141" s="362"/>
      <c r="CN141" s="363"/>
      <c r="CO141" s="230"/>
      <c r="CP141" s="230"/>
      <c r="CQ141" s="230"/>
      <c r="CR141" s="230"/>
      <c r="CS141" s="230"/>
      <c r="CT141" s="230"/>
      <c r="CU141" s="230"/>
      <c r="CV141" s="230"/>
      <c r="CW141" s="230"/>
      <c r="CX141" s="230"/>
      <c r="CY141" s="230"/>
      <c r="CZ141" s="362"/>
      <c r="DB141" s="142"/>
      <c r="DC141" s="143"/>
    </row>
    <row r="142" spans="2:107">
      <c r="B142" s="364" t="s">
        <v>138</v>
      </c>
      <c r="C142" s="165"/>
      <c r="D142" s="165"/>
      <c r="E142" s="165"/>
      <c r="F142" s="163"/>
      <c r="G142" s="163"/>
      <c r="H142" s="163"/>
      <c r="I142" s="163"/>
      <c r="J142" s="163"/>
      <c r="K142" s="163"/>
      <c r="L142" s="163"/>
      <c r="M142" s="163"/>
      <c r="N142" s="163"/>
      <c r="O142" s="365">
        <f>N142</f>
        <v>0</v>
      </c>
      <c r="P142" s="366">
        <f>N142+P141</f>
        <v>0</v>
      </c>
      <c r="Q142" s="163">
        <f>P142+Q141</f>
        <v>0</v>
      </c>
      <c r="R142" s="163">
        <f t="shared" ref="R142" si="330">Q142+R141</f>
        <v>0</v>
      </c>
      <c r="S142" s="163">
        <f t="shared" ref="S142" si="331">R142+S141</f>
        <v>0</v>
      </c>
      <c r="T142" s="163">
        <f t="shared" ref="T142" si="332">S142+T141</f>
        <v>0</v>
      </c>
      <c r="U142" s="163">
        <f t="shared" ref="U142" si="333">T142+U141</f>
        <v>0</v>
      </c>
      <c r="V142" s="163">
        <f t="shared" ref="V142" si="334">U142+V141</f>
        <v>0</v>
      </c>
      <c r="W142" s="163">
        <f t="shared" ref="W142" si="335">V142+W141</f>
        <v>0</v>
      </c>
      <c r="X142" s="163">
        <f t="shared" ref="X142" si="336">W142+X141</f>
        <v>0</v>
      </c>
      <c r="Y142" s="163">
        <f t="shared" ref="Y142" si="337">X142+Y141</f>
        <v>0</v>
      </c>
      <c r="Z142" s="163">
        <f t="shared" ref="Z142" si="338">Y142+Z141</f>
        <v>0</v>
      </c>
      <c r="AA142" s="163">
        <f t="shared" ref="AA142" si="339">Z142+AA141</f>
        <v>0</v>
      </c>
      <c r="AB142" s="365">
        <f>AA142</f>
        <v>0</v>
      </c>
      <c r="AC142" s="317"/>
      <c r="AE142" s="366">
        <f>AA142+AE141</f>
        <v>0</v>
      </c>
      <c r="AF142" s="163">
        <f>AE142+AF141</f>
        <v>0</v>
      </c>
      <c r="AG142" s="163">
        <f t="shared" ref="AG142" si="340">AF142+AG141</f>
        <v>0</v>
      </c>
      <c r="AH142" s="163">
        <f t="shared" ref="AH142" si="341">AG142+AH141</f>
        <v>0</v>
      </c>
      <c r="AI142" s="163">
        <f t="shared" ref="AI142" si="342">AH142+AI141</f>
        <v>0</v>
      </c>
      <c r="AJ142" s="163">
        <f t="shared" ref="AJ142" si="343">AI142+AJ141</f>
        <v>0</v>
      </c>
      <c r="AK142" s="163">
        <f t="shared" ref="AK142" si="344">AJ142+AK141</f>
        <v>0</v>
      </c>
      <c r="AL142" s="163">
        <f t="shared" ref="AL142" si="345">AK142+AL141</f>
        <v>0</v>
      </c>
      <c r="AM142" s="163">
        <f t="shared" ref="AM142" si="346">AL142+AM141</f>
        <v>0</v>
      </c>
      <c r="AN142" s="163">
        <f t="shared" ref="AN142" si="347">AM142+AN141</f>
        <v>0</v>
      </c>
      <c r="AO142" s="163">
        <f t="shared" ref="AO142" si="348">AN142+AO141</f>
        <v>0</v>
      </c>
      <c r="AP142" s="163">
        <f t="shared" ref="AP142" si="349">AO142+AP141</f>
        <v>0</v>
      </c>
      <c r="AQ142" s="365">
        <f>AP142</f>
        <v>0</v>
      </c>
      <c r="AU142" s="366">
        <f>AP142+AU141</f>
        <v>0</v>
      </c>
      <c r="AV142" s="163">
        <f>AU142+AV141</f>
        <v>0</v>
      </c>
      <c r="AW142" s="163">
        <f t="shared" ref="AW142" si="350">AV142+AW141</f>
        <v>0</v>
      </c>
      <c r="AX142" s="163">
        <f t="shared" ref="AX142" si="351">AW142+AX141</f>
        <v>0</v>
      </c>
      <c r="AY142" s="163">
        <f t="shared" ref="AY142" si="352">AX142+AY141</f>
        <v>0</v>
      </c>
      <c r="AZ142" s="163">
        <f t="shared" ref="AZ142" si="353">AY142+AZ141</f>
        <v>0</v>
      </c>
      <c r="BA142" s="163">
        <f t="shared" ref="BA142" si="354">AZ142+BA141</f>
        <v>0</v>
      </c>
      <c r="BB142" s="163">
        <f t="shared" ref="BB142" si="355">BA142+BB141</f>
        <v>0</v>
      </c>
      <c r="BC142" s="163">
        <f t="shared" ref="BC142" si="356">BB142+BC141</f>
        <v>0</v>
      </c>
      <c r="BD142" s="163">
        <f t="shared" ref="BD142" si="357">BC142+BD141</f>
        <v>915</v>
      </c>
      <c r="BE142" s="163">
        <f t="shared" ref="BE142" si="358">BD142+BE141</f>
        <v>915</v>
      </c>
      <c r="BF142" s="163">
        <f t="shared" ref="BF142" si="359">BE142+BF141</f>
        <v>915</v>
      </c>
      <c r="BG142" s="365">
        <f>BF142</f>
        <v>915</v>
      </c>
      <c r="BH142" s="230"/>
      <c r="BJ142" s="366">
        <f>BF142+BJ141</f>
        <v>2265</v>
      </c>
      <c r="BK142" s="163">
        <f>BJ142+BK141</f>
        <v>2265</v>
      </c>
      <c r="BL142" s="163">
        <f>BK142+BL141</f>
        <v>2515</v>
      </c>
      <c r="BM142" s="163">
        <f>BL142+BM141</f>
        <v>3110</v>
      </c>
      <c r="BN142" s="163">
        <f t="shared" ref="BN142" si="360">BM142+BN141</f>
        <v>3110</v>
      </c>
      <c r="BO142" s="163">
        <f t="shared" ref="BO142" si="361">BN142+BO141</f>
        <v>3110</v>
      </c>
      <c r="BP142" s="163">
        <f t="shared" ref="BP142" si="362">BO142+BP141</f>
        <v>2260</v>
      </c>
      <c r="BQ142" s="163">
        <f t="shared" ref="BQ142" si="363">BP142+BQ141</f>
        <v>855</v>
      </c>
      <c r="BR142" s="163">
        <f t="shared" ref="BR142" si="364">BQ142+BR141</f>
        <v>855</v>
      </c>
      <c r="BS142" s="367">
        <f t="shared" ref="BS142" si="365">BR142+BS141</f>
        <v>0</v>
      </c>
      <c r="BT142" s="367">
        <f t="shared" ref="BT142" si="366">BS142+BT141</f>
        <v>0</v>
      </c>
      <c r="BU142" s="367">
        <f t="shared" ref="BU142" si="367">BT142+BU141</f>
        <v>0</v>
      </c>
      <c r="BV142" s="365">
        <f>BU142</f>
        <v>0</v>
      </c>
      <c r="BY142" s="368">
        <f>BU142+BY141</f>
        <v>0</v>
      </c>
      <c r="BZ142" s="367">
        <f>BY142+BZ141</f>
        <v>0</v>
      </c>
      <c r="CA142" s="367">
        <f t="shared" ref="CA142" si="368">BZ142+CA141</f>
        <v>0</v>
      </c>
      <c r="CB142" s="367">
        <f t="shared" ref="CB142" si="369">CA142+CB141</f>
        <v>0</v>
      </c>
      <c r="CC142" s="367">
        <f t="shared" ref="CC142" si="370">CB142+CC141</f>
        <v>0</v>
      </c>
      <c r="CD142" s="367">
        <f t="shared" ref="CD142" si="371">CC142+CD141</f>
        <v>0</v>
      </c>
      <c r="CE142" s="367">
        <f t="shared" ref="CE142" si="372">CD142+CE141</f>
        <v>0</v>
      </c>
      <c r="CF142" s="367">
        <f t="shared" ref="CF142" si="373">CE142+CF141</f>
        <v>0</v>
      </c>
      <c r="CG142" s="367">
        <f t="shared" ref="CG142" si="374">CF142+CG141</f>
        <v>0</v>
      </c>
      <c r="CH142" s="367">
        <f t="shared" ref="CH142" si="375">CG142+CH141</f>
        <v>0</v>
      </c>
      <c r="CI142" s="367">
        <f t="shared" ref="CI142" si="376">CH142+CI141</f>
        <v>0</v>
      </c>
      <c r="CJ142" s="367">
        <f t="shared" ref="CJ142" si="377">CI142+CJ141</f>
        <v>0</v>
      </c>
      <c r="CK142" s="365">
        <f>CJ142</f>
        <v>0</v>
      </c>
      <c r="CN142" s="368">
        <f>CJ142+CN141</f>
        <v>0</v>
      </c>
      <c r="CO142" s="367">
        <f>CN142+CO141</f>
        <v>0</v>
      </c>
      <c r="CP142" s="367">
        <f t="shared" ref="CP142" si="378">CO142+CP141</f>
        <v>0</v>
      </c>
      <c r="CQ142" s="367">
        <f t="shared" ref="CQ142" si="379">CP142+CQ141</f>
        <v>0</v>
      </c>
      <c r="CR142" s="367">
        <f t="shared" ref="CR142" si="380">CQ142+CR141</f>
        <v>0</v>
      </c>
      <c r="CS142" s="367">
        <f t="shared" ref="CS142" si="381">CR142+CS141</f>
        <v>0</v>
      </c>
      <c r="CT142" s="367">
        <f t="shared" ref="CT142" si="382">CS142+CT141</f>
        <v>0</v>
      </c>
      <c r="CU142" s="367">
        <f t="shared" ref="CU142" si="383">CT142+CU141</f>
        <v>0</v>
      </c>
      <c r="CV142" s="367">
        <f t="shared" ref="CV142" si="384">CU142+CV141</f>
        <v>0</v>
      </c>
      <c r="CW142" s="367">
        <f t="shared" ref="CW142" si="385">CV142+CW141</f>
        <v>0</v>
      </c>
      <c r="CX142" s="367">
        <f t="shared" ref="CX142" si="386">CW142+CX141</f>
        <v>0</v>
      </c>
      <c r="CY142" s="367">
        <f t="shared" ref="CY142" si="387">CX142+CY141</f>
        <v>0</v>
      </c>
      <c r="CZ142" s="365">
        <f>CY142</f>
        <v>0</v>
      </c>
      <c r="DB142" s="142"/>
      <c r="DC142" s="143"/>
    </row>
    <row r="143" spans="2:107" ht="16.5" thickBot="1">
      <c r="B143" s="352" t="s">
        <v>139</v>
      </c>
      <c r="C143" s="172">
        <f t="shared" ref="C143:N143" si="388">C141</f>
        <v>0</v>
      </c>
      <c r="D143" s="172">
        <f t="shared" si="388"/>
        <v>0</v>
      </c>
      <c r="E143" s="172">
        <f t="shared" si="388"/>
        <v>0</v>
      </c>
      <c r="F143" s="172">
        <f t="shared" si="388"/>
        <v>0</v>
      </c>
      <c r="G143" s="172">
        <f t="shared" si="388"/>
        <v>0</v>
      </c>
      <c r="H143" s="172">
        <f t="shared" si="388"/>
        <v>0</v>
      </c>
      <c r="I143" s="172">
        <f t="shared" si="388"/>
        <v>0</v>
      </c>
      <c r="J143" s="172">
        <f t="shared" si="388"/>
        <v>0</v>
      </c>
      <c r="K143" s="172">
        <f t="shared" si="388"/>
        <v>0</v>
      </c>
      <c r="L143" s="172">
        <f t="shared" si="388"/>
        <v>0</v>
      </c>
      <c r="M143" s="172">
        <f t="shared" si="388"/>
        <v>0</v>
      </c>
      <c r="N143" s="172">
        <f t="shared" si="388"/>
        <v>0</v>
      </c>
      <c r="O143" s="236">
        <f>N143</f>
        <v>0</v>
      </c>
      <c r="P143" s="355">
        <f>N143+P141</f>
        <v>0</v>
      </c>
      <c r="Q143" s="172">
        <f t="shared" ref="Q143:AA143" si="389">P143+Q141</f>
        <v>0</v>
      </c>
      <c r="R143" s="172">
        <f t="shared" si="389"/>
        <v>0</v>
      </c>
      <c r="S143" s="172">
        <f t="shared" si="389"/>
        <v>0</v>
      </c>
      <c r="T143" s="172">
        <f t="shared" si="389"/>
        <v>0</v>
      </c>
      <c r="U143" s="172">
        <f t="shared" si="389"/>
        <v>0</v>
      </c>
      <c r="V143" s="172">
        <f t="shared" si="389"/>
        <v>0</v>
      </c>
      <c r="W143" s="172">
        <f t="shared" si="389"/>
        <v>0</v>
      </c>
      <c r="X143" s="172">
        <f t="shared" si="389"/>
        <v>0</v>
      </c>
      <c r="Y143" s="172">
        <f t="shared" si="389"/>
        <v>0</v>
      </c>
      <c r="Z143" s="172">
        <f t="shared" si="389"/>
        <v>0</v>
      </c>
      <c r="AA143" s="172">
        <f t="shared" si="389"/>
        <v>0</v>
      </c>
      <c r="AB143" s="173">
        <f>AA143</f>
        <v>0</v>
      </c>
      <c r="AC143" s="317"/>
      <c r="AE143" s="355">
        <f>AA143+AE141</f>
        <v>0</v>
      </c>
      <c r="AF143" s="172">
        <f t="shared" ref="AF143:AP143" si="390">AE143+AF141</f>
        <v>0</v>
      </c>
      <c r="AG143" s="172">
        <f t="shared" si="390"/>
        <v>0</v>
      </c>
      <c r="AH143" s="172">
        <f t="shared" si="390"/>
        <v>0</v>
      </c>
      <c r="AI143" s="172">
        <f t="shared" si="390"/>
        <v>0</v>
      </c>
      <c r="AJ143" s="172">
        <f t="shared" si="390"/>
        <v>0</v>
      </c>
      <c r="AK143" s="172">
        <f t="shared" si="390"/>
        <v>0</v>
      </c>
      <c r="AL143" s="172">
        <f t="shared" si="390"/>
        <v>0</v>
      </c>
      <c r="AM143" s="172">
        <f t="shared" si="390"/>
        <v>0</v>
      </c>
      <c r="AN143" s="172">
        <f t="shared" si="390"/>
        <v>0</v>
      </c>
      <c r="AO143" s="172">
        <f t="shared" si="390"/>
        <v>0</v>
      </c>
      <c r="AP143" s="172">
        <f t="shared" si="390"/>
        <v>0</v>
      </c>
      <c r="AQ143" s="173">
        <f>AP143</f>
        <v>0</v>
      </c>
      <c r="AU143" s="355">
        <f>AP143+AU141</f>
        <v>0</v>
      </c>
      <c r="AV143" s="172">
        <f t="shared" ref="AV143:BF143" si="391">AU143+AV141</f>
        <v>0</v>
      </c>
      <c r="AW143" s="172">
        <f t="shared" si="391"/>
        <v>0</v>
      </c>
      <c r="AX143" s="172">
        <f t="shared" si="391"/>
        <v>0</v>
      </c>
      <c r="AY143" s="172">
        <f t="shared" si="391"/>
        <v>0</v>
      </c>
      <c r="AZ143" s="172">
        <f t="shared" si="391"/>
        <v>0</v>
      </c>
      <c r="BA143" s="172">
        <f t="shared" si="391"/>
        <v>0</v>
      </c>
      <c r="BB143" s="172">
        <f t="shared" si="391"/>
        <v>0</v>
      </c>
      <c r="BC143" s="172">
        <f t="shared" si="391"/>
        <v>0</v>
      </c>
      <c r="BD143" s="172">
        <f t="shared" si="391"/>
        <v>915</v>
      </c>
      <c r="BE143" s="172">
        <f t="shared" si="391"/>
        <v>915</v>
      </c>
      <c r="BF143" s="172">
        <f t="shared" si="391"/>
        <v>915</v>
      </c>
      <c r="BG143" s="173">
        <f>BF143</f>
        <v>915</v>
      </c>
      <c r="BH143" s="179"/>
      <c r="BJ143" s="355">
        <f>BF143+BJ141</f>
        <v>2265</v>
      </c>
      <c r="BK143" s="172">
        <f t="shared" ref="BK143" si="392">BJ143+BK141</f>
        <v>2265</v>
      </c>
      <c r="BL143" s="172">
        <f>BK143+BL141</f>
        <v>2515</v>
      </c>
      <c r="BM143" s="172">
        <f>BL143+BM141</f>
        <v>3110</v>
      </c>
      <c r="BN143" s="172">
        <f t="shared" ref="BN143" si="393">BM143+BN141</f>
        <v>3110</v>
      </c>
      <c r="BO143" s="172">
        <f t="shared" ref="BO143" si="394">BN143+BO141</f>
        <v>3110</v>
      </c>
      <c r="BP143" s="172">
        <f t="shared" ref="BP143" si="395">BO143+BP141</f>
        <v>2260</v>
      </c>
      <c r="BQ143" s="172">
        <f t="shared" ref="BQ143" si="396">BP143+BQ141</f>
        <v>855</v>
      </c>
      <c r="BR143" s="172">
        <f t="shared" ref="BR143" si="397">BQ143+BR141</f>
        <v>855</v>
      </c>
      <c r="BS143" s="177">
        <f t="shared" ref="BS143" si="398">BR143+BS141</f>
        <v>0</v>
      </c>
      <c r="BT143" s="177">
        <f t="shared" ref="BT143" si="399">BS143+BT141</f>
        <v>0</v>
      </c>
      <c r="BU143" s="177">
        <f t="shared" ref="BU143" si="400">BT143+BU141</f>
        <v>0</v>
      </c>
      <c r="BV143" s="173">
        <f>BU143</f>
        <v>0</v>
      </c>
      <c r="BY143" s="358">
        <f>BU143+BY141</f>
        <v>0</v>
      </c>
      <c r="BZ143" s="177">
        <f t="shared" ref="BZ143" si="401">BY143+BZ141</f>
        <v>0</v>
      </c>
      <c r="CA143" s="177">
        <f t="shared" ref="CA143" si="402">BZ143+CA141</f>
        <v>0</v>
      </c>
      <c r="CB143" s="177">
        <f t="shared" ref="CB143" si="403">CA143+CB141</f>
        <v>0</v>
      </c>
      <c r="CC143" s="177">
        <f t="shared" ref="CC143" si="404">CB143+CC141</f>
        <v>0</v>
      </c>
      <c r="CD143" s="177">
        <f t="shared" ref="CD143" si="405">CC143+CD141</f>
        <v>0</v>
      </c>
      <c r="CE143" s="177">
        <f t="shared" ref="CE143" si="406">CD143+CE141</f>
        <v>0</v>
      </c>
      <c r="CF143" s="177">
        <f t="shared" ref="CF143" si="407">CE143+CF141</f>
        <v>0</v>
      </c>
      <c r="CG143" s="177">
        <f t="shared" ref="CG143" si="408">CF143+CG141</f>
        <v>0</v>
      </c>
      <c r="CH143" s="177">
        <f t="shared" ref="CH143" si="409">CG143+CH141</f>
        <v>0</v>
      </c>
      <c r="CI143" s="177">
        <f t="shared" ref="CI143" si="410">CH143+CI141</f>
        <v>0</v>
      </c>
      <c r="CJ143" s="177">
        <f t="shared" ref="CJ143" si="411">CI143+CJ141</f>
        <v>0</v>
      </c>
      <c r="CK143" s="173">
        <f>CJ143</f>
        <v>0</v>
      </c>
      <c r="CN143" s="358">
        <f>CJ143+CN141</f>
        <v>0</v>
      </c>
      <c r="CO143" s="177">
        <f t="shared" ref="CO143" si="412">CN143+CO141</f>
        <v>0</v>
      </c>
      <c r="CP143" s="177">
        <f t="shared" ref="CP143" si="413">CO143+CP141</f>
        <v>0</v>
      </c>
      <c r="CQ143" s="177">
        <f t="shared" ref="CQ143" si="414">CP143+CQ141</f>
        <v>0</v>
      </c>
      <c r="CR143" s="177">
        <f t="shared" ref="CR143" si="415">CQ143+CR141</f>
        <v>0</v>
      </c>
      <c r="CS143" s="177">
        <f t="shared" ref="CS143" si="416">CR143+CS141</f>
        <v>0</v>
      </c>
      <c r="CT143" s="177">
        <f t="shared" ref="CT143" si="417">CS143+CT141</f>
        <v>0</v>
      </c>
      <c r="CU143" s="177">
        <f t="shared" ref="CU143" si="418">CT143+CU141</f>
        <v>0</v>
      </c>
      <c r="CV143" s="177">
        <f t="shared" ref="CV143" si="419">CU143+CV141</f>
        <v>0</v>
      </c>
      <c r="CW143" s="177">
        <f t="shared" ref="CW143" si="420">CV143+CW141</f>
        <v>0</v>
      </c>
      <c r="CX143" s="177">
        <f t="shared" ref="CX143" si="421">CW143+CX141</f>
        <v>0</v>
      </c>
      <c r="CY143" s="177">
        <f t="shared" ref="CY143" si="422">CX143+CY141</f>
        <v>0</v>
      </c>
      <c r="CZ143" s="173">
        <f>CY143</f>
        <v>0</v>
      </c>
      <c r="DB143" s="142"/>
      <c r="DC143" s="143"/>
    </row>
    <row r="144" spans="2:107">
      <c r="B144" s="265"/>
      <c r="C144" s="203"/>
      <c r="D144" s="146"/>
      <c r="E144" s="146"/>
      <c r="F144" s="146"/>
      <c r="G144" s="146"/>
      <c r="H144" s="146"/>
      <c r="I144" s="146"/>
      <c r="J144" s="146"/>
      <c r="K144" s="146"/>
      <c r="L144" s="146"/>
      <c r="M144" s="146"/>
      <c r="N144" s="146"/>
      <c r="O144" s="160"/>
      <c r="P144" s="146"/>
      <c r="Q144" s="146"/>
      <c r="R144" s="146"/>
      <c r="S144" s="146"/>
      <c r="T144" s="146"/>
      <c r="U144" s="146"/>
      <c r="V144" s="146"/>
      <c r="W144" s="146"/>
      <c r="X144" s="146"/>
      <c r="Y144" s="146"/>
      <c r="Z144" s="146"/>
      <c r="AA144" s="146"/>
      <c r="AB144" s="160"/>
      <c r="AE144" s="146"/>
      <c r="AF144" s="146"/>
      <c r="AG144" s="146"/>
      <c r="AH144" s="146"/>
      <c r="AI144" s="146"/>
      <c r="AJ144" s="146"/>
      <c r="AK144" s="146"/>
      <c r="AL144" s="146"/>
      <c r="AM144" s="146"/>
      <c r="AN144" s="146"/>
      <c r="AO144" s="146"/>
      <c r="AP144" s="146"/>
      <c r="AQ144" s="160"/>
      <c r="AU144" s="146"/>
      <c r="AV144" s="146"/>
      <c r="AW144" s="146"/>
      <c r="AX144" s="146"/>
      <c r="AY144" s="146"/>
      <c r="AZ144" s="146"/>
      <c r="BA144" s="146"/>
      <c r="BB144" s="146"/>
      <c r="BC144" s="146"/>
      <c r="BD144" s="146"/>
      <c r="BE144" s="146"/>
      <c r="BF144" s="146"/>
      <c r="BG144" s="160"/>
      <c r="BH144" s="160"/>
      <c r="BJ144" s="146"/>
      <c r="BK144" s="146"/>
      <c r="BL144" s="146"/>
      <c r="BM144" s="146"/>
      <c r="BN144" s="146"/>
      <c r="BO144" s="146"/>
      <c r="BP144" s="146"/>
      <c r="BQ144" s="146"/>
      <c r="BR144" s="146"/>
      <c r="BS144" s="160"/>
      <c r="BT144" s="160"/>
      <c r="BU144" s="160"/>
      <c r="BV144" s="160"/>
      <c r="BY144" s="160"/>
      <c r="BZ144" s="160"/>
      <c r="CA144" s="160"/>
      <c r="CB144" s="160"/>
      <c r="CC144" s="160"/>
      <c r="CD144" s="160"/>
      <c r="CE144" s="160"/>
      <c r="CF144" s="160"/>
      <c r="CG144" s="160"/>
      <c r="CH144" s="160"/>
      <c r="CI144" s="160"/>
      <c r="CJ144" s="160"/>
      <c r="CK144" s="160"/>
      <c r="CN144" s="160"/>
      <c r="CO144" s="160"/>
      <c r="CP144" s="160"/>
      <c r="CQ144" s="160"/>
      <c r="CR144" s="160"/>
      <c r="CS144" s="160"/>
      <c r="CT144" s="160"/>
      <c r="CU144" s="160"/>
      <c r="CV144" s="160"/>
      <c r="CW144" s="160"/>
      <c r="CX144" s="160"/>
      <c r="CY144" s="160"/>
      <c r="CZ144" s="160"/>
      <c r="DB144" s="142"/>
      <c r="DC144" s="143"/>
    </row>
    <row r="145" spans="2:107">
      <c r="B145" s="349" t="s">
        <v>140</v>
      </c>
      <c r="C145" s="203"/>
      <c r="D145" s="146"/>
      <c r="E145" s="146"/>
      <c r="F145" s="146"/>
      <c r="G145" s="146"/>
      <c r="H145" s="146"/>
      <c r="I145" s="146"/>
      <c r="J145" s="146"/>
      <c r="K145" s="146"/>
      <c r="L145" s="146"/>
      <c r="M145" s="146"/>
      <c r="N145" s="146"/>
      <c r="O145" s="160"/>
      <c r="P145" s="146"/>
      <c r="Q145" s="146"/>
      <c r="R145" s="146"/>
      <c r="S145" s="146"/>
      <c r="T145" s="146"/>
      <c r="U145" s="146"/>
      <c r="V145" s="146"/>
      <c r="W145" s="146"/>
      <c r="X145" s="146"/>
      <c r="Y145" s="146"/>
      <c r="Z145" s="146"/>
      <c r="AA145" s="146"/>
      <c r="AB145" s="160"/>
      <c r="AE145" s="146"/>
      <c r="AF145" s="146"/>
      <c r="AG145" s="146"/>
      <c r="AH145" s="146"/>
      <c r="AI145" s="146"/>
      <c r="AJ145" s="146"/>
      <c r="AK145" s="146"/>
      <c r="AL145" s="146"/>
      <c r="AM145" s="146"/>
      <c r="AN145" s="146"/>
      <c r="AO145" s="146"/>
      <c r="AP145" s="146"/>
      <c r="AQ145" s="160"/>
      <c r="AU145" s="146"/>
      <c r="AV145" s="146"/>
      <c r="AW145" s="146"/>
      <c r="AX145" s="146"/>
      <c r="AY145" s="146"/>
      <c r="AZ145" s="146"/>
      <c r="BA145" s="146"/>
      <c r="BB145" s="146"/>
      <c r="BC145" s="146"/>
      <c r="BD145" s="146"/>
      <c r="BE145" s="146"/>
      <c r="BF145" s="146"/>
      <c r="BG145" s="160"/>
      <c r="BH145" s="160"/>
      <c r="BJ145" s="146"/>
      <c r="BK145" s="146"/>
      <c r="BL145" s="146"/>
      <c r="BM145" s="146"/>
      <c r="BN145" s="146"/>
      <c r="BO145" s="146"/>
      <c r="BP145" s="146"/>
      <c r="BQ145" s="146"/>
      <c r="BR145" s="146"/>
      <c r="BS145" s="160"/>
      <c r="BT145" s="160"/>
      <c r="BU145" s="160"/>
      <c r="BV145" s="160"/>
      <c r="BY145" s="160"/>
      <c r="BZ145" s="160"/>
      <c r="CA145" s="160"/>
      <c r="CB145" s="160"/>
      <c r="CC145" s="160"/>
      <c r="CD145" s="160"/>
      <c r="CE145" s="160"/>
      <c r="CF145" s="160"/>
      <c r="CG145" s="160"/>
      <c r="CH145" s="160"/>
      <c r="CI145" s="160"/>
      <c r="CJ145" s="160"/>
      <c r="CK145" s="160"/>
      <c r="CN145" s="160"/>
      <c r="CO145" s="160"/>
      <c r="CP145" s="160"/>
      <c r="CQ145" s="160"/>
      <c r="CR145" s="160"/>
      <c r="CS145" s="160"/>
      <c r="CT145" s="160"/>
      <c r="CU145" s="160"/>
      <c r="CV145" s="160"/>
      <c r="CW145" s="160"/>
      <c r="CX145" s="160"/>
      <c r="CY145" s="160"/>
      <c r="CZ145" s="160"/>
      <c r="DB145" s="142"/>
      <c r="DC145" s="143"/>
    </row>
    <row r="146" spans="2:107">
      <c r="B146" s="361" t="s">
        <v>141</v>
      </c>
      <c r="C146" s="151"/>
      <c r="D146" s="151"/>
      <c r="E146" s="151"/>
      <c r="F146" s="151"/>
      <c r="G146" s="151"/>
      <c r="H146" s="151"/>
      <c r="I146" s="151"/>
      <c r="J146" s="151"/>
      <c r="K146" s="151"/>
      <c r="L146" s="151"/>
      <c r="M146" s="151"/>
      <c r="N146" s="151"/>
      <c r="O146" s="202"/>
      <c r="P146" s="243"/>
      <c r="Q146" s="151"/>
      <c r="R146" s="151"/>
      <c r="S146" s="151"/>
      <c r="T146" s="151"/>
      <c r="U146" s="151"/>
      <c r="V146" s="151"/>
      <c r="W146" s="151"/>
      <c r="X146" s="151"/>
      <c r="Y146" s="151"/>
      <c r="Z146" s="151"/>
      <c r="AA146" s="151"/>
      <c r="AB146" s="202"/>
      <c r="AC146" s="317"/>
      <c r="AE146" s="243"/>
      <c r="AF146" s="151"/>
      <c r="AG146" s="151"/>
      <c r="AH146" s="151"/>
      <c r="AI146" s="151"/>
      <c r="AJ146" s="151"/>
      <c r="AK146" s="151"/>
      <c r="AL146" s="151"/>
      <c r="AM146" s="151"/>
      <c r="AN146" s="151"/>
      <c r="AO146" s="151"/>
      <c r="AP146" s="151"/>
      <c r="AQ146" s="202"/>
      <c r="AU146" s="243"/>
      <c r="AV146" s="151"/>
      <c r="AW146" s="151"/>
      <c r="AX146" s="151"/>
      <c r="AY146" s="151"/>
      <c r="AZ146" s="151"/>
      <c r="BA146" s="151"/>
      <c r="BB146" s="151"/>
      <c r="BC146" s="151"/>
      <c r="BD146" s="151"/>
      <c r="BE146" s="151"/>
      <c r="BF146" s="151"/>
      <c r="BG146" s="202"/>
      <c r="BH146" s="160"/>
      <c r="BJ146" s="243"/>
      <c r="BK146" s="151"/>
      <c r="BL146" s="151"/>
      <c r="BM146" s="151"/>
      <c r="BN146" s="151"/>
      <c r="BO146" s="151"/>
      <c r="BP146" s="151"/>
      <c r="BQ146" s="151"/>
      <c r="BR146" s="151"/>
      <c r="BS146" s="284"/>
      <c r="BT146" s="284"/>
      <c r="BU146" s="284"/>
      <c r="BV146" s="202"/>
      <c r="BY146" s="268"/>
      <c r="BZ146" s="284"/>
      <c r="CA146" s="284"/>
      <c r="CB146" s="284"/>
      <c r="CC146" s="284"/>
      <c r="CD146" s="284"/>
      <c r="CE146" s="284"/>
      <c r="CF146" s="284"/>
      <c r="CG146" s="284"/>
      <c r="CH146" s="284"/>
      <c r="CI146" s="284"/>
      <c r="CJ146" s="284"/>
      <c r="CK146" s="202"/>
      <c r="CN146" s="268"/>
      <c r="CO146" s="284"/>
      <c r="CP146" s="284"/>
      <c r="CQ146" s="284"/>
      <c r="CR146" s="284"/>
      <c r="CS146" s="284"/>
      <c r="CT146" s="284"/>
      <c r="CU146" s="284"/>
      <c r="CV146" s="284"/>
      <c r="CW146" s="284"/>
      <c r="CX146" s="284"/>
      <c r="CY146" s="284"/>
      <c r="CZ146" s="202"/>
      <c r="DB146" s="142"/>
      <c r="DC146" s="143"/>
    </row>
    <row r="147" spans="2:107">
      <c r="B147" s="242" t="s">
        <v>137</v>
      </c>
      <c r="C147" s="203"/>
      <c r="D147" s="203"/>
      <c r="E147" s="203"/>
      <c r="F147" s="207"/>
      <c r="G147" s="207"/>
      <c r="H147" s="147"/>
      <c r="I147" s="147"/>
      <c r="J147" s="147"/>
      <c r="K147" s="140"/>
      <c r="L147" s="140"/>
      <c r="M147" s="147"/>
      <c r="N147" s="147"/>
      <c r="O147" s="369"/>
      <c r="P147" s="370"/>
      <c r="Q147" s="203"/>
      <c r="R147" s="203"/>
      <c r="S147" s="203"/>
      <c r="T147" s="203"/>
      <c r="U147" s="203"/>
      <c r="V147" s="203"/>
      <c r="W147" s="203"/>
      <c r="X147" s="203"/>
      <c r="Y147" s="203"/>
      <c r="Z147" s="203"/>
      <c r="AA147" s="203"/>
      <c r="AB147" s="369"/>
      <c r="AC147" s="317"/>
      <c r="AE147" s="370"/>
      <c r="AF147" s="203"/>
      <c r="AG147" s="203"/>
      <c r="AH147" s="203"/>
      <c r="AI147" s="203"/>
      <c r="AJ147" s="203"/>
      <c r="AK147" s="203"/>
      <c r="AL147" s="203"/>
      <c r="AM147" s="203"/>
      <c r="AN147" s="203"/>
      <c r="AO147" s="203"/>
      <c r="AP147" s="203"/>
      <c r="AQ147" s="369"/>
      <c r="AU147" s="370"/>
      <c r="AV147" s="203"/>
      <c r="AW147" s="203"/>
      <c r="AX147" s="203"/>
      <c r="AY147" s="203"/>
      <c r="AZ147" s="203"/>
      <c r="BA147" s="203"/>
      <c r="BB147" s="203"/>
      <c r="BC147" s="203"/>
      <c r="BD147" s="203"/>
      <c r="BE147" s="203"/>
      <c r="BF147" s="203"/>
      <c r="BG147" s="369"/>
      <c r="BH147" s="208"/>
      <c r="BJ147" s="370"/>
      <c r="BK147" s="203"/>
      <c r="BL147" s="203"/>
      <c r="BM147" s="203"/>
      <c r="BN147" s="203"/>
      <c r="BO147" s="203"/>
      <c r="BP147" s="203"/>
      <c r="BQ147" s="203"/>
      <c r="BR147" s="203"/>
      <c r="BS147" s="208"/>
      <c r="BT147" s="208"/>
      <c r="BU147" s="208"/>
      <c r="BV147" s="369"/>
      <c r="BY147" s="371"/>
      <c r="BZ147" s="208"/>
      <c r="CA147" s="208"/>
      <c r="CB147" s="208"/>
      <c r="CC147" s="208"/>
      <c r="CD147" s="208"/>
      <c r="CE147" s="208"/>
      <c r="CF147" s="208"/>
      <c r="CG147" s="208"/>
      <c r="CH147" s="208"/>
      <c r="CI147" s="208"/>
      <c r="CJ147" s="208"/>
      <c r="CK147" s="369"/>
      <c r="CN147" s="371"/>
      <c r="CO147" s="208"/>
      <c r="CP147" s="208"/>
      <c r="CQ147" s="208"/>
      <c r="CR147" s="208"/>
      <c r="CS147" s="208"/>
      <c r="CT147" s="208"/>
      <c r="CU147" s="208"/>
      <c r="CV147" s="208"/>
      <c r="CW147" s="208"/>
      <c r="CX147" s="208"/>
      <c r="CY147" s="208"/>
      <c r="CZ147" s="369"/>
      <c r="DB147" s="142"/>
      <c r="DC147" s="143"/>
    </row>
    <row r="148" spans="2:107">
      <c r="B148" s="242" t="s">
        <v>142</v>
      </c>
      <c r="C148" s="146"/>
      <c r="D148" s="146"/>
      <c r="E148" s="146"/>
      <c r="F148" s="147"/>
      <c r="G148" s="147"/>
      <c r="H148" s="147"/>
      <c r="I148" s="147"/>
      <c r="J148" s="147"/>
      <c r="K148" s="147"/>
      <c r="L148" s="147"/>
      <c r="M148" s="147"/>
      <c r="N148" s="147"/>
      <c r="O148" s="148">
        <f>N148</f>
        <v>0</v>
      </c>
      <c r="P148" s="324">
        <f>N148+P147</f>
        <v>0</v>
      </c>
      <c r="Q148" s="211">
        <f t="shared" ref="Q148" si="423">P148+Q147</f>
        <v>0</v>
      </c>
      <c r="R148" s="211">
        <f t="shared" ref="R148" si="424">Q148+R147</f>
        <v>0</v>
      </c>
      <c r="S148" s="211">
        <f t="shared" ref="S148" si="425">R148+S147</f>
        <v>0</v>
      </c>
      <c r="T148" s="211">
        <f t="shared" ref="T148" si="426">S148+T147</f>
        <v>0</v>
      </c>
      <c r="U148" s="211">
        <f t="shared" ref="U148" si="427">T148+U147</f>
        <v>0</v>
      </c>
      <c r="V148" s="211">
        <f t="shared" ref="V148" si="428">U148+V147</f>
        <v>0</v>
      </c>
      <c r="W148" s="211">
        <f t="shared" ref="W148" si="429">V148+W147</f>
        <v>0</v>
      </c>
      <c r="X148" s="211">
        <f t="shared" ref="X148" si="430">W148+X147</f>
        <v>0</v>
      </c>
      <c r="Y148" s="211">
        <f t="shared" ref="Y148" si="431">X148+Y147</f>
        <v>0</v>
      </c>
      <c r="Z148" s="211">
        <f t="shared" ref="Z148" si="432">Y148+Z147</f>
        <v>0</v>
      </c>
      <c r="AA148" s="211">
        <f t="shared" ref="AA148" si="433">Z148+AA147</f>
        <v>0</v>
      </c>
      <c r="AB148" s="148">
        <f>AA148</f>
        <v>0</v>
      </c>
      <c r="AC148" s="317"/>
      <c r="AE148" s="324">
        <f>AA148+AE147</f>
        <v>0</v>
      </c>
      <c r="AF148" s="211">
        <f t="shared" ref="AF148" si="434">AE148+AF147</f>
        <v>0</v>
      </c>
      <c r="AG148" s="211">
        <f t="shared" ref="AG148" si="435">AF148+AG147</f>
        <v>0</v>
      </c>
      <c r="AH148" s="211">
        <f t="shared" ref="AH148" si="436">AG148+AH147</f>
        <v>0</v>
      </c>
      <c r="AI148" s="211">
        <f t="shared" ref="AI148" si="437">AH148+AI147</f>
        <v>0</v>
      </c>
      <c r="AJ148" s="211">
        <f t="shared" ref="AJ148" si="438">AI148+AJ147</f>
        <v>0</v>
      </c>
      <c r="AK148" s="211">
        <f t="shared" ref="AK148" si="439">AJ148+AK147</f>
        <v>0</v>
      </c>
      <c r="AL148" s="211">
        <f t="shared" ref="AL148" si="440">AK148+AL147</f>
        <v>0</v>
      </c>
      <c r="AM148" s="211">
        <f t="shared" ref="AM148" si="441">AL148+AM147</f>
        <v>0</v>
      </c>
      <c r="AN148" s="211">
        <f t="shared" ref="AN148" si="442">AM148+AN147</f>
        <v>0</v>
      </c>
      <c r="AO148" s="211">
        <f t="shared" ref="AO148" si="443">AN148+AO147</f>
        <v>0</v>
      </c>
      <c r="AP148" s="211">
        <f t="shared" ref="AP148" si="444">AO148+AP147</f>
        <v>0</v>
      </c>
      <c r="AQ148" s="148">
        <f>AP148</f>
        <v>0</v>
      </c>
      <c r="AU148" s="324">
        <f>AP148+AU147</f>
        <v>0</v>
      </c>
      <c r="AV148" s="211">
        <f t="shared" ref="AV148" si="445">AU148+AV147</f>
        <v>0</v>
      </c>
      <c r="AW148" s="211">
        <f t="shared" ref="AW148" si="446">AV148+AW147</f>
        <v>0</v>
      </c>
      <c r="AX148" s="211">
        <f t="shared" ref="AX148" si="447">AW148+AX147</f>
        <v>0</v>
      </c>
      <c r="AY148" s="211">
        <f t="shared" ref="AY148" si="448">AX148+AY147</f>
        <v>0</v>
      </c>
      <c r="AZ148" s="211">
        <f t="shared" ref="AZ148" si="449">AY148+AZ147</f>
        <v>0</v>
      </c>
      <c r="BA148" s="211">
        <f t="shared" ref="BA148" si="450">AZ148+BA147</f>
        <v>0</v>
      </c>
      <c r="BB148" s="211">
        <f t="shared" ref="BB148" si="451">BA148+BB147</f>
        <v>0</v>
      </c>
      <c r="BC148" s="211">
        <f t="shared" ref="BC148" si="452">BB148+BC147</f>
        <v>0</v>
      </c>
      <c r="BD148" s="211">
        <f t="shared" ref="BD148" si="453">BC148+BD147</f>
        <v>0</v>
      </c>
      <c r="BE148" s="211">
        <f t="shared" ref="BE148" si="454">BD148+BE147</f>
        <v>0</v>
      </c>
      <c r="BF148" s="211">
        <f t="shared" ref="BF148" si="455">BE148+BF147</f>
        <v>0</v>
      </c>
      <c r="BG148" s="148">
        <f>BF148</f>
        <v>0</v>
      </c>
      <c r="BH148" s="514"/>
      <c r="BI148" s="513"/>
      <c r="BJ148" s="324">
        <f>BF148+BJ147</f>
        <v>0</v>
      </c>
      <c r="BK148" s="211">
        <f t="shared" ref="BK148" si="456">BJ148+BK147</f>
        <v>0</v>
      </c>
      <c r="BL148" s="211">
        <f t="shared" ref="BL148" si="457">BK148+BL147</f>
        <v>0</v>
      </c>
      <c r="BM148" s="211">
        <f t="shared" ref="BM148" si="458">BL148+BM147</f>
        <v>0</v>
      </c>
      <c r="BN148" s="211">
        <f t="shared" ref="BN148" si="459">BM148+BN147</f>
        <v>0</v>
      </c>
      <c r="BO148" s="211">
        <f t="shared" ref="BO148" si="460">BN148+BO147</f>
        <v>0</v>
      </c>
      <c r="BP148" s="211">
        <f t="shared" ref="BP148" si="461">BO148+BP147</f>
        <v>0</v>
      </c>
      <c r="BQ148" s="211">
        <f t="shared" ref="BQ148" si="462">BP148+BQ147</f>
        <v>0</v>
      </c>
      <c r="BR148" s="211">
        <f t="shared" ref="BR148" si="463">BQ148+BR147</f>
        <v>0</v>
      </c>
      <c r="BS148" s="230">
        <f t="shared" ref="BS148" si="464">BR148+BS147</f>
        <v>0</v>
      </c>
      <c r="BT148" s="230">
        <f t="shared" ref="BT148" si="465">BS148+BT147</f>
        <v>0</v>
      </c>
      <c r="BU148" s="230">
        <f t="shared" ref="BU148" si="466">BT148+BU147</f>
        <v>0</v>
      </c>
      <c r="BV148" s="148">
        <f>BU148</f>
        <v>0</v>
      </c>
      <c r="BY148" s="363">
        <f>BU148+BY147</f>
        <v>0</v>
      </c>
      <c r="BZ148" s="230">
        <f t="shared" ref="BZ148" si="467">BY148+BZ147</f>
        <v>0</v>
      </c>
      <c r="CA148" s="230">
        <f t="shared" ref="CA148" si="468">BZ148+CA147</f>
        <v>0</v>
      </c>
      <c r="CB148" s="230">
        <f t="shared" ref="CB148" si="469">CA148+CB147</f>
        <v>0</v>
      </c>
      <c r="CC148" s="230">
        <f t="shared" ref="CC148" si="470">CB148+CC147</f>
        <v>0</v>
      </c>
      <c r="CD148" s="230">
        <f t="shared" ref="CD148" si="471">CC148+CD147</f>
        <v>0</v>
      </c>
      <c r="CE148" s="230">
        <f t="shared" ref="CE148" si="472">CD148+CE147</f>
        <v>0</v>
      </c>
      <c r="CF148" s="230">
        <f t="shared" ref="CF148" si="473">CE148+CF147</f>
        <v>0</v>
      </c>
      <c r="CG148" s="230">
        <f t="shared" ref="CG148" si="474">CF148+CG147</f>
        <v>0</v>
      </c>
      <c r="CH148" s="230">
        <f t="shared" ref="CH148" si="475">CG148+CH147</f>
        <v>0</v>
      </c>
      <c r="CI148" s="230">
        <f t="shared" ref="CI148" si="476">CH148+CI147</f>
        <v>0</v>
      </c>
      <c r="CJ148" s="230">
        <f t="shared" ref="CJ148" si="477">CI148+CJ147</f>
        <v>0</v>
      </c>
      <c r="CK148" s="148">
        <f>CJ148</f>
        <v>0</v>
      </c>
      <c r="CN148" s="363">
        <f>CJ148+CN147</f>
        <v>0</v>
      </c>
      <c r="CO148" s="230">
        <f t="shared" ref="CO148" si="478">CN148+CO147</f>
        <v>0</v>
      </c>
      <c r="CP148" s="230">
        <f t="shared" ref="CP148" si="479">CO148+CP147</f>
        <v>0</v>
      </c>
      <c r="CQ148" s="230">
        <f t="shared" ref="CQ148" si="480">CP148+CQ147</f>
        <v>0</v>
      </c>
      <c r="CR148" s="230">
        <f t="shared" ref="CR148" si="481">CQ148+CR147</f>
        <v>0</v>
      </c>
      <c r="CS148" s="230">
        <f t="shared" ref="CS148" si="482">CR148+CS147</f>
        <v>0</v>
      </c>
      <c r="CT148" s="230">
        <f t="shared" ref="CT148" si="483">CS148+CT147</f>
        <v>0</v>
      </c>
      <c r="CU148" s="230">
        <f t="shared" ref="CU148" si="484">CT148+CU147</f>
        <v>0</v>
      </c>
      <c r="CV148" s="230">
        <f t="shared" ref="CV148" si="485">CU148+CV147</f>
        <v>0</v>
      </c>
      <c r="CW148" s="230">
        <f t="shared" ref="CW148" si="486">CV148+CW147</f>
        <v>0</v>
      </c>
      <c r="CX148" s="230">
        <f t="shared" ref="CX148" si="487">CW148+CX147</f>
        <v>0</v>
      </c>
      <c r="CY148" s="230">
        <f t="shared" ref="CY148" si="488">CX148+CY147</f>
        <v>0</v>
      </c>
      <c r="CZ148" s="148">
        <f>CY148</f>
        <v>0</v>
      </c>
      <c r="DB148" s="142"/>
      <c r="DC148" s="143"/>
    </row>
    <row r="149" spans="2:107">
      <c r="B149" s="361" t="s">
        <v>143</v>
      </c>
      <c r="C149" s="151"/>
      <c r="D149" s="151"/>
      <c r="E149" s="151"/>
      <c r="F149" s="151"/>
      <c r="G149" s="151"/>
      <c r="H149" s="151"/>
      <c r="I149" s="151"/>
      <c r="J149" s="151"/>
      <c r="K149" s="151"/>
      <c r="L149" s="151"/>
      <c r="M149" s="151"/>
      <c r="N149" s="151"/>
      <c r="O149" s="202"/>
      <c r="P149" s="243"/>
      <c r="Q149" s="151"/>
      <c r="R149" s="151"/>
      <c r="S149" s="151"/>
      <c r="T149" s="151"/>
      <c r="U149" s="151"/>
      <c r="V149" s="151"/>
      <c r="W149" s="151"/>
      <c r="X149" s="151"/>
      <c r="Y149" s="151"/>
      <c r="Z149" s="151"/>
      <c r="AA149" s="151"/>
      <c r="AB149" s="202"/>
      <c r="AC149" s="317"/>
      <c r="AE149" s="243"/>
      <c r="AF149" s="151"/>
      <c r="AG149" s="151"/>
      <c r="AH149" s="151"/>
      <c r="AI149" s="151"/>
      <c r="AJ149" s="151"/>
      <c r="AK149" s="151"/>
      <c r="AL149" s="151"/>
      <c r="AM149" s="151"/>
      <c r="AN149" s="151"/>
      <c r="AO149" s="151"/>
      <c r="AP149" s="151"/>
      <c r="AQ149" s="202"/>
      <c r="AU149" s="243"/>
      <c r="AV149" s="151"/>
      <c r="AW149" s="151"/>
      <c r="AX149" s="151"/>
      <c r="AY149" s="151"/>
      <c r="AZ149" s="151"/>
      <c r="BA149" s="151"/>
      <c r="BB149" s="151"/>
      <c r="BC149" s="151"/>
      <c r="BD149" s="151"/>
      <c r="BE149" s="151"/>
      <c r="BF149" s="151"/>
      <c r="BG149" s="202"/>
      <c r="BH149" s="160"/>
      <c r="BJ149" s="243"/>
      <c r="BK149" s="151"/>
      <c r="BL149" s="151"/>
      <c r="BM149" s="151"/>
      <c r="BN149" s="151"/>
      <c r="BO149" s="151"/>
      <c r="BP149" s="151"/>
      <c r="BQ149" s="151"/>
      <c r="BR149" s="151"/>
      <c r="BS149" s="284"/>
      <c r="BT149" s="284"/>
      <c r="BU149" s="284"/>
      <c r="BV149" s="202"/>
      <c r="BY149" s="268"/>
      <c r="BZ149" s="284"/>
      <c r="CA149" s="284"/>
      <c r="CB149" s="284"/>
      <c r="CC149" s="284"/>
      <c r="CD149" s="284"/>
      <c r="CE149" s="284"/>
      <c r="CF149" s="284"/>
      <c r="CG149" s="284"/>
      <c r="CH149" s="284"/>
      <c r="CI149" s="284"/>
      <c r="CJ149" s="284"/>
      <c r="CK149" s="202"/>
      <c r="CN149" s="268"/>
      <c r="CO149" s="284"/>
      <c r="CP149" s="284"/>
      <c r="CQ149" s="284"/>
      <c r="CR149" s="284"/>
      <c r="CS149" s="284"/>
      <c r="CT149" s="284"/>
      <c r="CU149" s="284"/>
      <c r="CV149" s="284"/>
      <c r="CW149" s="284"/>
      <c r="CX149" s="284"/>
      <c r="CY149" s="284"/>
      <c r="CZ149" s="202"/>
      <c r="DB149" s="142"/>
      <c r="DC149" s="143"/>
    </row>
    <row r="150" spans="2:107">
      <c r="B150" s="242" t="s">
        <v>137</v>
      </c>
      <c r="C150" s="372">
        <v>3000</v>
      </c>
      <c r="D150" s="203">
        <v>500</v>
      </c>
      <c r="E150" s="144"/>
      <c r="F150" s="144"/>
      <c r="G150" s="144"/>
      <c r="H150" s="147"/>
      <c r="I150" s="147"/>
      <c r="J150" s="147"/>
      <c r="K150" s="144"/>
      <c r="L150" s="144"/>
      <c r="M150" s="147"/>
      <c r="N150" s="147"/>
      <c r="O150" s="369"/>
      <c r="P150" s="225"/>
      <c r="Q150" s="147"/>
      <c r="R150" s="147"/>
      <c r="S150" s="146"/>
      <c r="T150" s="203"/>
      <c r="U150" s="147"/>
      <c r="V150" s="147"/>
      <c r="W150" s="147"/>
      <c r="X150" s="147"/>
      <c r="Y150" s="147"/>
      <c r="Z150" s="147"/>
      <c r="AA150" s="144">
        <v>4000</v>
      </c>
      <c r="AB150" s="369"/>
      <c r="AC150" s="373"/>
      <c r="AE150" s="294">
        <f>2000+3000</f>
        <v>5000</v>
      </c>
      <c r="AF150" s="144">
        <f>3000+6000</f>
        <v>9000</v>
      </c>
      <c r="AG150" s="147"/>
      <c r="AH150" s="147"/>
      <c r="AI150" s="147"/>
      <c r="AJ150" s="147"/>
      <c r="AK150" s="147"/>
      <c r="AL150" s="147"/>
      <c r="AM150" s="147"/>
      <c r="AN150" s="147"/>
      <c r="AO150" s="147"/>
      <c r="AP150" s="146"/>
      <c r="AQ150" s="369"/>
      <c r="AU150" s="225"/>
      <c r="AV150" s="147"/>
      <c r="AW150" s="144">
        <v>10000</v>
      </c>
      <c r="AX150" s="144">
        <f>15000+6000</f>
        <v>21000</v>
      </c>
      <c r="AY150" s="144">
        <f>10000+5000</f>
        <v>15000</v>
      </c>
      <c r="AZ150" s="144">
        <f>10000+3500</f>
        <v>13500</v>
      </c>
      <c r="BA150" s="147"/>
      <c r="BB150" s="144">
        <f>-10000</f>
        <v>-10000</v>
      </c>
      <c r="BC150" s="144">
        <f>-15000</f>
        <v>-15000</v>
      </c>
      <c r="BD150" s="147"/>
      <c r="BE150" s="147"/>
      <c r="BF150" s="144">
        <v>12000</v>
      </c>
      <c r="BG150" s="148">
        <f>SUM(AU150:BF150)</f>
        <v>46500</v>
      </c>
      <c r="BH150" s="208"/>
      <c r="BJ150" s="294">
        <f>4000</f>
        <v>4000</v>
      </c>
      <c r="BK150" s="144">
        <f>3000+20000+10000</f>
        <v>33000</v>
      </c>
      <c r="BL150" s="147"/>
      <c r="BM150" s="147"/>
      <c r="BN150" s="144">
        <f>10000+2000</f>
        <v>12000</v>
      </c>
      <c r="BO150" s="144">
        <f>3000+2000</f>
        <v>5000</v>
      </c>
      <c r="BP150" s="144">
        <f>3000+10000</f>
        <v>13000</v>
      </c>
      <c r="BQ150" s="144">
        <v>-20000</v>
      </c>
      <c r="BR150" s="144">
        <v>2000</v>
      </c>
      <c r="BS150" s="169">
        <f>1000</f>
        <v>1000</v>
      </c>
      <c r="BT150" s="169"/>
      <c r="BU150" s="169"/>
      <c r="BV150" s="369"/>
      <c r="BY150" s="228">
        <v>20000</v>
      </c>
      <c r="BZ150" s="169"/>
      <c r="CA150" s="169"/>
      <c r="CB150" s="169"/>
      <c r="CC150" s="169">
        <v>25000</v>
      </c>
      <c r="CD150" s="169"/>
      <c r="CE150" s="169">
        <v>-25000</v>
      </c>
      <c r="CF150" s="169"/>
      <c r="CG150" s="169">
        <v>-22000</v>
      </c>
      <c r="CH150" s="169">
        <v>-32000</v>
      </c>
      <c r="CI150" s="169">
        <v>-23000</v>
      </c>
      <c r="CJ150" s="160"/>
      <c r="CK150" s="369"/>
      <c r="CN150" s="228"/>
      <c r="CO150" s="169"/>
      <c r="CP150" s="169"/>
      <c r="CQ150" s="169"/>
      <c r="CR150" s="169"/>
      <c r="CS150" s="169"/>
      <c r="CT150" s="169"/>
      <c r="CU150" s="169"/>
      <c r="CV150" s="169"/>
      <c r="CW150" s="169"/>
      <c r="CX150" s="169"/>
      <c r="CY150" s="160"/>
      <c r="CZ150" s="369"/>
      <c r="DB150" s="374"/>
      <c r="DC150" s="143"/>
    </row>
    <row r="151" spans="2:107">
      <c r="B151" s="364" t="s">
        <v>142</v>
      </c>
      <c r="C151" s="165">
        <f>+C150</f>
        <v>3000</v>
      </c>
      <c r="D151" s="165">
        <f>C151+D150</f>
        <v>3500</v>
      </c>
      <c r="E151" s="165">
        <f t="shared" ref="E151:N151" si="489">D151+E150</f>
        <v>3500</v>
      </c>
      <c r="F151" s="165">
        <f t="shared" si="489"/>
        <v>3500</v>
      </c>
      <c r="G151" s="165">
        <f t="shared" si="489"/>
        <v>3500</v>
      </c>
      <c r="H151" s="165">
        <f>G151+H150</f>
        <v>3500</v>
      </c>
      <c r="I151" s="165">
        <f>H151+I150</f>
        <v>3500</v>
      </c>
      <c r="J151" s="165">
        <f>I151+J150</f>
        <v>3500</v>
      </c>
      <c r="K151" s="165">
        <f t="shared" si="489"/>
        <v>3500</v>
      </c>
      <c r="L151" s="165">
        <f t="shared" si="489"/>
        <v>3500</v>
      </c>
      <c r="M151" s="165">
        <f t="shared" si="489"/>
        <v>3500</v>
      </c>
      <c r="N151" s="165">
        <f t="shared" si="489"/>
        <v>3500</v>
      </c>
      <c r="O151" s="249">
        <f>N151</f>
        <v>3500</v>
      </c>
      <c r="P151" s="250">
        <f>N151+P150</f>
        <v>3500</v>
      </c>
      <c r="Q151" s="165">
        <f t="shared" ref="Q151" si="490">P151+Q150</f>
        <v>3500</v>
      </c>
      <c r="R151" s="165">
        <f t="shared" ref="R151" si="491">Q151+R150</f>
        <v>3500</v>
      </c>
      <c r="S151" s="165">
        <f t="shared" ref="S151" si="492">R151+S150</f>
        <v>3500</v>
      </c>
      <c r="T151" s="165">
        <f t="shared" ref="T151" si="493">S151+T150</f>
        <v>3500</v>
      </c>
      <c r="U151" s="165">
        <f t="shared" ref="U151" si="494">T151+U150</f>
        <v>3500</v>
      </c>
      <c r="V151" s="165">
        <f t="shared" ref="V151" si="495">U151+V150</f>
        <v>3500</v>
      </c>
      <c r="W151" s="165">
        <f t="shared" ref="W151" si="496">V151+W150</f>
        <v>3500</v>
      </c>
      <c r="X151" s="165">
        <f t="shared" ref="X151" si="497">W151+X150</f>
        <v>3500</v>
      </c>
      <c r="Y151" s="165">
        <f t="shared" ref="Y151" si="498">X151+Y150</f>
        <v>3500</v>
      </c>
      <c r="Z151" s="165">
        <f t="shared" ref="Z151" si="499">Y151+Z150</f>
        <v>3500</v>
      </c>
      <c r="AA151" s="165">
        <f t="shared" ref="AA151" si="500">Z151+AA150</f>
        <v>7500</v>
      </c>
      <c r="AB151" s="249">
        <f>AA151</f>
        <v>7500</v>
      </c>
      <c r="AC151" s="317"/>
      <c r="AE151" s="250">
        <f>AA151+AE150</f>
        <v>12500</v>
      </c>
      <c r="AF151" s="165">
        <f t="shared" ref="AF151" si="501">AE151+AF150</f>
        <v>21500</v>
      </c>
      <c r="AG151" s="165">
        <f t="shared" ref="AG151" si="502">AF151+AG150</f>
        <v>21500</v>
      </c>
      <c r="AH151" s="165">
        <f t="shared" ref="AH151" si="503">AG151+AH150</f>
        <v>21500</v>
      </c>
      <c r="AI151" s="165">
        <f t="shared" ref="AI151" si="504">AH151+AI150</f>
        <v>21500</v>
      </c>
      <c r="AJ151" s="165">
        <f t="shared" ref="AJ151" si="505">AI151+AJ150</f>
        <v>21500</v>
      </c>
      <c r="AK151" s="165">
        <f>AJ151+AK150</f>
        <v>21500</v>
      </c>
      <c r="AL151" s="165">
        <f>AK151+AL150</f>
        <v>21500</v>
      </c>
      <c r="AM151" s="165">
        <f>AL151+AM150</f>
        <v>21500</v>
      </c>
      <c r="AN151" s="165">
        <f t="shared" ref="AN151" si="506">AM151+AN150</f>
        <v>21500</v>
      </c>
      <c r="AO151" s="165">
        <f t="shared" ref="AO151" si="507">AN151+AO150</f>
        <v>21500</v>
      </c>
      <c r="AP151" s="165">
        <f t="shared" ref="AP151" si="508">AO151+AP150</f>
        <v>21500</v>
      </c>
      <c r="AQ151" s="249">
        <f>AP151</f>
        <v>21500</v>
      </c>
      <c r="AU151" s="250">
        <f>AP151+AU150</f>
        <v>21500</v>
      </c>
      <c r="AV151" s="165">
        <f t="shared" ref="AV151" si="509">AU151+AV150</f>
        <v>21500</v>
      </c>
      <c r="AW151" s="165">
        <f t="shared" ref="AW151" si="510">AV151+AW150</f>
        <v>31500</v>
      </c>
      <c r="AX151" s="165">
        <f t="shared" ref="AX151" si="511">AW151+AX150</f>
        <v>52500</v>
      </c>
      <c r="AY151" s="165">
        <f>AX151+AY150</f>
        <v>67500</v>
      </c>
      <c r="AZ151" s="165">
        <f>AY151+AZ150</f>
        <v>81000</v>
      </c>
      <c r="BA151" s="165">
        <f t="shared" ref="BA151" si="512">AZ151+BA150</f>
        <v>81000</v>
      </c>
      <c r="BB151" s="165">
        <f t="shared" ref="BB151" si="513">BA151+BB150</f>
        <v>71000</v>
      </c>
      <c r="BC151" s="165">
        <f t="shared" ref="BC151" si="514">BB151+BC150</f>
        <v>56000</v>
      </c>
      <c r="BD151" s="165">
        <f t="shared" ref="BD151" si="515">BC151+BD150</f>
        <v>56000</v>
      </c>
      <c r="BE151" s="165">
        <f t="shared" ref="BE151" si="516">BD151+BE150</f>
        <v>56000</v>
      </c>
      <c r="BF151" s="165">
        <f t="shared" ref="BF151" si="517">BE151+BF150</f>
        <v>68000</v>
      </c>
      <c r="BG151" s="249">
        <f>BF151</f>
        <v>68000</v>
      </c>
      <c r="BH151" s="168"/>
      <c r="BI151" s="513"/>
      <c r="BJ151" s="250">
        <f>BF151+BJ150</f>
        <v>72000</v>
      </c>
      <c r="BK151" s="165">
        <f t="shared" ref="BK151" si="518">BJ151+BK150</f>
        <v>105000</v>
      </c>
      <c r="BL151" s="165">
        <f t="shared" ref="BL151" si="519">BK151+BL150</f>
        <v>105000</v>
      </c>
      <c r="BM151" s="165">
        <f t="shared" ref="BM151" si="520">BL151+BM150</f>
        <v>105000</v>
      </c>
      <c r="BN151" s="165">
        <f t="shared" ref="BN151" si="521">BM151+BN150</f>
        <v>117000</v>
      </c>
      <c r="BO151" s="165">
        <f t="shared" ref="BO151" si="522">BN151+BO150</f>
        <v>122000</v>
      </c>
      <c r="BP151" s="165">
        <f t="shared" ref="BP151" si="523">BO151+BP150</f>
        <v>135000</v>
      </c>
      <c r="BQ151" s="165">
        <f t="shared" ref="BQ151" si="524">BP151+BQ150</f>
        <v>115000</v>
      </c>
      <c r="BR151" s="165">
        <f t="shared" ref="BR151" si="525">BQ151+BR150</f>
        <v>117000</v>
      </c>
      <c r="BS151" s="168">
        <f t="shared" ref="BS151" si="526">BR151+BS150</f>
        <v>118000</v>
      </c>
      <c r="BT151" s="168">
        <f t="shared" ref="BT151" si="527">BS151+BT150</f>
        <v>118000</v>
      </c>
      <c r="BU151" s="168">
        <f t="shared" ref="BU151" si="528">BT151+BU150</f>
        <v>118000</v>
      </c>
      <c r="BV151" s="249">
        <f>BU151</f>
        <v>118000</v>
      </c>
      <c r="BY151" s="252">
        <f>BU151+BY150</f>
        <v>138000</v>
      </c>
      <c r="BZ151" s="168">
        <f t="shared" ref="BZ151" si="529">BY151+BZ150</f>
        <v>138000</v>
      </c>
      <c r="CA151" s="168">
        <f t="shared" ref="CA151" si="530">BZ151+CA150</f>
        <v>138000</v>
      </c>
      <c r="CB151" s="168">
        <f t="shared" ref="CB151" si="531">CA151+CB150</f>
        <v>138000</v>
      </c>
      <c r="CC151" s="168">
        <f t="shared" ref="CC151" si="532">CB151+CC150</f>
        <v>163000</v>
      </c>
      <c r="CD151" s="168">
        <f t="shared" ref="CD151" si="533">CC151+CD150</f>
        <v>163000</v>
      </c>
      <c r="CE151" s="168">
        <f t="shared" ref="CE151" si="534">CD151+CE150</f>
        <v>138000</v>
      </c>
      <c r="CF151" s="168">
        <f t="shared" ref="CF151" si="535">CE151+CF150</f>
        <v>138000</v>
      </c>
      <c r="CG151" s="168">
        <f t="shared" ref="CG151" si="536">CF151+CG150</f>
        <v>116000</v>
      </c>
      <c r="CH151" s="168">
        <f t="shared" ref="CH151" si="537">CG151+CH150</f>
        <v>84000</v>
      </c>
      <c r="CI151" s="168">
        <f t="shared" ref="CI151" si="538">CH151+CI150</f>
        <v>61000</v>
      </c>
      <c r="CJ151" s="168">
        <f t="shared" ref="CJ151" si="539">CI151+CJ150</f>
        <v>61000</v>
      </c>
      <c r="CK151" s="249">
        <f>CJ151</f>
        <v>61000</v>
      </c>
      <c r="CN151" s="252">
        <f>CJ151+CN150</f>
        <v>61000</v>
      </c>
      <c r="CO151" s="168">
        <f t="shared" ref="CO151" si="540">CN151+CO150</f>
        <v>61000</v>
      </c>
      <c r="CP151" s="168">
        <f t="shared" ref="CP151" si="541">CO151+CP150</f>
        <v>61000</v>
      </c>
      <c r="CQ151" s="168">
        <f t="shared" ref="CQ151" si="542">CP151+CQ150</f>
        <v>61000</v>
      </c>
      <c r="CR151" s="168">
        <f t="shared" ref="CR151" si="543">CQ151+CR150</f>
        <v>61000</v>
      </c>
      <c r="CS151" s="168">
        <f t="shared" ref="CS151" si="544">CR151+CS150</f>
        <v>61000</v>
      </c>
      <c r="CT151" s="168">
        <f t="shared" ref="CT151" si="545">CS151+CT150</f>
        <v>61000</v>
      </c>
      <c r="CU151" s="168">
        <f t="shared" ref="CU151" si="546">CT151+CU150</f>
        <v>61000</v>
      </c>
      <c r="CV151" s="168">
        <f t="shared" ref="CV151" si="547">CU151+CV150</f>
        <v>61000</v>
      </c>
      <c r="CW151" s="168">
        <f t="shared" ref="CW151" si="548">CV151+CW150</f>
        <v>61000</v>
      </c>
      <c r="CX151" s="168">
        <f t="shared" ref="CX151" si="549">CW151+CX150</f>
        <v>61000</v>
      </c>
      <c r="CY151" s="168">
        <f t="shared" ref="CY151" si="550">CX151+CY150</f>
        <v>61000</v>
      </c>
      <c r="CZ151" s="249">
        <f>CY151</f>
        <v>61000</v>
      </c>
      <c r="DB151" s="375"/>
      <c r="DC151" s="213"/>
    </row>
    <row r="152" spans="2:107">
      <c r="B152" s="361" t="s">
        <v>144</v>
      </c>
      <c r="C152" s="146"/>
      <c r="D152" s="146"/>
      <c r="E152" s="146"/>
      <c r="F152" s="146"/>
      <c r="G152" s="146"/>
      <c r="H152" s="146"/>
      <c r="I152" s="146"/>
      <c r="J152" s="146"/>
      <c r="K152" s="146"/>
      <c r="L152" s="146"/>
      <c r="M152" s="146"/>
      <c r="N152" s="146"/>
      <c r="O152" s="202"/>
      <c r="P152" s="243"/>
      <c r="Q152" s="146"/>
      <c r="R152" s="146"/>
      <c r="S152" s="146"/>
      <c r="T152" s="146"/>
      <c r="U152" s="146"/>
      <c r="V152" s="146"/>
      <c r="W152" s="146"/>
      <c r="X152" s="146"/>
      <c r="Y152" s="146"/>
      <c r="Z152" s="146"/>
      <c r="AA152" s="146"/>
      <c r="AB152" s="202"/>
      <c r="AE152" s="243"/>
      <c r="AF152" s="146"/>
      <c r="AG152" s="146"/>
      <c r="AH152" s="146"/>
      <c r="AI152" s="146"/>
      <c r="AJ152" s="146"/>
      <c r="AK152" s="146"/>
      <c r="AL152" s="146"/>
      <c r="AM152" s="146"/>
      <c r="AN152" s="146"/>
      <c r="AO152" s="146"/>
      <c r="AP152" s="146"/>
      <c r="AQ152" s="202"/>
      <c r="AU152" s="243"/>
      <c r="AV152" s="146"/>
      <c r="AW152" s="146"/>
      <c r="AX152" s="146"/>
      <c r="AY152" s="146"/>
      <c r="AZ152" s="146"/>
      <c r="BA152" s="146"/>
      <c r="BB152" s="146"/>
      <c r="BC152" s="146"/>
      <c r="BD152" s="146"/>
      <c r="BE152" s="146"/>
      <c r="BF152" s="146"/>
      <c r="BG152" s="202"/>
      <c r="BH152" s="160"/>
      <c r="BJ152" s="243"/>
      <c r="BK152" s="146"/>
      <c r="BL152" s="146"/>
      <c r="BM152" s="146"/>
      <c r="BN152" s="146"/>
      <c r="BO152" s="146"/>
      <c r="BP152" s="146"/>
      <c r="BQ152" s="146"/>
      <c r="BR152" s="146"/>
      <c r="BS152" s="160"/>
      <c r="BT152" s="160"/>
      <c r="BU152" s="160"/>
      <c r="BV152" s="202"/>
      <c r="BY152" s="268"/>
      <c r="BZ152" s="160"/>
      <c r="CA152" s="160"/>
      <c r="CB152" s="160"/>
      <c r="CC152" s="160"/>
      <c r="CD152" s="160"/>
      <c r="CE152" s="160"/>
      <c r="CF152" s="160"/>
      <c r="CG152" s="160"/>
      <c r="CH152" s="160"/>
      <c r="CI152" s="160"/>
      <c r="CJ152" s="160"/>
      <c r="CK152" s="202"/>
      <c r="CN152" s="268"/>
      <c r="CO152" s="160"/>
      <c r="CP152" s="160"/>
      <c r="CQ152" s="160"/>
      <c r="CR152" s="160"/>
      <c r="CS152" s="160"/>
      <c r="CT152" s="160"/>
      <c r="CU152" s="160"/>
      <c r="CV152" s="160"/>
      <c r="CW152" s="160"/>
      <c r="CX152" s="160"/>
      <c r="CY152" s="160"/>
      <c r="CZ152" s="202"/>
    </row>
    <row r="153" spans="2:107">
      <c r="B153" s="242" t="s">
        <v>137</v>
      </c>
      <c r="C153" s="146"/>
      <c r="D153" s="146"/>
      <c r="E153" s="146"/>
      <c r="F153" s="146"/>
      <c r="G153" s="146"/>
      <c r="H153" s="146"/>
      <c r="I153" s="146"/>
      <c r="J153" s="146"/>
      <c r="K153" s="146"/>
      <c r="L153" s="203"/>
      <c r="M153" s="146"/>
      <c r="N153" s="146"/>
      <c r="O153" s="369"/>
      <c r="P153" s="370"/>
      <c r="Q153" s="146"/>
      <c r="R153" s="146"/>
      <c r="S153" s="146"/>
      <c r="T153" s="146"/>
      <c r="U153" s="146"/>
      <c r="V153" s="146"/>
      <c r="W153" s="146"/>
      <c r="X153" s="146"/>
      <c r="Y153" s="146"/>
      <c r="Z153" s="146"/>
      <c r="AA153" s="146"/>
      <c r="AB153" s="369"/>
      <c r="AE153" s="247"/>
      <c r="AF153" s="146"/>
      <c r="AG153" s="146"/>
      <c r="AH153" s="146"/>
      <c r="AI153" s="146"/>
      <c r="AJ153" s="146"/>
      <c r="AK153" s="146"/>
      <c r="AL153" s="146"/>
      <c r="AM153" s="146"/>
      <c r="AN153" s="146"/>
      <c r="AO153" s="146"/>
      <c r="AP153" s="146"/>
      <c r="AQ153" s="369"/>
      <c r="AU153" s="225"/>
      <c r="AV153" s="146"/>
      <c r="AW153" s="146"/>
      <c r="AX153" s="146"/>
      <c r="AY153" s="146"/>
      <c r="AZ153" s="146"/>
      <c r="BA153" s="146"/>
      <c r="BB153" s="146"/>
      <c r="BC153" s="146"/>
      <c r="BD153" s="146"/>
      <c r="BE153" s="146"/>
      <c r="BF153" s="146"/>
      <c r="BG153" s="369"/>
      <c r="BH153" s="208"/>
      <c r="BJ153" s="225"/>
      <c r="BK153" s="146"/>
      <c r="BL153" s="146"/>
      <c r="BM153" s="146"/>
      <c r="BN153" s="146"/>
      <c r="BO153" s="146"/>
      <c r="BP153" s="146"/>
      <c r="BQ153" s="146"/>
      <c r="BR153" s="146"/>
      <c r="BS153" s="160"/>
      <c r="BT153" s="160"/>
      <c r="BU153" s="160"/>
      <c r="BV153" s="369"/>
      <c r="BY153" s="228"/>
      <c r="BZ153" s="160"/>
      <c r="CA153" s="160"/>
      <c r="CB153" s="160"/>
      <c r="CC153" s="160"/>
      <c r="CD153" s="160"/>
      <c r="CE153" s="160"/>
      <c r="CF153" s="160"/>
      <c r="CG153" s="160"/>
      <c r="CH153" s="160"/>
      <c r="CI153" s="160"/>
      <c r="CJ153" s="160"/>
      <c r="CK153" s="369"/>
      <c r="CN153" s="228"/>
      <c r="CO153" s="160"/>
      <c r="CP153" s="160"/>
      <c r="CQ153" s="160"/>
      <c r="CR153" s="160"/>
      <c r="CS153" s="160"/>
      <c r="CT153" s="160"/>
      <c r="CU153" s="160"/>
      <c r="CV153" s="160"/>
      <c r="CW153" s="160"/>
      <c r="CX153" s="160"/>
      <c r="CY153" s="160"/>
      <c r="CZ153" s="369"/>
    </row>
    <row r="154" spans="2:107" s="377" customFormat="1">
      <c r="B154" s="376" t="s">
        <v>145</v>
      </c>
      <c r="C154" s="165"/>
      <c r="D154" s="165"/>
      <c r="E154" s="165"/>
      <c r="F154" s="165"/>
      <c r="G154" s="165"/>
      <c r="H154" s="165"/>
      <c r="I154" s="165"/>
      <c r="J154" s="165"/>
      <c r="K154" s="165"/>
      <c r="L154" s="165"/>
      <c r="M154" s="165"/>
      <c r="N154" s="165"/>
      <c r="O154" s="249">
        <f t="shared" ref="O154" si="551">N154+O153</f>
        <v>0</v>
      </c>
      <c r="P154" s="250">
        <f>O154+P153</f>
        <v>0</v>
      </c>
      <c r="Q154" s="165">
        <f>P154+Q153</f>
        <v>0</v>
      </c>
      <c r="R154" s="165">
        <f t="shared" ref="R154:AA154" si="552">Q154+R153</f>
        <v>0</v>
      </c>
      <c r="S154" s="165">
        <f t="shared" si="552"/>
        <v>0</v>
      </c>
      <c r="T154" s="165">
        <f t="shared" si="552"/>
        <v>0</v>
      </c>
      <c r="U154" s="165">
        <f t="shared" si="552"/>
        <v>0</v>
      </c>
      <c r="V154" s="165">
        <f t="shared" si="552"/>
        <v>0</v>
      </c>
      <c r="W154" s="165">
        <f t="shared" si="552"/>
        <v>0</v>
      </c>
      <c r="X154" s="165">
        <f t="shared" si="552"/>
        <v>0</v>
      </c>
      <c r="Y154" s="165">
        <f t="shared" si="552"/>
        <v>0</v>
      </c>
      <c r="Z154" s="165">
        <f t="shared" si="552"/>
        <v>0</v>
      </c>
      <c r="AA154" s="165">
        <f t="shared" si="552"/>
        <v>0</v>
      </c>
      <c r="AB154" s="249">
        <f>AA154+AB153</f>
        <v>0</v>
      </c>
      <c r="AC154" s="127"/>
      <c r="AD154" s="127"/>
      <c r="AE154" s="250">
        <f>AB154+AE153</f>
        <v>0</v>
      </c>
      <c r="AF154" s="165">
        <f>AE154+AF153</f>
        <v>0</v>
      </c>
      <c r="AG154" s="165">
        <f t="shared" ref="AG154:AQ154" si="553">AF154+AG153</f>
        <v>0</v>
      </c>
      <c r="AH154" s="165">
        <f t="shared" si="553"/>
        <v>0</v>
      </c>
      <c r="AI154" s="165">
        <f t="shared" si="553"/>
        <v>0</v>
      </c>
      <c r="AJ154" s="165">
        <f t="shared" si="553"/>
        <v>0</v>
      </c>
      <c r="AK154" s="165">
        <f t="shared" si="553"/>
        <v>0</v>
      </c>
      <c r="AL154" s="165">
        <f t="shared" si="553"/>
        <v>0</v>
      </c>
      <c r="AM154" s="165">
        <f t="shared" si="553"/>
        <v>0</v>
      </c>
      <c r="AN154" s="165">
        <f t="shared" si="553"/>
        <v>0</v>
      </c>
      <c r="AO154" s="165">
        <f t="shared" si="553"/>
        <v>0</v>
      </c>
      <c r="AP154" s="165">
        <f t="shared" si="553"/>
        <v>0</v>
      </c>
      <c r="AQ154" s="249">
        <f t="shared" si="553"/>
        <v>0</v>
      </c>
      <c r="AR154" s="127"/>
      <c r="AS154" s="129"/>
      <c r="AT154" s="127"/>
      <c r="AU154" s="250">
        <f>AQ154+AU153</f>
        <v>0</v>
      </c>
      <c r="AV154" s="165">
        <f>AU154+AV153</f>
        <v>0</v>
      </c>
      <c r="AW154" s="165">
        <f t="shared" ref="AW154" si="554">AV154+AW153</f>
        <v>0</v>
      </c>
      <c r="AX154" s="165">
        <f t="shared" ref="AX154" si="555">AW154+AX153</f>
        <v>0</v>
      </c>
      <c r="AY154" s="165">
        <f t="shared" ref="AY154" si="556">AX154+AY153</f>
        <v>0</v>
      </c>
      <c r="AZ154" s="165">
        <f t="shared" ref="AZ154" si="557">AY154+AZ153</f>
        <v>0</v>
      </c>
      <c r="BA154" s="165">
        <f t="shared" ref="BA154" si="558">AZ154+BA153</f>
        <v>0</v>
      </c>
      <c r="BB154" s="165">
        <f t="shared" ref="BB154" si="559">BA154+BB153</f>
        <v>0</v>
      </c>
      <c r="BC154" s="165">
        <f t="shared" ref="BC154" si="560">BB154+BC153</f>
        <v>0</v>
      </c>
      <c r="BD154" s="165">
        <f t="shared" ref="BD154" si="561">BC154+BD153</f>
        <v>0</v>
      </c>
      <c r="BE154" s="165">
        <f t="shared" ref="BE154" si="562">BD154+BE153</f>
        <v>0</v>
      </c>
      <c r="BF154" s="165">
        <f t="shared" ref="BF154" si="563">BE154+BF153</f>
        <v>0</v>
      </c>
      <c r="BG154" s="249">
        <f t="shared" ref="BG154" si="564">BF154+BG153</f>
        <v>0</v>
      </c>
      <c r="BH154" s="168"/>
      <c r="BJ154" s="250">
        <f>BG154+BJ153</f>
        <v>0</v>
      </c>
      <c r="BK154" s="165">
        <f>BJ154+BK153</f>
        <v>0</v>
      </c>
      <c r="BL154" s="165">
        <f t="shared" ref="BL154" si="565">BK154+BL153</f>
        <v>0</v>
      </c>
      <c r="BM154" s="165">
        <f t="shared" ref="BM154" si="566">BL154+BM153</f>
        <v>0</v>
      </c>
      <c r="BN154" s="165">
        <f t="shared" ref="BN154" si="567">BM154+BN153</f>
        <v>0</v>
      </c>
      <c r="BO154" s="165">
        <f t="shared" ref="BO154" si="568">BN154+BO153</f>
        <v>0</v>
      </c>
      <c r="BP154" s="165">
        <f t="shared" ref="BP154" si="569">BO154+BP153</f>
        <v>0</v>
      </c>
      <c r="BQ154" s="165">
        <f t="shared" ref="BQ154" si="570">BP154+BQ153</f>
        <v>0</v>
      </c>
      <c r="BR154" s="165">
        <f t="shared" ref="BR154" si="571">BQ154+BR153</f>
        <v>0</v>
      </c>
      <c r="BS154" s="168">
        <f t="shared" ref="BS154" si="572">BR154+BS153</f>
        <v>0</v>
      </c>
      <c r="BT154" s="168">
        <f t="shared" ref="BT154" si="573">BS154+BT153</f>
        <v>0</v>
      </c>
      <c r="BU154" s="168">
        <f t="shared" ref="BU154" si="574">BT154+BU153</f>
        <v>0</v>
      </c>
      <c r="BV154" s="249">
        <f t="shared" ref="BV154" si="575">BU154+BV153</f>
        <v>0</v>
      </c>
      <c r="BY154" s="252">
        <f>BV154+BY153</f>
        <v>0</v>
      </c>
      <c r="BZ154" s="168">
        <f>BY154+BZ153</f>
        <v>0</v>
      </c>
      <c r="CA154" s="168">
        <f t="shared" ref="CA154" si="576">BZ154+CA153</f>
        <v>0</v>
      </c>
      <c r="CB154" s="168">
        <f t="shared" ref="CB154" si="577">CA154+CB153</f>
        <v>0</v>
      </c>
      <c r="CC154" s="168">
        <f t="shared" ref="CC154" si="578">CB154+CC153</f>
        <v>0</v>
      </c>
      <c r="CD154" s="168">
        <f t="shared" ref="CD154" si="579">CC154+CD153</f>
        <v>0</v>
      </c>
      <c r="CE154" s="168">
        <f t="shared" ref="CE154" si="580">CD154+CE153</f>
        <v>0</v>
      </c>
      <c r="CF154" s="168">
        <f t="shared" ref="CF154" si="581">CE154+CF153</f>
        <v>0</v>
      </c>
      <c r="CG154" s="168">
        <f t="shared" ref="CG154" si="582">CF154+CG153</f>
        <v>0</v>
      </c>
      <c r="CH154" s="168">
        <f t="shared" ref="CH154" si="583">CG154+CH153</f>
        <v>0</v>
      </c>
      <c r="CI154" s="168">
        <f t="shared" ref="CI154" si="584">CH154+CI153</f>
        <v>0</v>
      </c>
      <c r="CJ154" s="168">
        <f t="shared" ref="CJ154" si="585">CI154+CJ153</f>
        <v>0</v>
      </c>
      <c r="CK154" s="249">
        <f t="shared" ref="CK154" si="586">CJ154+CK153</f>
        <v>0</v>
      </c>
      <c r="CN154" s="252">
        <f>CK154+CN153</f>
        <v>0</v>
      </c>
      <c r="CO154" s="168">
        <f>CN154+CO153</f>
        <v>0</v>
      </c>
      <c r="CP154" s="168">
        <f t="shared" ref="CP154" si="587">CO154+CP153</f>
        <v>0</v>
      </c>
      <c r="CQ154" s="168">
        <f t="shared" ref="CQ154" si="588">CP154+CQ153</f>
        <v>0</v>
      </c>
      <c r="CR154" s="168">
        <f t="shared" ref="CR154" si="589">CQ154+CR153</f>
        <v>0</v>
      </c>
      <c r="CS154" s="168">
        <f t="shared" ref="CS154" si="590">CR154+CS153</f>
        <v>0</v>
      </c>
      <c r="CT154" s="168">
        <f t="shared" ref="CT154" si="591">CS154+CT153</f>
        <v>0</v>
      </c>
      <c r="CU154" s="168">
        <f t="shared" ref="CU154" si="592">CT154+CU153</f>
        <v>0</v>
      </c>
      <c r="CV154" s="168">
        <f t="shared" ref="CV154" si="593">CU154+CV153</f>
        <v>0</v>
      </c>
      <c r="CW154" s="168">
        <f t="shared" ref="CW154" si="594">CV154+CW153</f>
        <v>0</v>
      </c>
      <c r="CX154" s="168">
        <f t="shared" ref="CX154" si="595">CW154+CX153</f>
        <v>0</v>
      </c>
      <c r="CY154" s="168">
        <f t="shared" ref="CY154" si="596">CX154+CY153</f>
        <v>0</v>
      </c>
      <c r="CZ154" s="249">
        <f t="shared" ref="CZ154" si="597">CY154+CZ153</f>
        <v>0</v>
      </c>
    </row>
    <row r="155" spans="2:107">
      <c r="B155" s="265"/>
      <c r="C155" s="146"/>
      <c r="D155" s="146"/>
      <c r="E155" s="146"/>
      <c r="F155" s="146"/>
      <c r="G155" s="146"/>
      <c r="H155" s="146"/>
      <c r="I155" s="146"/>
      <c r="J155" s="146"/>
      <c r="K155" s="146"/>
      <c r="L155" s="146"/>
      <c r="M155" s="146"/>
      <c r="N155" s="146"/>
      <c r="O155" s="160"/>
      <c r="P155" s="146"/>
      <c r="Q155" s="146"/>
      <c r="R155" s="146"/>
      <c r="S155" s="146"/>
      <c r="T155" s="146"/>
      <c r="U155" s="146"/>
      <c r="V155" s="146"/>
      <c r="W155" s="146"/>
      <c r="X155" s="146"/>
      <c r="Y155" s="146"/>
      <c r="Z155" s="146"/>
      <c r="AA155" s="146"/>
      <c r="AB155" s="160"/>
      <c r="AE155" s="146"/>
      <c r="AF155" s="146"/>
      <c r="AG155" s="146"/>
      <c r="AH155" s="146"/>
      <c r="AI155" s="146"/>
      <c r="AJ155" s="146"/>
      <c r="AK155" s="146"/>
      <c r="AL155" s="146"/>
      <c r="AM155" s="146"/>
      <c r="AN155" s="146"/>
      <c r="AO155" s="146"/>
      <c r="AP155" s="146"/>
      <c r="AQ155" s="160"/>
      <c r="AU155" s="146"/>
      <c r="AV155" s="146"/>
      <c r="AW155" s="146"/>
      <c r="AX155" s="146"/>
      <c r="AY155" s="146"/>
      <c r="AZ155" s="146"/>
      <c r="BA155" s="146"/>
      <c r="BB155" s="146"/>
      <c r="BC155" s="146"/>
      <c r="BD155" s="146"/>
      <c r="BE155" s="146"/>
      <c r="BF155" s="146"/>
      <c r="BG155" s="160"/>
      <c r="BH155" s="160"/>
      <c r="BJ155" s="146"/>
      <c r="BK155" s="146"/>
      <c r="BL155" s="146"/>
      <c r="BM155" s="146"/>
      <c r="BN155" s="146"/>
      <c r="BO155" s="146"/>
      <c r="BP155" s="146"/>
      <c r="BQ155" s="146"/>
      <c r="BR155" s="146"/>
      <c r="BS155" s="160"/>
      <c r="BT155" s="160"/>
      <c r="BU155" s="160"/>
      <c r="BV155" s="160"/>
      <c r="BY155" s="160"/>
      <c r="BZ155" s="160"/>
      <c r="CA155" s="160"/>
      <c r="CB155" s="160"/>
      <c r="CC155" s="160"/>
      <c r="CD155" s="160"/>
      <c r="CE155" s="160"/>
      <c r="CF155" s="160"/>
      <c r="CG155" s="160"/>
      <c r="CH155" s="160"/>
      <c r="CI155" s="160"/>
      <c r="CJ155" s="160"/>
      <c r="CK155" s="160"/>
      <c r="CN155" s="160"/>
      <c r="CO155" s="160"/>
      <c r="CP155" s="160"/>
      <c r="CQ155" s="160"/>
      <c r="CR155" s="160"/>
      <c r="CS155" s="160"/>
      <c r="CT155" s="160"/>
      <c r="CU155" s="160"/>
      <c r="CV155" s="160"/>
      <c r="CW155" s="160"/>
      <c r="CX155" s="160"/>
      <c r="CY155" s="160"/>
      <c r="CZ155" s="160"/>
    </row>
    <row r="156" spans="2:107">
      <c r="B156" s="378" t="s">
        <v>31</v>
      </c>
      <c r="C156" s="203"/>
      <c r="D156" s="146"/>
      <c r="E156" s="146"/>
      <c r="F156" s="146"/>
      <c r="G156" s="146"/>
      <c r="H156" s="146"/>
      <c r="I156" s="146"/>
      <c r="J156" s="146"/>
      <c r="K156" s="146"/>
      <c r="L156" s="146"/>
      <c r="M156" s="146"/>
      <c r="N156" s="146"/>
      <c r="O156" s="160"/>
      <c r="P156" s="146"/>
      <c r="Q156" s="146"/>
      <c r="R156" s="146"/>
      <c r="S156" s="146"/>
      <c r="T156" s="146"/>
      <c r="U156" s="146"/>
      <c r="V156" s="146"/>
      <c r="W156" s="146"/>
      <c r="X156" s="146"/>
      <c r="Y156" s="146"/>
      <c r="Z156" s="146"/>
      <c r="AA156" s="146"/>
      <c r="AB156" s="160"/>
      <c r="AE156" s="146">
        <f>AB157+AE125+AE126+AE147+AE150+AE153</f>
        <v>1439.4900000000007</v>
      </c>
      <c r="AF156" s="146">
        <f>AE157+AF125+AF126+AF147+AF150+AF153</f>
        <v>29120.35</v>
      </c>
      <c r="AG156" s="146">
        <f t="shared" ref="AG156:AP156" si="598">AF157+AG125+AG126+AG147+AG150+AG153</f>
        <v>82937.25</v>
      </c>
      <c r="AH156" s="146">
        <f t="shared" si="598"/>
        <v>34295.480000000003</v>
      </c>
      <c r="AI156" s="146">
        <f t="shared" si="598"/>
        <v>39546.658200000013</v>
      </c>
      <c r="AJ156" s="146">
        <f t="shared" si="598"/>
        <v>29242.738200000007</v>
      </c>
      <c r="AK156" s="146">
        <f>AJ157+AK125+AK126+AK147+AK150+AK153</f>
        <v>10233.220300000008</v>
      </c>
      <c r="AL156" s="146">
        <f>AK157+AL125+AL126+AL147+AL150+AL153</f>
        <v>50082.830299999994</v>
      </c>
      <c r="AM156" s="146">
        <f>AL157+AM125+AM126+AM147+AM150+AM153</f>
        <v>107593.88530000001</v>
      </c>
      <c r="AN156" s="146">
        <f t="shared" si="598"/>
        <v>121374.75530000002</v>
      </c>
      <c r="AO156" s="146">
        <f t="shared" si="598"/>
        <v>88680.965299999996</v>
      </c>
      <c r="AP156" s="146">
        <f t="shared" si="598"/>
        <v>18727.765299999985</v>
      </c>
      <c r="AQ156" s="160"/>
      <c r="AU156" s="146">
        <f>AQ157+AU125+AU126+AU147+AU150+AU153</f>
        <v>31415.285299999985</v>
      </c>
      <c r="AV156" s="146">
        <f>AU157+AV125+AV126+AV147+AV150+AV153</f>
        <v>38727.13529999998</v>
      </c>
      <c r="AW156" s="146">
        <f t="shared" ref="AW156:BE156" si="599">AV157+AW125+AW126+AW147+AW150+AW153</f>
        <v>6463.8052999999782</v>
      </c>
      <c r="AX156" s="146">
        <f t="shared" si="599"/>
        <v>15473.645299999978</v>
      </c>
      <c r="AY156" s="146">
        <f>AX157+AY125+AY126+AY147+AY150+AY153</f>
        <v>8595.7052999999723</v>
      </c>
      <c r="AZ156" s="146">
        <f>AY157+AZ125+AZ126+AZ147+AZ150+AZ153</f>
        <v>25438.215299999978</v>
      </c>
      <c r="BA156" s="146">
        <f t="shared" si="599"/>
        <v>35364.99529999998</v>
      </c>
      <c r="BB156" s="146">
        <f t="shared" si="599"/>
        <v>42486.885299999965</v>
      </c>
      <c r="BC156" s="146">
        <f t="shared" si="599"/>
        <v>32000.475299999962</v>
      </c>
      <c r="BD156" s="146">
        <f t="shared" si="599"/>
        <v>11024.395299999967</v>
      </c>
      <c r="BE156" s="146">
        <f t="shared" si="599"/>
        <v>12738.005299999968</v>
      </c>
      <c r="BF156" s="146">
        <f>BE157+BF125+BF126+BF147+BF150+BF153</f>
        <v>34806.585299999962</v>
      </c>
      <c r="BG156" s="160"/>
      <c r="BH156" s="160"/>
      <c r="BJ156" s="146">
        <f>BG157+BJ125+BJ126+BJ147+BJ150+BJ153</f>
        <v>1566.7152999999598</v>
      </c>
      <c r="BK156" s="146">
        <f>BJ157+BK125+BK126+BK147+BK150+BK153</f>
        <v>29075.83529999997</v>
      </c>
      <c r="BL156" s="146">
        <f t="shared" ref="BL156" si="600">BK157+BL125+BL126+BL147+BL150+BL153</f>
        <v>28652.315299999966</v>
      </c>
      <c r="BM156" s="146">
        <f t="shared" ref="BM156" si="601">BL157+BM125+BM126+BM147+BM150+BM153</f>
        <v>2774.6652999999933</v>
      </c>
      <c r="BN156" s="146">
        <f t="shared" ref="BN156" si="602">BM157+BN125+BN126+BN147+BN150+BN153</f>
        <v>2563.2752999999921</v>
      </c>
      <c r="BO156" s="146">
        <f t="shared" ref="BO156" si="603">BN157+BO125+BO126+BO147+BO150+BO153</f>
        <v>17457.185299999983</v>
      </c>
      <c r="BP156" s="146">
        <f t="shared" ref="BP156" si="604">BO157+BP125+BP126+BP147+BP150+BP153</f>
        <v>7911.2752999999793</v>
      </c>
      <c r="BQ156" s="146">
        <f t="shared" ref="BQ156" si="605">BP157+BQ125+BQ126+BQ147+BQ150+BQ153</f>
        <v>30598.075299999982</v>
      </c>
      <c r="BR156" s="146">
        <f t="shared" ref="BR156" si="606">BQ157+BR125+BR126+BR147+BR150+BR153</f>
        <v>1640.7852999999814</v>
      </c>
      <c r="BS156" s="160">
        <f t="shared" ref="BS156" si="607">BR157+BS125+BS126+BS147+BS150+BS153</f>
        <v>-12226.254700000012</v>
      </c>
      <c r="BT156" s="160">
        <f t="shared" ref="BT156" si="608">BS157+BT125+BT126+BT147+BT150+BT153</f>
        <v>8205.1852999999792</v>
      </c>
      <c r="BU156" s="160">
        <f t="shared" ref="BU156" si="609">BT157+BU125+BU126+BU147+BU150+BU153</f>
        <v>27360.345299999979</v>
      </c>
      <c r="BV156" s="160"/>
      <c r="BY156" s="160">
        <f>BV157+BY125+BY126+BY147+BY150+BY153</f>
        <v>3309.0752999999822</v>
      </c>
      <c r="BZ156" s="160">
        <f>BY157+BZ125+BZ126+BZ147+BZ150+BZ153</f>
        <v>14060.275299999968</v>
      </c>
      <c r="CA156" s="160">
        <f t="shared" ref="CA156" si="610">BZ157+CA125+CA126+CA147+CA150+CA153</f>
        <v>9059.4852999999785</v>
      </c>
      <c r="CB156" s="160">
        <f t="shared" ref="CB156" si="611">CA157+CB125+CB126+CB147+CB150+CB153</f>
        <v>5553.51529999997</v>
      </c>
      <c r="CC156" s="160">
        <f t="shared" ref="CC156" si="612">CB157+CC125+CC126+CC147+CC150+CC153</f>
        <v>13046.635299999969</v>
      </c>
      <c r="CD156" s="160">
        <f t="shared" ref="CD156" si="613">CC157+CD125+CD126+CD147+CD150+CD153</f>
        <v>37701.685299999968</v>
      </c>
      <c r="CE156" s="160">
        <f t="shared" ref="CE156" si="614">CD157+CE125+CE126+CE147+CE150+CE153</f>
        <v>66237.845299999972</v>
      </c>
      <c r="CF156" s="160">
        <f t="shared" ref="CF156" si="615">CE157+CF125+CF126+CF147+CF150+CF153</f>
        <v>82596.775299999979</v>
      </c>
      <c r="CG156" s="160">
        <f t="shared" ref="CG156" si="616">CF157+CG125+CG126+CG147+CG150+CG153</f>
        <v>59644.445299999963</v>
      </c>
      <c r="CH156" s="160">
        <f t="shared" ref="CH156" si="617">CG157+CH125+CH126+CH147+CH150+CH153</f>
        <v>41010.775299999965</v>
      </c>
      <c r="CI156" s="160">
        <f t="shared" ref="CI156" si="618">CH157+CI125+CI126+CI147+CI150+CI153</f>
        <v>13494.455299999958</v>
      </c>
      <c r="CJ156" s="160">
        <f t="shared" ref="CJ156" si="619">CI157+CJ125+CJ126+CJ147+CJ150+CJ153</f>
        <v>28238.965299999974</v>
      </c>
      <c r="CK156" s="160"/>
      <c r="CN156" s="160">
        <f>CK157+CN125+CN126+CN147+CN150+CN153</f>
        <v>27440.05513333331</v>
      </c>
      <c r="CO156" s="160">
        <f>CN157+CO125+CO126+CO147+CO150+CO153</f>
        <v>55776.185133333318</v>
      </c>
      <c r="CP156" s="160">
        <f t="shared" ref="CP156" si="620">CO157+CP125+CP126+CP147+CP150+CP153</f>
        <v>65963.555133333313</v>
      </c>
      <c r="CQ156" s="160">
        <f t="shared" ref="CQ156" si="621">CP157+CQ125+CQ126+CQ147+CQ150+CQ153</f>
        <v>72237.37513333332</v>
      </c>
      <c r="CR156" s="160">
        <f t="shared" ref="CR156" si="622">CQ157+CR125+CR126+CR147+CR150+CR153</f>
        <v>59098.455133333307</v>
      </c>
      <c r="CS156" s="160">
        <f t="shared" ref="CS156" si="623">CR157+CS125+CS126+CS147+CS150+CS153</f>
        <v>86527.258996969656</v>
      </c>
      <c r="CT156" s="160">
        <f t="shared" ref="CT156" si="624">CS157+CT125+CT126+CT147+CT150+CT153</f>
        <v>162902.70549696969</v>
      </c>
      <c r="CU156" s="160">
        <f t="shared" ref="CU156" si="625">CT157+CU125+CU126+CU147+CU150+CU153</f>
        <v>197397.67549696966</v>
      </c>
      <c r="CV156" s="160">
        <f t="shared" ref="CV156" si="626">CU157+CV125+CV126+CV147+CV150+CV153</f>
        <v>191831.74549696967</v>
      </c>
      <c r="CW156" s="160">
        <f t="shared" ref="CW156" si="627">CV157+CW125+CW126+CW147+CW150+CW153</f>
        <v>193260.11897523052</v>
      </c>
      <c r="CX156" s="160">
        <f t="shared" ref="CX156" si="628">CW157+CX125+CX126+CX147+CX150+CX153</f>
        <v>206199.95897523052</v>
      </c>
      <c r="CY156" s="160">
        <f t="shared" ref="CY156" si="629">CX157+CY125+CY126+CY147+CY150+CY153</f>
        <v>225397.32897523051</v>
      </c>
      <c r="CZ156" s="160"/>
    </row>
    <row r="157" spans="2:107" s="217" customFormat="1" ht="15.75">
      <c r="B157" s="379" t="s">
        <v>146</v>
      </c>
      <c r="C157" s="380">
        <f>C127-C137+C143+C148+C151</f>
        <v>3000</v>
      </c>
      <c r="D157" s="380">
        <f t="shared" ref="D157:K157" si="630">D127-D137+D143+D148+D151</f>
        <v>3360.26</v>
      </c>
      <c r="E157" s="380">
        <f t="shared" si="630"/>
        <v>3359.41</v>
      </c>
      <c r="F157" s="380">
        <f t="shared" si="630"/>
        <v>3359.41</v>
      </c>
      <c r="G157" s="380">
        <f t="shared" si="630"/>
        <v>3346.56</v>
      </c>
      <c r="H157" s="380">
        <f t="shared" si="630"/>
        <v>2760.92</v>
      </c>
      <c r="I157" s="380">
        <f t="shared" si="630"/>
        <v>2862.92</v>
      </c>
      <c r="J157" s="380">
        <f t="shared" si="630"/>
        <v>2759.32</v>
      </c>
      <c r="K157" s="380">
        <f t="shared" si="630"/>
        <v>2605.34</v>
      </c>
      <c r="L157" s="380">
        <f t="shared" ref="L157:AB157" si="631">L127-L137+L143+L148+L151+L154</f>
        <v>2513.6800000000003</v>
      </c>
      <c r="M157" s="380">
        <f t="shared" si="631"/>
        <v>2410.9300000000003</v>
      </c>
      <c r="N157" s="380">
        <f t="shared" si="631"/>
        <v>2318.36</v>
      </c>
      <c r="O157" s="381">
        <f t="shared" si="631"/>
        <v>2318.36</v>
      </c>
      <c r="P157" s="355">
        <f t="shared" si="631"/>
        <v>2226.6999999999998</v>
      </c>
      <c r="Q157" s="380">
        <f t="shared" si="631"/>
        <v>2105.04</v>
      </c>
      <c r="R157" s="380">
        <f t="shared" si="631"/>
        <v>2013.3799999999999</v>
      </c>
      <c r="S157" s="380">
        <f t="shared" si="631"/>
        <v>1921.7199999999998</v>
      </c>
      <c r="T157" s="380">
        <f t="shared" si="631"/>
        <v>1800.0299999999997</v>
      </c>
      <c r="U157" s="380">
        <f t="shared" si="631"/>
        <v>1708.3399999999997</v>
      </c>
      <c r="V157" s="380">
        <f t="shared" si="631"/>
        <v>1611.4699999999998</v>
      </c>
      <c r="W157" s="380">
        <f t="shared" si="631"/>
        <v>1485.5399999999997</v>
      </c>
      <c r="X157" s="380">
        <f t="shared" si="631"/>
        <v>1329.5199999999995</v>
      </c>
      <c r="Y157" s="380">
        <f t="shared" si="631"/>
        <v>1046.8099999999995</v>
      </c>
      <c r="Z157" s="380">
        <f t="shared" si="631"/>
        <v>920.87999999999965</v>
      </c>
      <c r="AA157" s="380">
        <f>AA127-AA137+AA143+AA148+AA151+AA154</f>
        <v>1178.5999999999995</v>
      </c>
      <c r="AB157" s="382">
        <f t="shared" si="631"/>
        <v>1178.6000000000004</v>
      </c>
      <c r="AE157" s="355">
        <f>AE127-AE137+AE143+AE148+AE151+AE154</f>
        <v>1439.4899999999998</v>
      </c>
      <c r="AF157" s="172">
        <f t="shared" ref="AF157:AP157" si="632">AF127-AF137+AF143+AF148+AF151+AF154</f>
        <v>29120.35</v>
      </c>
      <c r="AG157" s="172">
        <f t="shared" si="632"/>
        <v>82937.25</v>
      </c>
      <c r="AH157" s="172">
        <f t="shared" si="632"/>
        <v>34295.480000000003</v>
      </c>
      <c r="AI157" s="172">
        <f t="shared" si="632"/>
        <v>39002.158200000005</v>
      </c>
      <c r="AJ157" s="172">
        <f>AJ127-AJ137+AJ143+AJ148+AJ151+AJ154</f>
        <v>18848.808200000007</v>
      </c>
      <c r="AK157" s="172">
        <f t="shared" si="632"/>
        <v>10233.220300000006</v>
      </c>
      <c r="AL157" s="172">
        <f t="shared" si="632"/>
        <v>48343.675300000003</v>
      </c>
      <c r="AM157" s="172">
        <f t="shared" si="632"/>
        <v>103480.98530000001</v>
      </c>
      <c r="AN157" s="172">
        <f t="shared" si="632"/>
        <v>121374.7553</v>
      </c>
      <c r="AO157" s="172">
        <f t="shared" si="632"/>
        <v>88680.965299999996</v>
      </c>
      <c r="AP157" s="479">
        <f t="shared" si="632"/>
        <v>18727.765299999985</v>
      </c>
      <c r="AQ157" s="173">
        <f>AP157</f>
        <v>18727.765299999985</v>
      </c>
      <c r="AS157" s="218"/>
      <c r="AU157" s="355">
        <f>AU127-AU137+AU143+AU148+AU151+AU154</f>
        <v>31415.285299999985</v>
      </c>
      <c r="AV157" s="172">
        <f>AV127-AV137+AV143+AV148+AV151+AV154</f>
        <v>38727.13529999998</v>
      </c>
      <c r="AW157" s="172">
        <f t="shared" ref="AW157:BE157" si="633">AW127-AW137+AW143+AW148+AW151+AW154</f>
        <v>9213.8052999999782</v>
      </c>
      <c r="AX157" s="172">
        <f t="shared" si="633"/>
        <v>15473.645299999975</v>
      </c>
      <c r="AY157" s="172">
        <f>AY127-AY137+AY143+AY148+AY151+AY154</f>
        <v>8971.2052999999796</v>
      </c>
      <c r="AZ157" s="172">
        <f t="shared" si="633"/>
        <v>27058.215299999982</v>
      </c>
      <c r="BA157" s="172">
        <f t="shared" si="633"/>
        <v>35364.99529999998</v>
      </c>
      <c r="BB157" s="172">
        <f t="shared" si="633"/>
        <v>42486.885299999965</v>
      </c>
      <c r="BC157" s="172">
        <f t="shared" si="633"/>
        <v>28331.99529999997</v>
      </c>
      <c r="BD157" s="172">
        <f t="shared" si="633"/>
        <v>14539.395299999967</v>
      </c>
      <c r="BE157" s="172">
        <f t="shared" si="633"/>
        <v>12738.005299999961</v>
      </c>
      <c r="BF157" s="172">
        <f>BF127-BF137+BF143+BF148+BF151+BF154</f>
        <v>34806.585299999962</v>
      </c>
      <c r="BG157" s="173">
        <f>BF157</f>
        <v>34806.585299999962</v>
      </c>
      <c r="BH157" s="179"/>
      <c r="BJ157" s="355">
        <f>BJ127-BJ137+BJ143+BJ148+BJ151+BJ154</f>
        <v>2916.7152999999671</v>
      </c>
      <c r="BK157" s="172">
        <f t="shared" ref="BK157:BU157" si="634">BK127-BK137+BK143+BK148+BK151+BK154</f>
        <v>31550.835299999962</v>
      </c>
      <c r="BL157" s="172">
        <f t="shared" si="634"/>
        <v>28902.315299999987</v>
      </c>
      <c r="BM157" s="172">
        <f t="shared" si="634"/>
        <v>3369.6652999999933</v>
      </c>
      <c r="BN157" s="172">
        <f t="shared" si="634"/>
        <v>2563.2752999999793</v>
      </c>
      <c r="BO157" s="172">
        <f t="shared" si="634"/>
        <v>17457.185299999983</v>
      </c>
      <c r="BP157" s="172">
        <f t="shared" si="634"/>
        <v>7061.2752999999793</v>
      </c>
      <c r="BQ157" s="172">
        <f t="shared" si="634"/>
        <v>29193.075299999982</v>
      </c>
      <c r="BR157" s="172">
        <f t="shared" si="634"/>
        <v>1640.7852999999886</v>
      </c>
      <c r="BS157" s="177">
        <f t="shared" si="634"/>
        <v>-13081.25470000002</v>
      </c>
      <c r="BT157" s="177">
        <f t="shared" si="634"/>
        <v>8205.1852999999828</v>
      </c>
      <c r="BU157" s="177">
        <f t="shared" si="634"/>
        <v>27360.345299999986</v>
      </c>
      <c r="BV157" s="173">
        <f>BU157</f>
        <v>27360.345299999986</v>
      </c>
      <c r="BY157" s="358">
        <f>BY127-BY137+BY143+BY148+BY151+BY154</f>
        <v>3309.0752999999677</v>
      </c>
      <c r="BZ157" s="177">
        <f t="shared" ref="BZ157:CJ157" si="635">BZ127-BZ137+BZ143+BZ148+BZ151+BZ154</f>
        <v>14060.275299999979</v>
      </c>
      <c r="CA157" s="177">
        <f t="shared" si="635"/>
        <v>9059.4852999999712</v>
      </c>
      <c r="CB157" s="177">
        <f t="shared" si="635"/>
        <v>5553.51529999997</v>
      </c>
      <c r="CC157" s="177">
        <f t="shared" si="635"/>
        <v>13046.635299999965</v>
      </c>
      <c r="CD157" s="177">
        <f t="shared" si="635"/>
        <v>37701.685299999968</v>
      </c>
      <c r="CE157" s="177">
        <f t="shared" si="635"/>
        <v>66237.845299999972</v>
      </c>
      <c r="CF157" s="177">
        <f t="shared" si="635"/>
        <v>82596.775299999965</v>
      </c>
      <c r="CG157" s="177">
        <f t="shared" si="635"/>
        <v>59644.445299999963</v>
      </c>
      <c r="CH157" s="177">
        <f t="shared" si="635"/>
        <v>41010.775299999965</v>
      </c>
      <c r="CI157" s="177">
        <f t="shared" si="635"/>
        <v>13494.455299999972</v>
      </c>
      <c r="CJ157" s="177">
        <f t="shared" si="635"/>
        <v>28238.965299999971</v>
      </c>
      <c r="CK157" s="173">
        <f>CJ157</f>
        <v>28238.965299999971</v>
      </c>
      <c r="CN157" s="358">
        <f>CN127-CN137+CN143+CN148+CN151+CN154</f>
        <v>27440.055133333306</v>
      </c>
      <c r="CO157" s="177">
        <f t="shared" ref="CO157:CY157" si="636">CO127-CO137+CO143+CO148+CO151+CO154</f>
        <v>55776.185133333318</v>
      </c>
      <c r="CP157" s="177">
        <f t="shared" si="636"/>
        <v>65963.555133333313</v>
      </c>
      <c r="CQ157" s="177">
        <f t="shared" si="636"/>
        <v>72237.375133333306</v>
      </c>
      <c r="CR157" s="177">
        <f t="shared" si="636"/>
        <v>59098.455133333307</v>
      </c>
      <c r="CS157" s="177">
        <f t="shared" si="636"/>
        <v>86527.258996969671</v>
      </c>
      <c r="CT157" s="177">
        <f t="shared" si="636"/>
        <v>162902.70549696966</v>
      </c>
      <c r="CU157" s="177">
        <f t="shared" si="636"/>
        <v>197397.67549696966</v>
      </c>
      <c r="CV157" s="177">
        <f t="shared" si="636"/>
        <v>191831.74549696967</v>
      </c>
      <c r="CW157" s="177">
        <f t="shared" si="636"/>
        <v>193260.11897523052</v>
      </c>
      <c r="CX157" s="177">
        <f t="shared" si="636"/>
        <v>206199.95897523052</v>
      </c>
      <c r="CY157" s="177">
        <f t="shared" si="636"/>
        <v>225397.32897523051</v>
      </c>
      <c r="CZ157" s="173">
        <f>CY157</f>
        <v>225397.32897523051</v>
      </c>
    </row>
    <row r="158" spans="2:107">
      <c r="B158" s="265" t="s">
        <v>147</v>
      </c>
      <c r="C158" s="383"/>
      <c r="D158" s="383"/>
      <c r="E158" s="383"/>
      <c r="F158" s="383"/>
      <c r="G158" s="383"/>
      <c r="H158" s="383"/>
      <c r="I158" s="383"/>
      <c r="J158" s="383"/>
      <c r="K158" s="383"/>
      <c r="L158" s="383"/>
      <c r="M158" s="384"/>
      <c r="N158" s="384"/>
      <c r="O158" s="208"/>
      <c r="P158" s="385"/>
      <c r="Q158" s="384"/>
      <c r="R158" s="384"/>
      <c r="S158" s="384"/>
      <c r="T158" s="384"/>
      <c r="U158" s="384"/>
      <c r="V158" s="384"/>
      <c r="W158" s="384"/>
      <c r="X158" s="384"/>
      <c r="Y158" s="384"/>
      <c r="Z158" s="384"/>
      <c r="AA158" s="384"/>
      <c r="AB158" s="208"/>
      <c r="AC158" s="566"/>
      <c r="AD158" s="566"/>
      <c r="AE158" s="294">
        <v>-9.67</v>
      </c>
      <c r="AF158" s="144">
        <v>-27.86</v>
      </c>
      <c r="AG158" s="384">
        <v>53.67</v>
      </c>
      <c r="AH158" s="384">
        <v>53.67</v>
      </c>
      <c r="AI158" s="384">
        <v>53.67</v>
      </c>
      <c r="AJ158" s="384">
        <v>51.97</v>
      </c>
      <c r="AK158" s="384">
        <v>105.67</v>
      </c>
      <c r="AL158" s="384">
        <v>105.67</v>
      </c>
      <c r="AM158" s="384">
        <v>28726.67</v>
      </c>
      <c r="AN158" s="384">
        <v>30003.41</v>
      </c>
      <c r="AO158" s="384">
        <v>31892.71</v>
      </c>
      <c r="AP158" s="385">
        <v>401.32</v>
      </c>
      <c r="AQ158" s="456"/>
      <c r="AR158" s="566"/>
      <c r="AS158" s="567"/>
      <c r="AT158" s="566"/>
      <c r="AU158" s="385">
        <v>921</v>
      </c>
      <c r="AV158" s="384">
        <v>14978.31</v>
      </c>
      <c r="AW158" s="384">
        <v>957.31</v>
      </c>
      <c r="AX158" s="384">
        <v>2913.34</v>
      </c>
      <c r="AY158" s="384">
        <v>199.29</v>
      </c>
      <c r="AZ158" s="384">
        <v>79.290000000000006</v>
      </c>
      <c r="BA158" s="384">
        <v>39.29</v>
      </c>
      <c r="BB158" s="384">
        <v>1347.93</v>
      </c>
      <c r="BC158" s="384">
        <v>1347.93</v>
      </c>
      <c r="BD158" s="384">
        <v>5885.51</v>
      </c>
      <c r="BE158" s="384">
        <v>5875.51</v>
      </c>
      <c r="BF158" s="384">
        <v>166.96</v>
      </c>
      <c r="BG158" s="387"/>
      <c r="BH158" s="208"/>
      <c r="BJ158" s="385">
        <v>126.96</v>
      </c>
      <c r="BK158" s="384">
        <v>18595.53</v>
      </c>
      <c r="BL158" s="384">
        <v>17889.95</v>
      </c>
      <c r="BM158" s="384">
        <v>215.55</v>
      </c>
      <c r="BN158" s="384">
        <v>205.55</v>
      </c>
      <c r="BO158" s="384">
        <v>205.55</v>
      </c>
      <c r="BP158" s="384">
        <v>40.56</v>
      </c>
      <c r="BQ158" s="384">
        <v>40.56</v>
      </c>
      <c r="BR158" s="384">
        <v>40.56</v>
      </c>
      <c r="BS158" s="389"/>
      <c r="BT158" s="389"/>
      <c r="BU158" s="389"/>
      <c r="BV158" s="387"/>
      <c r="BY158" s="388"/>
      <c r="BZ158" s="389"/>
      <c r="CA158" s="389"/>
      <c r="CB158" s="389"/>
      <c r="CC158" s="389"/>
      <c r="CD158" s="389"/>
      <c r="CE158" s="389"/>
      <c r="CF158" s="389"/>
      <c r="CG158" s="389"/>
      <c r="CH158" s="389"/>
      <c r="CI158" s="389"/>
      <c r="CJ158" s="389"/>
      <c r="CK158" s="387"/>
      <c r="CN158" s="388"/>
      <c r="CO158" s="389"/>
      <c r="CP158" s="389"/>
      <c r="CQ158" s="389"/>
      <c r="CR158" s="389"/>
      <c r="CS158" s="389"/>
      <c r="CT158" s="389"/>
      <c r="CU158" s="389"/>
      <c r="CV158" s="389"/>
      <c r="CW158" s="389"/>
      <c r="CX158" s="389"/>
      <c r="CY158" s="389"/>
      <c r="CZ158" s="387"/>
    </row>
    <row r="159" spans="2:107">
      <c r="B159" s="265" t="s">
        <v>148</v>
      </c>
      <c r="C159" s="383">
        <v>3000</v>
      </c>
      <c r="D159" s="384">
        <v>3360.26</v>
      </c>
      <c r="E159" s="384">
        <v>3359.41</v>
      </c>
      <c r="F159" s="384">
        <v>3359.41</v>
      </c>
      <c r="G159" s="384">
        <v>3346.56</v>
      </c>
      <c r="H159" s="384">
        <v>2760.92</v>
      </c>
      <c r="I159" s="384">
        <v>2862.92</v>
      </c>
      <c r="J159" s="384">
        <v>2759.32</v>
      </c>
      <c r="K159" s="384">
        <v>2605.34</v>
      </c>
      <c r="L159" s="384">
        <v>2513.6799999999998</v>
      </c>
      <c r="M159" s="384">
        <v>2410.9299999999998</v>
      </c>
      <c r="N159" s="384">
        <v>2318.36</v>
      </c>
      <c r="O159" s="208"/>
      <c r="P159" s="385">
        <v>2226.6999999999998</v>
      </c>
      <c r="Q159" s="385">
        <v>2105.04</v>
      </c>
      <c r="R159" s="385">
        <v>2013.38</v>
      </c>
      <c r="S159" s="385">
        <v>1921.72</v>
      </c>
      <c r="T159" s="385">
        <v>1800.03</v>
      </c>
      <c r="U159" s="385">
        <v>1708.34</v>
      </c>
      <c r="V159" s="385">
        <v>1611.47</v>
      </c>
      <c r="W159" s="385">
        <v>1485.54</v>
      </c>
      <c r="X159" s="385">
        <v>1329.52</v>
      </c>
      <c r="Y159" s="385">
        <v>1046.81</v>
      </c>
      <c r="Z159" s="385">
        <v>920.88</v>
      </c>
      <c r="AA159" s="385">
        <v>1178.5999999999999</v>
      </c>
      <c r="AB159" s="208"/>
      <c r="AC159" s="566"/>
      <c r="AD159" s="566"/>
      <c r="AE159" s="385">
        <v>1449.16</v>
      </c>
      <c r="AF159" s="384">
        <v>29148.21</v>
      </c>
      <c r="AG159" s="384">
        <v>82883.58</v>
      </c>
      <c r="AH159" s="384">
        <v>34241.81</v>
      </c>
      <c r="AI159" s="384">
        <v>36138.49</v>
      </c>
      <c r="AJ159" s="384">
        <v>16786.84</v>
      </c>
      <c r="AK159" s="384">
        <v>8792.5499999999993</v>
      </c>
      <c r="AL159" s="384">
        <v>47903.01</v>
      </c>
      <c r="AM159" s="384">
        <v>74324.320000000007</v>
      </c>
      <c r="AN159" s="384">
        <v>90946.35</v>
      </c>
      <c r="AO159" s="384">
        <v>56483.26</v>
      </c>
      <c r="AP159" s="385">
        <v>18021.45</v>
      </c>
      <c r="AQ159" s="208"/>
      <c r="AR159" s="566"/>
      <c r="AS159" s="567"/>
      <c r="AT159" s="566"/>
      <c r="AU159" s="385">
        <v>29979.29</v>
      </c>
      <c r="AV159" s="384">
        <v>23100.83</v>
      </c>
      <c r="AW159" s="384">
        <v>8218.5</v>
      </c>
      <c r="AX159" s="384">
        <v>12522.31</v>
      </c>
      <c r="AY159" s="384">
        <v>6795.92</v>
      </c>
      <c r="AZ159" s="384">
        <v>23832.93</v>
      </c>
      <c r="BA159" s="384">
        <v>32169.71</v>
      </c>
      <c r="BB159" s="384">
        <v>37982.959999999999</v>
      </c>
      <c r="BC159" s="384">
        <v>24988.07</v>
      </c>
      <c r="BD159" s="384">
        <v>8013.89</v>
      </c>
      <c r="BE159" s="384">
        <v>6222.5</v>
      </c>
      <c r="BF159" s="384">
        <v>34559.629999999997</v>
      </c>
      <c r="BG159" s="390"/>
      <c r="BH159" s="208"/>
      <c r="BJ159" s="385">
        <v>2789.76</v>
      </c>
      <c r="BK159" s="384">
        <v>12955.31</v>
      </c>
      <c r="BL159" s="384">
        <v>11012.37</v>
      </c>
      <c r="BM159" s="384">
        <v>3154.12</v>
      </c>
      <c r="BN159" s="384">
        <v>2357.73</v>
      </c>
      <c r="BO159" s="384">
        <v>16681.64</v>
      </c>
      <c r="BP159" s="384">
        <v>7020.72</v>
      </c>
      <c r="BQ159" s="384">
        <v>29152.51</v>
      </c>
      <c r="BR159" s="384">
        <v>1600.22</v>
      </c>
      <c r="BS159" s="389"/>
      <c r="BT159" s="389"/>
      <c r="BU159" s="389"/>
      <c r="BV159" s="390"/>
      <c r="BY159" s="388"/>
      <c r="BZ159" s="389"/>
      <c r="CA159" s="389"/>
      <c r="CB159" s="389"/>
      <c r="CC159" s="389"/>
      <c r="CD159" s="389"/>
      <c r="CE159" s="389"/>
      <c r="CF159" s="389"/>
      <c r="CG159" s="389"/>
      <c r="CH159" s="389"/>
      <c r="CI159" s="389"/>
      <c r="CJ159" s="389"/>
      <c r="CK159" s="390"/>
      <c r="CN159" s="388"/>
      <c r="CO159" s="389"/>
      <c r="CP159" s="389"/>
      <c r="CQ159" s="389"/>
      <c r="CR159" s="389"/>
      <c r="CS159" s="389"/>
      <c r="CT159" s="389"/>
      <c r="CU159" s="389"/>
      <c r="CV159" s="389"/>
      <c r="CW159" s="389"/>
      <c r="CX159" s="389"/>
      <c r="CY159" s="389"/>
      <c r="CZ159" s="390"/>
    </row>
    <row r="160" spans="2:107">
      <c r="B160" s="265" t="s">
        <v>149</v>
      </c>
      <c r="C160" s="383"/>
      <c r="D160" s="384"/>
      <c r="E160" s="384"/>
      <c r="F160" s="384"/>
      <c r="G160" s="384"/>
      <c r="H160" s="384"/>
      <c r="I160" s="384"/>
      <c r="J160" s="384"/>
      <c r="K160" s="384"/>
      <c r="L160" s="384"/>
      <c r="M160" s="384"/>
      <c r="N160" s="384"/>
      <c r="O160" s="208"/>
      <c r="P160" s="391"/>
      <c r="Q160" s="391"/>
      <c r="R160" s="391"/>
      <c r="S160" s="391"/>
      <c r="T160" s="391"/>
      <c r="U160" s="391"/>
      <c r="V160" s="391"/>
      <c r="W160" s="391"/>
      <c r="X160" s="391"/>
      <c r="Y160" s="391"/>
      <c r="Z160" s="391"/>
      <c r="AA160" s="391">
        <f>3702.78*0</f>
        <v>0</v>
      </c>
      <c r="AB160" s="208"/>
      <c r="AC160" s="566"/>
      <c r="AD160" s="566"/>
      <c r="AE160" s="385">
        <v>0</v>
      </c>
      <c r="AF160" s="385">
        <v>0</v>
      </c>
      <c r="AG160" s="385">
        <v>0</v>
      </c>
      <c r="AH160" s="384">
        <v>0</v>
      </c>
      <c r="AI160" s="384">
        <v>2810</v>
      </c>
      <c r="AJ160" s="384">
        <v>2010</v>
      </c>
      <c r="AK160" s="384">
        <v>1335</v>
      </c>
      <c r="AL160" s="384">
        <v>335</v>
      </c>
      <c r="AM160" s="384">
        <v>430</v>
      </c>
      <c r="AN160" s="384">
        <v>425</v>
      </c>
      <c r="AO160" s="384">
        <v>305</v>
      </c>
      <c r="AP160" s="391">
        <v>305</v>
      </c>
      <c r="AQ160" s="166"/>
      <c r="AR160" s="566"/>
      <c r="AS160" s="567"/>
      <c r="AT160" s="566"/>
      <c r="AU160" s="385">
        <v>515</v>
      </c>
      <c r="AV160" s="384">
        <v>648</v>
      </c>
      <c r="AW160" s="384">
        <v>38</v>
      </c>
      <c r="AX160" s="384">
        <v>38</v>
      </c>
      <c r="AY160" s="384">
        <v>1976</v>
      </c>
      <c r="AZ160" s="384">
        <v>3146</v>
      </c>
      <c r="BA160" s="384">
        <v>3156</v>
      </c>
      <c r="BB160" s="384">
        <v>3156</v>
      </c>
      <c r="BC160" s="384">
        <v>1996</v>
      </c>
      <c r="BD160" s="384">
        <v>640</v>
      </c>
      <c r="BE160" s="384">
        <v>640</v>
      </c>
      <c r="BF160" s="384">
        <v>80</v>
      </c>
      <c r="BG160" s="390"/>
      <c r="BH160" s="208"/>
      <c r="BJ160" s="385">
        <v>0</v>
      </c>
      <c r="BK160" s="384">
        <v>0</v>
      </c>
      <c r="BL160" s="384">
        <v>0</v>
      </c>
      <c r="BM160" s="384">
        <v>0</v>
      </c>
      <c r="BN160" s="384">
        <v>0</v>
      </c>
      <c r="BO160" s="384">
        <v>570</v>
      </c>
      <c r="BP160" s="384">
        <v>0</v>
      </c>
      <c r="BQ160" s="384">
        <v>0</v>
      </c>
      <c r="BR160" s="384">
        <v>0</v>
      </c>
      <c r="BS160" s="389"/>
      <c r="BT160" s="389"/>
      <c r="BU160" s="389"/>
      <c r="BV160" s="390"/>
      <c r="BY160" s="388"/>
      <c r="BZ160" s="389"/>
      <c r="CA160" s="389"/>
      <c r="CB160" s="389"/>
      <c r="CC160" s="389"/>
      <c r="CD160" s="389"/>
      <c r="CE160" s="389"/>
      <c r="CF160" s="389"/>
      <c r="CG160" s="389"/>
      <c r="CH160" s="389"/>
      <c r="CI160" s="389"/>
      <c r="CJ160" s="389"/>
      <c r="CK160" s="390"/>
      <c r="CN160" s="388"/>
      <c r="CO160" s="389"/>
      <c r="CP160" s="389"/>
      <c r="CQ160" s="389"/>
      <c r="CR160" s="389"/>
      <c r="CS160" s="389"/>
      <c r="CT160" s="389"/>
      <c r="CU160" s="389"/>
      <c r="CV160" s="389"/>
      <c r="CW160" s="389"/>
      <c r="CX160" s="389"/>
      <c r="CY160" s="389"/>
      <c r="CZ160" s="390"/>
    </row>
    <row r="161" spans="2:104">
      <c r="B161" s="265" t="s">
        <v>150</v>
      </c>
      <c r="C161" s="386">
        <f t="shared" ref="C161:N161" si="637">SUM(C158:C160)</f>
        <v>3000</v>
      </c>
      <c r="D161" s="386">
        <f t="shared" si="637"/>
        <v>3360.26</v>
      </c>
      <c r="E161" s="386">
        <f t="shared" si="637"/>
        <v>3359.41</v>
      </c>
      <c r="F161" s="386">
        <f t="shared" si="637"/>
        <v>3359.41</v>
      </c>
      <c r="G161" s="386">
        <f t="shared" si="637"/>
        <v>3346.56</v>
      </c>
      <c r="H161" s="386">
        <f t="shared" si="637"/>
        <v>2760.92</v>
      </c>
      <c r="I161" s="386">
        <f t="shared" si="637"/>
        <v>2862.92</v>
      </c>
      <c r="J161" s="386">
        <f t="shared" si="637"/>
        <v>2759.32</v>
      </c>
      <c r="K161" s="392">
        <f t="shared" si="637"/>
        <v>2605.34</v>
      </c>
      <c r="L161" s="386">
        <f t="shared" si="637"/>
        <v>2513.6799999999998</v>
      </c>
      <c r="M161" s="386">
        <f t="shared" si="637"/>
        <v>2410.9299999999998</v>
      </c>
      <c r="N161" s="386">
        <f t="shared" si="637"/>
        <v>2318.36</v>
      </c>
      <c r="O161" s="389"/>
      <c r="P161" s="393">
        <f t="shared" ref="P161:Z161" si="638">SUM(P158:P160)</f>
        <v>2226.6999999999998</v>
      </c>
      <c r="Q161" s="393">
        <f t="shared" si="638"/>
        <v>2105.04</v>
      </c>
      <c r="R161" s="393">
        <f t="shared" si="638"/>
        <v>2013.38</v>
      </c>
      <c r="S161" s="393">
        <f t="shared" si="638"/>
        <v>1921.72</v>
      </c>
      <c r="T161" s="393">
        <f t="shared" si="638"/>
        <v>1800.03</v>
      </c>
      <c r="U161" s="393">
        <f t="shared" si="638"/>
        <v>1708.34</v>
      </c>
      <c r="V161" s="393">
        <f t="shared" si="638"/>
        <v>1611.47</v>
      </c>
      <c r="W161" s="393">
        <f t="shared" si="638"/>
        <v>1485.54</v>
      </c>
      <c r="X161" s="393">
        <f t="shared" si="638"/>
        <v>1329.52</v>
      </c>
      <c r="Y161" s="393">
        <f t="shared" si="638"/>
        <v>1046.81</v>
      </c>
      <c r="Z161" s="393">
        <f t="shared" si="638"/>
        <v>920.88</v>
      </c>
      <c r="AA161" s="393">
        <f>SUM(AA158:AA160)</f>
        <v>1178.5999999999999</v>
      </c>
      <c r="AB161" s="389"/>
      <c r="AE161" s="393">
        <f>SUM(AE158:AE160)</f>
        <v>1439.49</v>
      </c>
      <c r="AF161" s="393">
        <f t="shared" ref="AF161:AP161" si="639">SUM(AF158:AF160)</f>
        <v>29120.35</v>
      </c>
      <c r="AG161" s="393">
        <f t="shared" si="639"/>
        <v>82937.25</v>
      </c>
      <c r="AH161" s="393">
        <f t="shared" si="639"/>
        <v>34295.479999999996</v>
      </c>
      <c r="AI161" s="393">
        <f t="shared" si="639"/>
        <v>39002.159999999996</v>
      </c>
      <c r="AJ161" s="393">
        <f t="shared" si="639"/>
        <v>18848.810000000001</v>
      </c>
      <c r="AK161" s="393">
        <f t="shared" si="639"/>
        <v>10233.219999999999</v>
      </c>
      <c r="AL161" s="393">
        <f t="shared" si="639"/>
        <v>48343.68</v>
      </c>
      <c r="AM161" s="393">
        <f t="shared" si="639"/>
        <v>103480.99</v>
      </c>
      <c r="AN161" s="393">
        <f t="shared" si="639"/>
        <v>121374.76000000001</v>
      </c>
      <c r="AO161" s="393">
        <f t="shared" si="639"/>
        <v>88680.97</v>
      </c>
      <c r="AP161" s="457">
        <f t="shared" si="639"/>
        <v>18727.77</v>
      </c>
      <c r="AQ161" s="388"/>
      <c r="AU161" s="393">
        <f>SUM(AU158:AU160)</f>
        <v>31415.29</v>
      </c>
      <c r="AV161" s="393">
        <f t="shared" ref="AV161:BF161" si="640">SUM(AV158:AV160)</f>
        <v>38727.14</v>
      </c>
      <c r="AW161" s="393">
        <f t="shared" si="640"/>
        <v>9213.81</v>
      </c>
      <c r="AX161" s="393">
        <f t="shared" si="640"/>
        <v>15473.65</v>
      </c>
      <c r="AY161" s="393">
        <f>SUM(AY158:AY160)</f>
        <v>8971.2099999999991</v>
      </c>
      <c r="AZ161" s="393">
        <f t="shared" si="640"/>
        <v>27058.22</v>
      </c>
      <c r="BA161" s="393">
        <f t="shared" si="640"/>
        <v>35365</v>
      </c>
      <c r="BB161" s="393">
        <f t="shared" si="640"/>
        <v>42486.89</v>
      </c>
      <c r="BC161" s="393">
        <f t="shared" si="640"/>
        <v>28332</v>
      </c>
      <c r="BD161" s="393">
        <f t="shared" si="640"/>
        <v>14539.400000000001</v>
      </c>
      <c r="BE161" s="393">
        <f t="shared" si="640"/>
        <v>12738.01</v>
      </c>
      <c r="BF161" s="393">
        <f t="shared" si="640"/>
        <v>34806.589999999997</v>
      </c>
      <c r="BG161" s="394"/>
      <c r="BH161" s="388"/>
      <c r="BJ161" s="393">
        <f t="shared" ref="BJ161:BU161" si="641">SUM(BJ158:BJ160)</f>
        <v>2916.7200000000003</v>
      </c>
      <c r="BK161" s="393">
        <f t="shared" si="641"/>
        <v>31550.839999999997</v>
      </c>
      <c r="BL161" s="393">
        <f t="shared" si="641"/>
        <v>28902.32</v>
      </c>
      <c r="BM161" s="393">
        <f t="shared" si="641"/>
        <v>3369.67</v>
      </c>
      <c r="BN161" s="393">
        <f t="shared" si="641"/>
        <v>2563.2800000000002</v>
      </c>
      <c r="BO161" s="393">
        <f t="shared" si="641"/>
        <v>17457.189999999999</v>
      </c>
      <c r="BP161" s="393">
        <f t="shared" si="641"/>
        <v>7061.2800000000007</v>
      </c>
      <c r="BQ161" s="393">
        <f t="shared" si="641"/>
        <v>29193.07</v>
      </c>
      <c r="BR161" s="393">
        <f t="shared" si="641"/>
        <v>1640.78</v>
      </c>
      <c r="BS161" s="393">
        <f t="shared" si="641"/>
        <v>0</v>
      </c>
      <c r="BT161" s="393">
        <f t="shared" si="641"/>
        <v>0</v>
      </c>
      <c r="BU161" s="393">
        <f t="shared" si="641"/>
        <v>0</v>
      </c>
      <c r="BV161" s="394"/>
      <c r="BY161" s="393">
        <f t="shared" ref="BY161:CJ161" si="642">SUM(BY158:BY160)</f>
        <v>0</v>
      </c>
      <c r="BZ161" s="393">
        <f t="shared" si="642"/>
        <v>0</v>
      </c>
      <c r="CA161" s="393">
        <f t="shared" si="642"/>
        <v>0</v>
      </c>
      <c r="CB161" s="393">
        <f t="shared" si="642"/>
        <v>0</v>
      </c>
      <c r="CC161" s="393">
        <f t="shared" si="642"/>
        <v>0</v>
      </c>
      <c r="CD161" s="393">
        <f t="shared" si="642"/>
        <v>0</v>
      </c>
      <c r="CE161" s="393">
        <f t="shared" si="642"/>
        <v>0</v>
      </c>
      <c r="CF161" s="393">
        <f t="shared" si="642"/>
        <v>0</v>
      </c>
      <c r="CG161" s="393">
        <f t="shared" si="642"/>
        <v>0</v>
      </c>
      <c r="CH161" s="393">
        <f t="shared" si="642"/>
        <v>0</v>
      </c>
      <c r="CI161" s="393">
        <f t="shared" si="642"/>
        <v>0</v>
      </c>
      <c r="CJ161" s="393">
        <f t="shared" si="642"/>
        <v>0</v>
      </c>
      <c r="CK161" s="394"/>
      <c r="CN161" s="393">
        <f t="shared" ref="CN161:CY161" si="643">SUM(CN158:CN160)</f>
        <v>0</v>
      </c>
      <c r="CO161" s="393">
        <f t="shared" si="643"/>
        <v>0</v>
      </c>
      <c r="CP161" s="393">
        <f t="shared" si="643"/>
        <v>0</v>
      </c>
      <c r="CQ161" s="393">
        <f t="shared" si="643"/>
        <v>0</v>
      </c>
      <c r="CR161" s="393">
        <f t="shared" si="643"/>
        <v>0</v>
      </c>
      <c r="CS161" s="393">
        <f t="shared" si="643"/>
        <v>0</v>
      </c>
      <c r="CT161" s="393">
        <f t="shared" si="643"/>
        <v>0</v>
      </c>
      <c r="CU161" s="393">
        <f t="shared" si="643"/>
        <v>0</v>
      </c>
      <c r="CV161" s="393">
        <f t="shared" si="643"/>
        <v>0</v>
      </c>
      <c r="CW161" s="393">
        <f t="shared" si="643"/>
        <v>0</v>
      </c>
      <c r="CX161" s="393">
        <f t="shared" si="643"/>
        <v>0</v>
      </c>
      <c r="CY161" s="393">
        <f t="shared" si="643"/>
        <v>0</v>
      </c>
      <c r="CZ161" s="394"/>
    </row>
    <row r="162" spans="2:104" s="396" customFormat="1">
      <c r="B162" s="293" t="s">
        <v>31</v>
      </c>
      <c r="C162" s="395">
        <f t="shared" ref="C162:N162" si="644">C161-C157</f>
        <v>0</v>
      </c>
      <c r="D162" s="395">
        <f t="shared" si="644"/>
        <v>0</v>
      </c>
      <c r="E162" s="395">
        <f t="shared" si="644"/>
        <v>0</v>
      </c>
      <c r="F162" s="395">
        <f t="shared" si="644"/>
        <v>0</v>
      </c>
      <c r="G162" s="395">
        <f t="shared" si="644"/>
        <v>0</v>
      </c>
      <c r="H162" s="395">
        <f t="shared" si="644"/>
        <v>0</v>
      </c>
      <c r="I162" s="395">
        <f t="shared" si="644"/>
        <v>0</v>
      </c>
      <c r="J162" s="395">
        <f t="shared" si="644"/>
        <v>0</v>
      </c>
      <c r="K162" s="395">
        <f t="shared" si="644"/>
        <v>0</v>
      </c>
      <c r="L162" s="395">
        <f t="shared" si="644"/>
        <v>0</v>
      </c>
      <c r="M162" s="395">
        <f t="shared" si="644"/>
        <v>0</v>
      </c>
      <c r="N162" s="395">
        <f t="shared" si="644"/>
        <v>0</v>
      </c>
      <c r="O162" s="395"/>
      <c r="P162" s="395">
        <f t="shared" ref="P162:AA162" si="645">P161-P157</f>
        <v>0</v>
      </c>
      <c r="Q162" s="395">
        <f t="shared" si="645"/>
        <v>0</v>
      </c>
      <c r="R162" s="395">
        <f t="shared" si="645"/>
        <v>0</v>
      </c>
      <c r="S162" s="395">
        <f t="shared" si="645"/>
        <v>0</v>
      </c>
      <c r="T162" s="395">
        <f t="shared" si="645"/>
        <v>0</v>
      </c>
      <c r="U162" s="395">
        <f t="shared" si="645"/>
        <v>0</v>
      </c>
      <c r="V162" s="395">
        <f t="shared" si="645"/>
        <v>0</v>
      </c>
      <c r="W162" s="395">
        <f t="shared" si="645"/>
        <v>0</v>
      </c>
      <c r="X162" s="395">
        <f t="shared" si="645"/>
        <v>0</v>
      </c>
      <c r="Y162" s="395">
        <f t="shared" si="645"/>
        <v>0</v>
      </c>
      <c r="Z162" s="395">
        <f t="shared" si="645"/>
        <v>0</v>
      </c>
      <c r="AA162" s="395">
        <f t="shared" si="645"/>
        <v>0</v>
      </c>
      <c r="AB162" s="395"/>
      <c r="AE162" s="395">
        <f t="shared" ref="AE162:AP162" si="646">AE161-AE157</f>
        <v>0</v>
      </c>
      <c r="AF162" s="395">
        <f t="shared" si="646"/>
        <v>0</v>
      </c>
      <c r="AG162" s="395">
        <f t="shared" si="646"/>
        <v>0</v>
      </c>
      <c r="AH162" s="395">
        <f t="shared" si="646"/>
        <v>0</v>
      </c>
      <c r="AI162" s="395">
        <f t="shared" si="646"/>
        <v>1.7999999909079634E-3</v>
      </c>
      <c r="AJ162" s="395">
        <f t="shared" si="646"/>
        <v>1.7999999945459422E-3</v>
      </c>
      <c r="AK162" s="395">
        <f t="shared" si="646"/>
        <v>-3.0000000697327778E-4</v>
      </c>
      <c r="AL162" s="395">
        <f t="shared" si="646"/>
        <v>4.6999999976833351E-3</v>
      </c>
      <c r="AM162" s="395">
        <f t="shared" si="646"/>
        <v>4.6999999904073775E-3</v>
      </c>
      <c r="AN162" s="395">
        <f t="shared" si="646"/>
        <v>4.7000000049592927E-3</v>
      </c>
      <c r="AO162" s="395">
        <f t="shared" si="646"/>
        <v>4.7000000049592927E-3</v>
      </c>
      <c r="AP162" s="395">
        <f t="shared" si="646"/>
        <v>4.7000000158732291E-3</v>
      </c>
      <c r="AQ162" s="395"/>
      <c r="AS162" s="397"/>
      <c r="AU162" s="395">
        <f t="shared" ref="AU162:BF162" si="647">AU161-AU157</f>
        <v>4.7000000158732291E-3</v>
      </c>
      <c r="AV162" s="395">
        <f t="shared" si="647"/>
        <v>4.7000000195112079E-3</v>
      </c>
      <c r="AW162" s="395">
        <f t="shared" si="647"/>
        <v>4.7000000213301973E-3</v>
      </c>
      <c r="AX162" s="395">
        <f t="shared" si="647"/>
        <v>4.7000000249681761E-3</v>
      </c>
      <c r="AY162" s="395">
        <f t="shared" si="647"/>
        <v>4.7000000195112079E-3</v>
      </c>
      <c r="AZ162" s="395">
        <f t="shared" si="647"/>
        <v>4.7000000195112079E-3</v>
      </c>
      <c r="BA162" s="395">
        <f t="shared" si="647"/>
        <v>4.7000000195112079E-3</v>
      </c>
      <c r="BB162" s="395">
        <f t="shared" si="647"/>
        <v>4.7000000340631232E-3</v>
      </c>
      <c r="BC162" s="395">
        <f t="shared" si="647"/>
        <v>4.7000000304251444E-3</v>
      </c>
      <c r="BD162" s="395">
        <f t="shared" si="647"/>
        <v>4.7000000340631232E-3</v>
      </c>
      <c r="BE162" s="395">
        <f t="shared" si="647"/>
        <v>4.7000000395200914E-3</v>
      </c>
      <c r="BF162" s="395">
        <f t="shared" si="647"/>
        <v>4.7000000340631232E-3</v>
      </c>
      <c r="BG162" s="395"/>
      <c r="BH162" s="395"/>
      <c r="BJ162" s="395">
        <f t="shared" ref="BJ162:BU162" si="648">BJ161-BJ157</f>
        <v>4.7000000331536285E-3</v>
      </c>
      <c r="BK162" s="395">
        <f t="shared" si="648"/>
        <v>4.7000000340631232E-3</v>
      </c>
      <c r="BL162" s="395">
        <f t="shared" si="648"/>
        <v>4.7000000122352503E-3</v>
      </c>
      <c r="BM162" s="395">
        <f t="shared" si="648"/>
        <v>4.7000000067782821E-3</v>
      </c>
      <c r="BN162" s="395">
        <f t="shared" si="648"/>
        <v>4.70000002087545E-3</v>
      </c>
      <c r="BO162" s="395">
        <f t="shared" si="648"/>
        <v>4.7000000158732291E-3</v>
      </c>
      <c r="BP162" s="395">
        <f t="shared" si="648"/>
        <v>4.7000000213301973E-3</v>
      </c>
      <c r="BQ162" s="395">
        <f t="shared" si="648"/>
        <v>-5.2999999825260602E-3</v>
      </c>
      <c r="BR162" s="395">
        <f t="shared" si="648"/>
        <v>-5.2999999886651494E-3</v>
      </c>
      <c r="BS162" s="395">
        <f t="shared" si="648"/>
        <v>13081.25470000002</v>
      </c>
      <c r="BT162" s="395">
        <f t="shared" si="648"/>
        <v>-8205.1852999999828</v>
      </c>
      <c r="BU162" s="395">
        <f t="shared" si="648"/>
        <v>-27360.345299999986</v>
      </c>
      <c r="BV162" s="395"/>
      <c r="BY162" s="395">
        <f t="shared" ref="BY162:CJ162" si="649">BY161-BY157</f>
        <v>-3309.0752999999677</v>
      </c>
      <c r="BZ162" s="395">
        <f t="shared" si="649"/>
        <v>-14060.275299999979</v>
      </c>
      <c r="CA162" s="395">
        <f t="shared" si="649"/>
        <v>-9059.4852999999712</v>
      </c>
      <c r="CB162" s="395">
        <f t="shared" si="649"/>
        <v>-5553.51529999997</v>
      </c>
      <c r="CC162" s="395">
        <f t="shared" si="649"/>
        <v>-13046.635299999965</v>
      </c>
      <c r="CD162" s="395">
        <f t="shared" si="649"/>
        <v>-37701.685299999968</v>
      </c>
      <c r="CE162" s="395">
        <f t="shared" si="649"/>
        <v>-66237.845299999972</v>
      </c>
      <c r="CF162" s="395">
        <f t="shared" si="649"/>
        <v>-82596.775299999965</v>
      </c>
      <c r="CG162" s="395">
        <f t="shared" si="649"/>
        <v>-59644.445299999963</v>
      </c>
      <c r="CH162" s="395">
        <f t="shared" si="649"/>
        <v>-41010.775299999965</v>
      </c>
      <c r="CI162" s="395">
        <f t="shared" si="649"/>
        <v>-13494.455299999972</v>
      </c>
      <c r="CJ162" s="395">
        <f t="shared" si="649"/>
        <v>-28238.965299999971</v>
      </c>
      <c r="CK162" s="395"/>
      <c r="CN162" s="395">
        <f t="shared" ref="CN162:CY162" si="650">CN161-CN157</f>
        <v>-27440.055133333306</v>
      </c>
      <c r="CO162" s="395">
        <f t="shared" si="650"/>
        <v>-55776.185133333318</v>
      </c>
      <c r="CP162" s="395">
        <f t="shared" si="650"/>
        <v>-65963.555133333313</v>
      </c>
      <c r="CQ162" s="395">
        <f t="shared" si="650"/>
        <v>-72237.375133333306</v>
      </c>
      <c r="CR162" s="395">
        <f t="shared" si="650"/>
        <v>-59098.455133333307</v>
      </c>
      <c r="CS162" s="395">
        <f t="shared" si="650"/>
        <v>-86527.258996969671</v>
      </c>
      <c r="CT162" s="395">
        <f t="shared" si="650"/>
        <v>-162902.70549696966</v>
      </c>
      <c r="CU162" s="395">
        <f t="shared" si="650"/>
        <v>-197397.67549696966</v>
      </c>
      <c r="CV162" s="395">
        <f t="shared" si="650"/>
        <v>-191831.74549696967</v>
      </c>
      <c r="CW162" s="395">
        <f t="shared" si="650"/>
        <v>-193260.11897523052</v>
      </c>
      <c r="CX162" s="395">
        <f t="shared" si="650"/>
        <v>-206199.95897523052</v>
      </c>
      <c r="CY162" s="395">
        <f t="shared" si="650"/>
        <v>-225397.32897523051</v>
      </c>
      <c r="CZ162" s="395"/>
    </row>
    <row r="163" spans="2:104">
      <c r="B163" s="265"/>
      <c r="O163" s="160"/>
      <c r="AB163" s="160"/>
      <c r="AQ163" s="160"/>
    </row>
    <row r="164" spans="2:104">
      <c r="B164" s="265"/>
      <c r="C164" s="398"/>
      <c r="D164" s="398"/>
      <c r="E164" s="398"/>
      <c r="F164" s="398"/>
      <c r="G164" s="398"/>
      <c r="H164" s="230"/>
      <c r="O164" s="160"/>
      <c r="AB164" s="160"/>
      <c r="AQ164" s="160"/>
    </row>
    <row r="165" spans="2:104">
      <c r="B165" s="265"/>
      <c r="C165" s="398"/>
      <c r="D165" s="398"/>
      <c r="E165" s="398"/>
      <c r="F165" s="398"/>
      <c r="G165" s="398"/>
      <c r="H165" s="230"/>
      <c r="O165" s="160"/>
      <c r="AQ165" s="160"/>
    </row>
    <row r="166" spans="2:104">
      <c r="B166" s="265"/>
      <c r="O166" s="160"/>
      <c r="AQ166" s="160"/>
    </row>
    <row r="167" spans="2:104">
      <c r="B167" s="265"/>
      <c r="G167" s="398"/>
      <c r="O167" s="160"/>
      <c r="AQ167" s="160"/>
    </row>
    <row r="168" spans="2:104">
      <c r="B168" s="265"/>
      <c r="G168" s="398"/>
    </row>
    <row r="169" spans="2:104">
      <c r="B169" s="265"/>
    </row>
    <row r="170" spans="2:104">
      <c r="B170" s="265"/>
      <c r="AD170" s="399"/>
    </row>
    <row r="172" spans="2:104">
      <c r="AD172" s="398"/>
    </row>
    <row r="173" spans="2:104">
      <c r="AD173" s="398"/>
      <c r="AE173" s="398"/>
      <c r="AF173" s="398"/>
      <c r="AG173" s="398"/>
    </row>
    <row r="181" spans="30:32">
      <c r="AD181" s="127" t="s">
        <v>151</v>
      </c>
      <c r="AF181" s="127" t="s">
        <v>152</v>
      </c>
    </row>
  </sheetData>
  <phoneticPr fontId="64" type="noConversion"/>
  <printOptions headings="1"/>
  <pageMargins left="0.31496062992125984" right="0.11811023622047245" top="0.94488188976377963" bottom="0.15748031496062992" header="0.31496062992125984" footer="0.11811023622047245"/>
  <pageSetup paperSize="9" scale="10" orientation="landscape" cellComments="atEnd"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A30F-AE32-4E11-84B4-F658EF5FCAEA}">
  <dimension ref="B1:BR310"/>
  <sheetViews>
    <sheetView showGridLines="0" zoomScaleNormal="100" workbookViewId="0">
      <pane xSplit="2" ySplit="5" topLeftCell="AF255" activePane="bottomRight" state="frozen"/>
      <selection pane="topRight" activeCell="C1" sqref="C1"/>
      <selection pane="bottomLeft" activeCell="A6" sqref="A6"/>
      <selection pane="bottomRight" activeCell="AL141" sqref="AL141"/>
    </sheetView>
  </sheetViews>
  <sheetFormatPr baseColWidth="10" defaultColWidth="11.42578125" defaultRowHeight="15" outlineLevelRow="1"/>
  <cols>
    <col min="1" max="1" width="3" customWidth="1"/>
    <col min="2" max="2" width="27.85546875" bestFit="1" customWidth="1"/>
    <col min="3" max="3" width="7.5703125" bestFit="1" customWidth="1"/>
    <col min="4" max="4" width="11.140625" bestFit="1" customWidth="1"/>
    <col min="5" max="5" width="9.140625" bestFit="1" customWidth="1"/>
    <col min="6" max="6" width="8.5703125" customWidth="1"/>
    <col min="7" max="8" width="9.140625" bestFit="1" customWidth="1"/>
    <col min="9" max="9" width="8.42578125" customWidth="1"/>
    <col min="10" max="10" width="9.140625" bestFit="1" customWidth="1"/>
    <col min="11" max="11" width="8.42578125" customWidth="1"/>
    <col min="12" max="13" width="9.140625" bestFit="1" customWidth="1"/>
    <col min="14" max="14" width="8.42578125" bestFit="1" customWidth="1"/>
    <col min="15" max="15" width="9.140625" bestFit="1" customWidth="1"/>
    <col min="16" max="16" width="8.140625" bestFit="1" customWidth="1"/>
    <col min="17" max="17" width="9.140625" bestFit="1" customWidth="1"/>
    <col min="18" max="18" width="8.140625" bestFit="1" customWidth="1"/>
    <col min="19" max="19" width="9.7109375" bestFit="1" customWidth="1"/>
    <col min="20" max="20" width="9.140625" bestFit="1" customWidth="1"/>
    <col min="21" max="21" width="8.140625" bestFit="1" customWidth="1"/>
    <col min="22" max="22" width="9.140625" bestFit="1" customWidth="1"/>
    <col min="23" max="23" width="8.140625" bestFit="1" customWidth="1"/>
    <col min="24" max="24" width="9.140625" bestFit="1" customWidth="1"/>
    <col min="25" max="27" width="8.140625" bestFit="1" customWidth="1"/>
    <col min="28" max="28" width="8.5703125" bestFit="1" customWidth="1"/>
    <col min="29" max="29" width="9.140625" bestFit="1" customWidth="1"/>
    <col min="30" max="31" width="8.5703125" bestFit="1" customWidth="1"/>
    <col min="32" max="32" width="9.140625" bestFit="1" customWidth="1"/>
    <col min="33" max="52" width="8.28515625" bestFit="1" customWidth="1"/>
    <col min="53" max="55" width="8.85546875" bestFit="1" customWidth="1"/>
    <col min="56" max="56" width="9.7109375" bestFit="1" customWidth="1"/>
    <col min="57" max="60" width="8.85546875" bestFit="1" customWidth="1"/>
    <col min="61" max="62" width="9.28515625" bestFit="1" customWidth="1"/>
  </cols>
  <sheetData>
    <row r="1" spans="2:62" hidden="1"/>
    <row r="2" spans="2:62" hidden="1"/>
    <row r="3" spans="2:62">
      <c r="C3" s="50">
        <v>30</v>
      </c>
      <c r="D3" s="50">
        <v>31</v>
      </c>
      <c r="E3" s="50">
        <v>30</v>
      </c>
      <c r="F3" s="50">
        <v>31</v>
      </c>
      <c r="G3" s="50">
        <v>31</v>
      </c>
      <c r="H3" s="50">
        <v>28</v>
      </c>
      <c r="I3" s="50">
        <v>31</v>
      </c>
      <c r="J3" s="50">
        <v>30</v>
      </c>
      <c r="K3" s="50">
        <v>31</v>
      </c>
      <c r="L3" s="50">
        <v>30</v>
      </c>
      <c r="M3" s="50">
        <v>31</v>
      </c>
      <c r="N3" s="50">
        <v>31</v>
      </c>
      <c r="O3" s="50">
        <v>30</v>
      </c>
      <c r="P3" s="50">
        <v>31</v>
      </c>
      <c r="Q3" s="50">
        <v>30</v>
      </c>
      <c r="R3" s="50">
        <v>31</v>
      </c>
      <c r="S3" s="50">
        <v>31</v>
      </c>
      <c r="T3" s="50">
        <v>28</v>
      </c>
      <c r="U3" s="50">
        <v>31</v>
      </c>
      <c r="V3" s="50">
        <v>30</v>
      </c>
      <c r="W3" s="50">
        <v>31</v>
      </c>
      <c r="X3" s="50">
        <v>30</v>
      </c>
      <c r="Y3" s="50">
        <v>31</v>
      </c>
      <c r="Z3" s="50">
        <v>31</v>
      </c>
      <c r="AA3" s="50">
        <v>30</v>
      </c>
      <c r="AB3" s="50">
        <v>31</v>
      </c>
      <c r="AC3" s="50">
        <v>30</v>
      </c>
      <c r="AD3" s="50">
        <v>31</v>
      </c>
      <c r="AE3" s="50">
        <v>31</v>
      </c>
      <c r="AF3" s="50">
        <v>28</v>
      </c>
      <c r="AG3" s="50">
        <v>31</v>
      </c>
      <c r="AH3" s="50">
        <v>30</v>
      </c>
      <c r="AI3" s="50">
        <v>31</v>
      </c>
      <c r="AJ3" s="50">
        <v>30</v>
      </c>
      <c r="AK3" s="50">
        <v>31</v>
      </c>
      <c r="AL3" s="50">
        <v>31</v>
      </c>
      <c r="AM3" s="50">
        <v>30</v>
      </c>
      <c r="AN3" s="50">
        <v>31</v>
      </c>
      <c r="AO3" s="50">
        <v>30</v>
      </c>
      <c r="AP3" s="50">
        <v>31</v>
      </c>
      <c r="AQ3" s="50">
        <v>31</v>
      </c>
      <c r="AR3" s="50">
        <v>28</v>
      </c>
      <c r="AS3" s="51">
        <v>31</v>
      </c>
      <c r="AT3" s="51">
        <v>30</v>
      </c>
      <c r="AU3" s="51">
        <v>31</v>
      </c>
      <c r="AV3" s="51">
        <v>30</v>
      </c>
      <c r="AW3" s="51">
        <v>31</v>
      </c>
      <c r="AX3" s="51">
        <v>31</v>
      </c>
      <c r="AY3" s="50">
        <v>30</v>
      </c>
      <c r="AZ3" s="50">
        <v>31</v>
      </c>
      <c r="BA3" s="50">
        <v>30</v>
      </c>
      <c r="BB3" s="50">
        <v>31</v>
      </c>
      <c r="BC3" s="50">
        <v>31</v>
      </c>
      <c r="BD3" s="50">
        <v>28</v>
      </c>
      <c r="BE3" s="51">
        <v>31</v>
      </c>
      <c r="BF3" s="51">
        <v>30</v>
      </c>
      <c r="BG3" s="51">
        <v>31</v>
      </c>
      <c r="BH3" s="51">
        <v>30</v>
      </c>
      <c r="BI3" s="51">
        <v>31</v>
      </c>
      <c r="BJ3" s="51">
        <v>31</v>
      </c>
    </row>
    <row r="4" spans="2:62">
      <c r="C4" s="52" t="s">
        <v>234</v>
      </c>
      <c r="D4" s="52"/>
      <c r="E4" s="52"/>
      <c r="F4" s="52"/>
      <c r="G4" s="52"/>
      <c r="H4" s="52"/>
      <c r="I4" s="52"/>
      <c r="J4" s="52"/>
      <c r="K4" s="52"/>
      <c r="L4" s="52"/>
      <c r="M4" s="52"/>
      <c r="N4" s="52"/>
      <c r="O4" s="53" t="s">
        <v>235</v>
      </c>
      <c r="P4" s="53"/>
      <c r="Q4" s="53"/>
      <c r="R4" s="53"/>
      <c r="S4" s="53"/>
      <c r="T4" s="53"/>
      <c r="U4" s="53"/>
      <c r="V4" s="53"/>
      <c r="W4" s="53"/>
      <c r="X4" s="53"/>
      <c r="Y4" s="53"/>
      <c r="Z4" s="53"/>
      <c r="AA4" s="52" t="s">
        <v>236</v>
      </c>
      <c r="AB4" s="52"/>
      <c r="AC4" s="52"/>
      <c r="AD4" s="52"/>
      <c r="AE4" s="52"/>
      <c r="AF4" s="52"/>
      <c r="AG4" s="52"/>
      <c r="AH4" s="52"/>
      <c r="AI4" s="52"/>
      <c r="AJ4" s="52"/>
      <c r="AK4" s="52"/>
      <c r="AL4" s="52"/>
      <c r="AM4" s="53" t="s">
        <v>237</v>
      </c>
      <c r="AN4" s="53"/>
      <c r="AO4" s="53"/>
      <c r="AP4" s="53"/>
      <c r="AQ4" s="53"/>
      <c r="AR4" s="53"/>
      <c r="AS4" s="53"/>
      <c r="AT4" s="53"/>
      <c r="AU4" s="53"/>
      <c r="AV4" s="53"/>
      <c r="AW4" s="53"/>
      <c r="AX4" s="53"/>
      <c r="AY4" s="52" t="s">
        <v>453</v>
      </c>
      <c r="AZ4" s="52"/>
      <c r="BA4" s="52"/>
      <c r="BB4" s="52"/>
      <c r="BC4" s="52"/>
      <c r="BD4" s="52"/>
      <c r="BE4" s="52"/>
      <c r="BF4" s="52"/>
      <c r="BG4" s="52"/>
      <c r="BH4" s="52"/>
      <c r="BI4" s="52"/>
      <c r="BJ4" s="52"/>
    </row>
    <row r="5" spans="2:62">
      <c r="B5" s="54"/>
      <c r="C5" s="55" t="s">
        <v>2</v>
      </c>
      <c r="D5" s="55" t="s">
        <v>3</v>
      </c>
      <c r="E5" s="55" t="s">
        <v>4</v>
      </c>
      <c r="F5" s="55" t="s">
        <v>5</v>
      </c>
      <c r="G5" s="55" t="s">
        <v>6</v>
      </c>
      <c r="H5" s="55" t="s">
        <v>7</v>
      </c>
      <c r="I5" s="55" t="s">
        <v>8</v>
      </c>
      <c r="J5" s="55" t="s">
        <v>9</v>
      </c>
      <c r="K5" s="55" t="s">
        <v>10</v>
      </c>
      <c r="L5" s="55" t="s">
        <v>11</v>
      </c>
      <c r="M5" s="55" t="s">
        <v>12</v>
      </c>
      <c r="N5" s="55" t="s">
        <v>13</v>
      </c>
      <c r="O5" s="55" t="s">
        <v>2</v>
      </c>
      <c r="P5" s="55" t="s">
        <v>3</v>
      </c>
      <c r="Q5" s="55" t="s">
        <v>4</v>
      </c>
      <c r="R5" s="55" t="s">
        <v>5</v>
      </c>
      <c r="S5" s="55" t="s">
        <v>6</v>
      </c>
      <c r="T5" s="55" t="s">
        <v>7</v>
      </c>
      <c r="U5" s="55" t="s">
        <v>8</v>
      </c>
      <c r="V5" s="55" t="s">
        <v>9</v>
      </c>
      <c r="W5" s="55" t="s">
        <v>10</v>
      </c>
      <c r="X5" s="55" t="s">
        <v>11</v>
      </c>
      <c r="Y5" s="55" t="s">
        <v>12</v>
      </c>
      <c r="Z5" s="55" t="s">
        <v>13</v>
      </c>
      <c r="AA5" s="55" t="s">
        <v>2</v>
      </c>
      <c r="AB5" s="55" t="s">
        <v>3</v>
      </c>
      <c r="AC5" s="55" t="s">
        <v>4</v>
      </c>
      <c r="AD5" s="55" t="s">
        <v>5</v>
      </c>
      <c r="AE5" s="55" t="s">
        <v>6</v>
      </c>
      <c r="AF5" s="55" t="s">
        <v>7</v>
      </c>
      <c r="AG5" s="55" t="s">
        <v>8</v>
      </c>
      <c r="AH5" s="55" t="s">
        <v>9</v>
      </c>
      <c r="AI5" s="55" t="s">
        <v>10</v>
      </c>
      <c r="AJ5" s="55" t="s">
        <v>11</v>
      </c>
      <c r="AK5" s="55" t="s">
        <v>12</v>
      </c>
      <c r="AL5" s="55" t="s">
        <v>13</v>
      </c>
      <c r="AM5" s="55" t="s">
        <v>2</v>
      </c>
      <c r="AN5" s="55" t="s">
        <v>3</v>
      </c>
      <c r="AO5" s="55" t="s">
        <v>4</v>
      </c>
      <c r="AP5" s="55" t="s">
        <v>5</v>
      </c>
      <c r="AQ5" s="55" t="s">
        <v>6</v>
      </c>
      <c r="AR5" s="55" t="s">
        <v>7</v>
      </c>
      <c r="AS5" s="55" t="s">
        <v>8</v>
      </c>
      <c r="AT5" s="55" t="s">
        <v>9</v>
      </c>
      <c r="AU5" s="55" t="s">
        <v>10</v>
      </c>
      <c r="AV5" s="55" t="s">
        <v>11</v>
      </c>
      <c r="AW5" s="55" t="s">
        <v>12</v>
      </c>
      <c r="AX5" s="55" t="s">
        <v>13</v>
      </c>
      <c r="AY5" s="55" t="s">
        <v>2</v>
      </c>
      <c r="AZ5" s="55" t="s">
        <v>3</v>
      </c>
      <c r="BA5" s="55" t="s">
        <v>4</v>
      </c>
      <c r="BB5" s="55" t="s">
        <v>5</v>
      </c>
      <c r="BC5" s="55" t="s">
        <v>6</v>
      </c>
      <c r="BD5" s="55" t="s">
        <v>7</v>
      </c>
      <c r="BE5" s="55" t="s">
        <v>8</v>
      </c>
      <c r="BF5" s="55" t="s">
        <v>9</v>
      </c>
      <c r="BG5" s="55" t="s">
        <v>10</v>
      </c>
      <c r="BH5" s="55" t="s">
        <v>11</v>
      </c>
      <c r="BI5" s="55" t="s">
        <v>12</v>
      </c>
      <c r="BJ5" s="55" t="s">
        <v>13</v>
      </c>
    </row>
    <row r="6" spans="2:62">
      <c r="B6" s="54" t="s">
        <v>409</v>
      </c>
    </row>
    <row r="7" spans="2:62" outlineLevel="1">
      <c r="B7" t="s">
        <v>247</v>
      </c>
      <c r="C7" s="123">
        <f>15+2</f>
        <v>17</v>
      </c>
      <c r="D7">
        <f>+C14</f>
        <v>17</v>
      </c>
      <c r="E7">
        <f t="shared" ref="E7" si="0">+D14</f>
        <v>17</v>
      </c>
      <c r="F7">
        <f t="shared" ref="F7" si="1">+E14</f>
        <v>17</v>
      </c>
      <c r="G7">
        <f t="shared" ref="G7" si="2">+F14</f>
        <v>27</v>
      </c>
      <c r="H7">
        <f t="shared" ref="H7" si="3">+G14</f>
        <v>27</v>
      </c>
      <c r="I7">
        <f t="shared" ref="I7" si="4">+H14</f>
        <v>27</v>
      </c>
      <c r="J7">
        <f t="shared" ref="J7" si="5">+I14</f>
        <v>39</v>
      </c>
      <c r="K7">
        <f t="shared" ref="K7" si="6">+J14</f>
        <v>39</v>
      </c>
      <c r="L7">
        <f t="shared" ref="L7" si="7">+K14</f>
        <v>39</v>
      </c>
      <c r="M7">
        <f t="shared" ref="M7" si="8">+L14</f>
        <v>39</v>
      </c>
      <c r="N7">
        <f t="shared" ref="N7" si="9">+M14</f>
        <v>39</v>
      </c>
      <c r="O7">
        <f t="shared" ref="O7" si="10">+N14</f>
        <v>37</v>
      </c>
      <c r="P7">
        <f t="shared" ref="P7" si="11">+O14</f>
        <v>42</v>
      </c>
      <c r="Q7">
        <f t="shared" ref="Q7" si="12">+P14</f>
        <v>42</v>
      </c>
      <c r="R7">
        <f t="shared" ref="R7" si="13">+Q14</f>
        <v>42</v>
      </c>
      <c r="S7">
        <f>+R14</f>
        <v>42</v>
      </c>
      <c r="T7">
        <f>+S14</f>
        <v>35</v>
      </c>
      <c r="U7">
        <f t="shared" ref="U7" si="14">+T14</f>
        <v>33</v>
      </c>
      <c r="V7">
        <f t="shared" ref="V7" si="15">+U14</f>
        <v>33</v>
      </c>
      <c r="W7">
        <f>+V14</f>
        <v>32</v>
      </c>
      <c r="X7">
        <f>+W14</f>
        <v>32</v>
      </c>
      <c r="Y7">
        <f t="shared" ref="Y7" si="16">+X14</f>
        <v>32</v>
      </c>
      <c r="Z7">
        <f t="shared" ref="Z7" si="17">+Y14</f>
        <v>32</v>
      </c>
      <c r="AA7">
        <f t="shared" ref="AA7" si="18">+Z14</f>
        <v>32</v>
      </c>
      <c r="AB7">
        <f t="shared" ref="AB7" si="19">+AA14</f>
        <v>32</v>
      </c>
      <c r="AC7">
        <f t="shared" ref="AC7" si="20">+AB14</f>
        <v>31</v>
      </c>
      <c r="AD7">
        <f t="shared" ref="AD7" si="21">+AC14</f>
        <v>31</v>
      </c>
      <c r="AE7">
        <f t="shared" ref="AE7" si="22">+AD14</f>
        <v>31</v>
      </c>
      <c r="AF7">
        <f t="shared" ref="AF7" si="23">+AE14</f>
        <v>31</v>
      </c>
      <c r="AG7">
        <f t="shared" ref="AG7" si="24">+AF14</f>
        <v>31</v>
      </c>
      <c r="AH7">
        <f t="shared" ref="AH7" si="25">+AG14</f>
        <v>31</v>
      </c>
      <c r="AI7">
        <f t="shared" ref="AI7" si="26">+AH14</f>
        <v>28</v>
      </c>
      <c r="AJ7">
        <f t="shared" ref="AJ7" si="27">+AI14</f>
        <v>28</v>
      </c>
      <c r="AK7">
        <f t="shared" ref="AK7" si="28">+AJ14</f>
        <v>28</v>
      </c>
      <c r="AL7">
        <f t="shared" ref="AL7" si="29">+AK14</f>
        <v>28</v>
      </c>
      <c r="AM7">
        <f>+AL14</f>
        <v>28</v>
      </c>
      <c r="AN7">
        <f t="shared" ref="AN7" si="30">+AM14</f>
        <v>28</v>
      </c>
      <c r="AO7">
        <f t="shared" ref="AO7" si="31">+AN14</f>
        <v>28</v>
      </c>
      <c r="AP7">
        <f t="shared" ref="AP7" si="32">+AO14</f>
        <v>28</v>
      </c>
      <c r="AQ7">
        <f t="shared" ref="AQ7" si="33">+AP14</f>
        <v>28</v>
      </c>
      <c r="AR7">
        <f t="shared" ref="AR7" si="34">+AQ14</f>
        <v>28</v>
      </c>
      <c r="AS7">
        <f t="shared" ref="AS7" si="35">+AR14</f>
        <v>28</v>
      </c>
      <c r="AT7">
        <f t="shared" ref="AT7" si="36">+AS14</f>
        <v>28</v>
      </c>
      <c r="AU7">
        <f t="shared" ref="AU7" si="37">+AT14</f>
        <v>28</v>
      </c>
      <c r="AV7">
        <f t="shared" ref="AV7" si="38">+AU14</f>
        <v>28</v>
      </c>
      <c r="AW7">
        <f t="shared" ref="AW7" si="39">+AV14</f>
        <v>28</v>
      </c>
      <c r="AX7">
        <f t="shared" ref="AX7:BJ7" si="40">+AW14</f>
        <v>28</v>
      </c>
      <c r="AY7">
        <f t="shared" si="40"/>
        <v>28</v>
      </c>
      <c r="AZ7">
        <f t="shared" si="40"/>
        <v>28</v>
      </c>
      <c r="BA7">
        <f t="shared" si="40"/>
        <v>28</v>
      </c>
      <c r="BB7">
        <f t="shared" si="40"/>
        <v>28</v>
      </c>
      <c r="BC7">
        <f t="shared" si="40"/>
        <v>28</v>
      </c>
      <c r="BD7">
        <f t="shared" si="40"/>
        <v>28</v>
      </c>
      <c r="BE7">
        <f t="shared" si="40"/>
        <v>28</v>
      </c>
      <c r="BF7">
        <f t="shared" si="40"/>
        <v>28</v>
      </c>
      <c r="BG7">
        <f t="shared" si="40"/>
        <v>28</v>
      </c>
      <c r="BH7">
        <f t="shared" si="40"/>
        <v>28</v>
      </c>
      <c r="BI7">
        <f t="shared" si="40"/>
        <v>28</v>
      </c>
      <c r="BJ7">
        <f t="shared" si="40"/>
        <v>28</v>
      </c>
    </row>
    <row r="8" spans="2:62" outlineLevel="1">
      <c r="B8" t="s">
        <v>248</v>
      </c>
      <c r="C8">
        <f>SUM(C9:C10)</f>
        <v>0</v>
      </c>
      <c r="D8">
        <f>SUM(D9:D10)</f>
        <v>0</v>
      </c>
      <c r="E8">
        <f t="shared" ref="E8:AX8" si="41">SUM(E9:E10)</f>
        <v>0</v>
      </c>
      <c r="F8">
        <f t="shared" si="41"/>
        <v>10</v>
      </c>
      <c r="G8">
        <f t="shared" si="41"/>
        <v>0</v>
      </c>
      <c r="H8">
        <f t="shared" si="41"/>
        <v>0</v>
      </c>
      <c r="I8">
        <f t="shared" si="41"/>
        <v>12</v>
      </c>
      <c r="J8">
        <f t="shared" si="41"/>
        <v>0</v>
      </c>
      <c r="K8">
        <f t="shared" si="41"/>
        <v>0</v>
      </c>
      <c r="L8">
        <f t="shared" si="41"/>
        <v>0</v>
      </c>
      <c r="M8">
        <f t="shared" si="41"/>
        <v>0</v>
      </c>
      <c r="N8">
        <f>SUM(N9:N10)</f>
        <v>0</v>
      </c>
      <c r="O8">
        <f t="shared" si="41"/>
        <v>5</v>
      </c>
      <c r="P8">
        <f t="shared" si="41"/>
        <v>0</v>
      </c>
      <c r="Q8">
        <f t="shared" si="41"/>
        <v>0</v>
      </c>
      <c r="R8">
        <f t="shared" si="41"/>
        <v>0</v>
      </c>
      <c r="S8">
        <f t="shared" si="41"/>
        <v>6</v>
      </c>
      <c r="T8">
        <f>SUM(T9:T10)</f>
        <v>0</v>
      </c>
      <c r="U8">
        <f t="shared" si="41"/>
        <v>0</v>
      </c>
      <c r="V8">
        <f t="shared" si="41"/>
        <v>0</v>
      </c>
      <c r="W8">
        <f t="shared" si="41"/>
        <v>0</v>
      </c>
      <c r="X8">
        <f t="shared" si="41"/>
        <v>1</v>
      </c>
      <c r="Y8">
        <f t="shared" si="41"/>
        <v>0</v>
      </c>
      <c r="Z8">
        <f t="shared" si="41"/>
        <v>0</v>
      </c>
      <c r="AA8">
        <f t="shared" si="41"/>
        <v>0</v>
      </c>
      <c r="AB8">
        <f t="shared" si="41"/>
        <v>0</v>
      </c>
      <c r="AC8">
        <f t="shared" si="41"/>
        <v>0</v>
      </c>
      <c r="AD8">
        <f t="shared" si="41"/>
        <v>0</v>
      </c>
      <c r="AE8">
        <f t="shared" si="41"/>
        <v>0</v>
      </c>
      <c r="AF8">
        <f t="shared" si="41"/>
        <v>0</v>
      </c>
      <c r="AG8">
        <f t="shared" si="41"/>
        <v>0</v>
      </c>
      <c r="AH8">
        <f t="shared" si="41"/>
        <v>0</v>
      </c>
      <c r="AI8">
        <f t="shared" si="41"/>
        <v>0</v>
      </c>
      <c r="AJ8">
        <f t="shared" si="41"/>
        <v>0</v>
      </c>
      <c r="AK8">
        <f t="shared" si="41"/>
        <v>0</v>
      </c>
      <c r="AL8">
        <f t="shared" si="41"/>
        <v>0</v>
      </c>
      <c r="AM8">
        <f t="shared" si="41"/>
        <v>0</v>
      </c>
      <c r="AN8">
        <f t="shared" si="41"/>
        <v>0</v>
      </c>
      <c r="AO8">
        <f t="shared" si="41"/>
        <v>0</v>
      </c>
      <c r="AP8">
        <f t="shared" si="41"/>
        <v>0</v>
      </c>
      <c r="AQ8">
        <f t="shared" si="41"/>
        <v>0</v>
      </c>
      <c r="AR8">
        <f t="shared" si="41"/>
        <v>0</v>
      </c>
      <c r="AS8">
        <f t="shared" si="41"/>
        <v>0</v>
      </c>
      <c r="AT8">
        <f t="shared" si="41"/>
        <v>0</v>
      </c>
      <c r="AU8">
        <f t="shared" si="41"/>
        <v>0</v>
      </c>
      <c r="AV8">
        <f t="shared" si="41"/>
        <v>0</v>
      </c>
      <c r="AW8">
        <f t="shared" si="41"/>
        <v>0</v>
      </c>
      <c r="AX8">
        <f t="shared" si="41"/>
        <v>0</v>
      </c>
      <c r="AY8">
        <f t="shared" ref="AY8:BJ8" si="42">SUM(AY9:AY10)</f>
        <v>0</v>
      </c>
      <c r="AZ8">
        <f t="shared" si="42"/>
        <v>0</v>
      </c>
      <c r="BA8">
        <f t="shared" si="42"/>
        <v>0</v>
      </c>
      <c r="BB8">
        <f t="shared" si="42"/>
        <v>0</v>
      </c>
      <c r="BC8">
        <f t="shared" si="42"/>
        <v>0</v>
      </c>
      <c r="BD8">
        <f t="shared" si="42"/>
        <v>0</v>
      </c>
      <c r="BE8">
        <f t="shared" si="42"/>
        <v>0</v>
      </c>
      <c r="BF8">
        <f t="shared" si="42"/>
        <v>0</v>
      </c>
      <c r="BG8">
        <f t="shared" si="42"/>
        <v>0</v>
      </c>
      <c r="BH8">
        <f t="shared" si="42"/>
        <v>0</v>
      </c>
      <c r="BI8">
        <f t="shared" si="42"/>
        <v>0</v>
      </c>
      <c r="BJ8">
        <f t="shared" si="42"/>
        <v>0</v>
      </c>
    </row>
    <row r="9" spans="2:62" outlineLevel="1">
      <c r="B9" s="66" t="s">
        <v>249</v>
      </c>
      <c r="C9" s="67"/>
      <c r="D9" s="67"/>
      <c r="E9" s="67"/>
      <c r="F9" s="126"/>
      <c r="G9" s="126"/>
      <c r="H9" s="126"/>
      <c r="I9" s="126"/>
      <c r="J9" s="126"/>
      <c r="K9" s="126"/>
      <c r="L9" s="126"/>
      <c r="M9" s="126"/>
      <c r="N9" s="126"/>
      <c r="O9" s="126"/>
      <c r="P9" s="126"/>
      <c r="Q9" s="126"/>
      <c r="R9" s="126"/>
      <c r="S9" s="126">
        <v>6</v>
      </c>
      <c r="T9" s="126"/>
      <c r="U9" s="126"/>
      <c r="V9" s="67"/>
      <c r="W9" s="67"/>
      <c r="X9" s="126">
        <v>1</v>
      </c>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row>
    <row r="10" spans="2:62" outlineLevel="1">
      <c r="B10" s="66" t="s">
        <v>250</v>
      </c>
      <c r="C10" s="126"/>
      <c r="D10" s="126"/>
      <c r="E10" s="126"/>
      <c r="F10" s="126">
        <v>10</v>
      </c>
      <c r="G10" s="126"/>
      <c r="H10" s="126"/>
      <c r="I10" s="126">
        <v>12</v>
      </c>
      <c r="J10" s="126"/>
      <c r="K10" s="126"/>
      <c r="L10" s="126"/>
      <c r="M10" s="126"/>
      <c r="N10" s="126"/>
      <c r="O10" s="126">
        <v>5</v>
      </c>
      <c r="P10" s="126"/>
      <c r="Q10" s="126"/>
      <c r="R10" s="126"/>
      <c r="S10" s="126"/>
      <c r="T10" s="126"/>
      <c r="U10" s="126"/>
      <c r="V10" s="126"/>
      <c r="W10" s="126"/>
      <c r="X10" s="126"/>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row>
    <row r="11" spans="2:62" outlineLevel="1">
      <c r="B11" t="s">
        <v>251</v>
      </c>
      <c r="C11">
        <f>SUM(C12:C13)</f>
        <v>0</v>
      </c>
      <c r="D11">
        <f>SUM(D12:D13)</f>
        <v>0</v>
      </c>
      <c r="E11">
        <f t="shared" ref="E11:AX11" si="43">SUM(E12:E13)</f>
        <v>0</v>
      </c>
      <c r="F11">
        <f t="shared" si="43"/>
        <v>0</v>
      </c>
      <c r="G11">
        <f t="shared" si="43"/>
        <v>0</v>
      </c>
      <c r="H11">
        <f t="shared" si="43"/>
        <v>0</v>
      </c>
      <c r="I11">
        <f t="shared" si="43"/>
        <v>0</v>
      </c>
      <c r="J11">
        <f t="shared" si="43"/>
        <v>0</v>
      </c>
      <c r="K11">
        <f t="shared" si="43"/>
        <v>0</v>
      </c>
      <c r="L11">
        <f t="shared" si="43"/>
        <v>0</v>
      </c>
      <c r="M11">
        <f t="shared" si="43"/>
        <v>0</v>
      </c>
      <c r="N11">
        <f t="shared" si="43"/>
        <v>-2</v>
      </c>
      <c r="O11">
        <f t="shared" si="43"/>
        <v>0</v>
      </c>
      <c r="P11">
        <f t="shared" si="43"/>
        <v>0</v>
      </c>
      <c r="Q11">
        <f t="shared" si="43"/>
        <v>0</v>
      </c>
      <c r="R11">
        <f t="shared" si="43"/>
        <v>0</v>
      </c>
      <c r="S11">
        <f t="shared" si="43"/>
        <v>-13</v>
      </c>
      <c r="T11">
        <f>SUM(T12:T13)</f>
        <v>-2</v>
      </c>
      <c r="U11">
        <f t="shared" si="43"/>
        <v>0</v>
      </c>
      <c r="V11">
        <f t="shared" si="43"/>
        <v>-1</v>
      </c>
      <c r="W11">
        <f t="shared" si="43"/>
        <v>0</v>
      </c>
      <c r="X11">
        <f t="shared" si="43"/>
        <v>-1</v>
      </c>
      <c r="Y11">
        <f t="shared" si="43"/>
        <v>0</v>
      </c>
      <c r="Z11">
        <f t="shared" si="43"/>
        <v>0</v>
      </c>
      <c r="AA11">
        <f t="shared" si="43"/>
        <v>0</v>
      </c>
      <c r="AB11">
        <f t="shared" si="43"/>
        <v>-1</v>
      </c>
      <c r="AC11">
        <f t="shared" si="43"/>
        <v>0</v>
      </c>
      <c r="AD11">
        <f t="shared" si="43"/>
        <v>0</v>
      </c>
      <c r="AE11">
        <f t="shared" si="43"/>
        <v>0</v>
      </c>
      <c r="AF11">
        <f t="shared" si="43"/>
        <v>0</v>
      </c>
      <c r="AG11">
        <f t="shared" si="43"/>
        <v>0</v>
      </c>
      <c r="AH11">
        <f t="shared" si="43"/>
        <v>-3</v>
      </c>
      <c r="AI11">
        <f t="shared" si="43"/>
        <v>0</v>
      </c>
      <c r="AJ11">
        <f t="shared" si="43"/>
        <v>0</v>
      </c>
      <c r="AK11">
        <f t="shared" si="43"/>
        <v>0</v>
      </c>
      <c r="AL11">
        <f t="shared" si="43"/>
        <v>0</v>
      </c>
      <c r="AM11">
        <f t="shared" si="43"/>
        <v>0</v>
      </c>
      <c r="AN11">
        <f t="shared" si="43"/>
        <v>0</v>
      </c>
      <c r="AO11">
        <f t="shared" si="43"/>
        <v>0</v>
      </c>
      <c r="AP11">
        <f t="shared" si="43"/>
        <v>0</v>
      </c>
      <c r="AQ11">
        <f t="shared" si="43"/>
        <v>0</v>
      </c>
      <c r="AR11">
        <f t="shared" si="43"/>
        <v>0</v>
      </c>
      <c r="AS11">
        <f t="shared" si="43"/>
        <v>0</v>
      </c>
      <c r="AT11">
        <f t="shared" si="43"/>
        <v>0</v>
      </c>
      <c r="AU11">
        <f t="shared" si="43"/>
        <v>0</v>
      </c>
      <c r="AV11">
        <f t="shared" si="43"/>
        <v>0</v>
      </c>
      <c r="AW11">
        <f t="shared" si="43"/>
        <v>0</v>
      </c>
      <c r="AX11">
        <f t="shared" si="43"/>
        <v>0</v>
      </c>
      <c r="AY11">
        <f t="shared" ref="AY11:BJ11" si="44">SUM(AY12:AY13)</f>
        <v>0</v>
      </c>
      <c r="AZ11">
        <f t="shared" si="44"/>
        <v>0</v>
      </c>
      <c r="BA11">
        <f t="shared" si="44"/>
        <v>0</v>
      </c>
      <c r="BB11">
        <f t="shared" si="44"/>
        <v>0</v>
      </c>
      <c r="BC11">
        <f t="shared" si="44"/>
        <v>0</v>
      </c>
      <c r="BD11">
        <f t="shared" si="44"/>
        <v>0</v>
      </c>
      <c r="BE11">
        <f t="shared" si="44"/>
        <v>0</v>
      </c>
      <c r="BF11">
        <f t="shared" si="44"/>
        <v>0</v>
      </c>
      <c r="BG11">
        <f t="shared" si="44"/>
        <v>0</v>
      </c>
      <c r="BH11">
        <f t="shared" si="44"/>
        <v>0</v>
      </c>
      <c r="BI11">
        <f t="shared" si="44"/>
        <v>0</v>
      </c>
      <c r="BJ11">
        <f t="shared" si="44"/>
        <v>0</v>
      </c>
    </row>
    <row r="12" spans="2:62" outlineLevel="1">
      <c r="B12" s="66" t="s">
        <v>252</v>
      </c>
      <c r="C12" s="126"/>
      <c r="D12" s="126"/>
      <c r="E12" s="126"/>
      <c r="F12" s="126"/>
      <c r="G12" s="126"/>
      <c r="H12" s="126"/>
      <c r="I12" s="126"/>
      <c r="J12" s="126"/>
      <c r="K12" s="126"/>
      <c r="L12" s="126"/>
      <c r="M12" s="126"/>
      <c r="N12" s="126"/>
      <c r="O12" s="126"/>
      <c r="P12" s="126"/>
      <c r="Q12" s="126"/>
      <c r="R12" s="126"/>
      <c r="S12" s="126">
        <f>-10-1-1-1</f>
        <v>-13</v>
      </c>
      <c r="T12" s="126">
        <v>-2</v>
      </c>
      <c r="U12" s="126"/>
      <c r="V12" s="126"/>
      <c r="W12" s="126"/>
      <c r="X12" s="126"/>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row>
    <row r="13" spans="2:62" outlineLevel="1">
      <c r="B13" s="66" t="s">
        <v>253</v>
      </c>
      <c r="C13" s="126">
        <v>0</v>
      </c>
      <c r="D13" s="126"/>
      <c r="E13" s="126"/>
      <c r="F13" s="126"/>
      <c r="G13" s="126"/>
      <c r="H13" s="126"/>
      <c r="I13" s="126"/>
      <c r="J13" s="126"/>
      <c r="K13" s="126"/>
      <c r="L13" s="126"/>
      <c r="M13" s="126"/>
      <c r="N13" s="126">
        <v>-2</v>
      </c>
      <c r="O13" s="126"/>
      <c r="P13" s="126"/>
      <c r="Q13" s="126"/>
      <c r="R13" s="126"/>
      <c r="S13" s="126"/>
      <c r="T13" s="126"/>
      <c r="U13" s="126"/>
      <c r="V13" s="126">
        <v>-1</v>
      </c>
      <c r="W13" s="126"/>
      <c r="X13" s="126">
        <v>-1</v>
      </c>
      <c r="Y13" s="67"/>
      <c r="Z13" s="67"/>
      <c r="AA13" s="67"/>
      <c r="AB13" s="126">
        <v>-1</v>
      </c>
      <c r="AC13" s="67"/>
      <c r="AD13" s="67"/>
      <c r="AE13" s="67"/>
      <c r="AF13" s="67"/>
      <c r="AG13" s="67"/>
      <c r="AH13" s="67">
        <v>-3</v>
      </c>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row>
    <row r="14" spans="2:62" outlineLevel="1">
      <c r="B14" s="57" t="s">
        <v>254</v>
      </c>
      <c r="C14" s="57">
        <f>SUM(C7,C8,C11)</f>
        <v>17</v>
      </c>
      <c r="D14" s="57">
        <f>SUM(D7,D8,D11)</f>
        <v>17</v>
      </c>
      <c r="E14" s="57">
        <f t="shared" ref="E14:R14" si="45">SUM(E7,E8,E11)</f>
        <v>17</v>
      </c>
      <c r="F14" s="57">
        <f t="shared" si="45"/>
        <v>27</v>
      </c>
      <c r="G14" s="57">
        <f t="shared" si="45"/>
        <v>27</v>
      </c>
      <c r="H14" s="57">
        <f t="shared" si="45"/>
        <v>27</v>
      </c>
      <c r="I14" s="57">
        <f t="shared" si="45"/>
        <v>39</v>
      </c>
      <c r="J14" s="57">
        <f t="shared" si="45"/>
        <v>39</v>
      </c>
      <c r="K14" s="57">
        <f t="shared" si="45"/>
        <v>39</v>
      </c>
      <c r="L14" s="57">
        <f t="shared" si="45"/>
        <v>39</v>
      </c>
      <c r="M14" s="57">
        <f t="shared" si="45"/>
        <v>39</v>
      </c>
      <c r="N14" s="57">
        <f t="shared" si="45"/>
        <v>37</v>
      </c>
      <c r="O14" s="57">
        <f t="shared" si="45"/>
        <v>42</v>
      </c>
      <c r="P14" s="57">
        <f t="shared" si="45"/>
        <v>42</v>
      </c>
      <c r="Q14" s="57">
        <f t="shared" si="45"/>
        <v>42</v>
      </c>
      <c r="R14" s="57">
        <f t="shared" si="45"/>
        <v>42</v>
      </c>
      <c r="S14" s="57">
        <f>SUM(S7,S8,S11)</f>
        <v>35</v>
      </c>
      <c r="T14" s="57">
        <f>SUM(T7,T8,T11)</f>
        <v>33</v>
      </c>
      <c r="U14" s="57">
        <f t="shared" ref="U14:AX14" si="46">SUM(U7,U8,U11)</f>
        <v>33</v>
      </c>
      <c r="V14" s="57">
        <f t="shared" si="46"/>
        <v>32</v>
      </c>
      <c r="W14" s="57">
        <f t="shared" si="46"/>
        <v>32</v>
      </c>
      <c r="X14" s="57">
        <f t="shared" si="46"/>
        <v>32</v>
      </c>
      <c r="Y14" s="57">
        <f t="shared" si="46"/>
        <v>32</v>
      </c>
      <c r="Z14" s="57">
        <f t="shared" si="46"/>
        <v>32</v>
      </c>
      <c r="AA14" s="57">
        <f t="shared" si="46"/>
        <v>32</v>
      </c>
      <c r="AB14" s="57">
        <f t="shared" si="46"/>
        <v>31</v>
      </c>
      <c r="AC14" s="57">
        <f t="shared" si="46"/>
        <v>31</v>
      </c>
      <c r="AD14" s="57">
        <f t="shared" si="46"/>
        <v>31</v>
      </c>
      <c r="AE14" s="57">
        <f t="shared" si="46"/>
        <v>31</v>
      </c>
      <c r="AF14" s="57">
        <f t="shared" si="46"/>
        <v>31</v>
      </c>
      <c r="AG14" s="57">
        <f t="shared" si="46"/>
        <v>31</v>
      </c>
      <c r="AH14" s="57">
        <f t="shared" si="46"/>
        <v>28</v>
      </c>
      <c r="AI14" s="57">
        <f t="shared" si="46"/>
        <v>28</v>
      </c>
      <c r="AJ14" s="57">
        <f t="shared" si="46"/>
        <v>28</v>
      </c>
      <c r="AK14" s="57">
        <f t="shared" si="46"/>
        <v>28</v>
      </c>
      <c r="AL14" s="57">
        <f t="shared" si="46"/>
        <v>28</v>
      </c>
      <c r="AM14" s="57">
        <f t="shared" si="46"/>
        <v>28</v>
      </c>
      <c r="AN14" s="57">
        <f t="shared" si="46"/>
        <v>28</v>
      </c>
      <c r="AO14" s="57">
        <f t="shared" si="46"/>
        <v>28</v>
      </c>
      <c r="AP14" s="57">
        <f t="shared" si="46"/>
        <v>28</v>
      </c>
      <c r="AQ14" s="57">
        <f t="shared" si="46"/>
        <v>28</v>
      </c>
      <c r="AR14" s="57">
        <f t="shared" si="46"/>
        <v>28</v>
      </c>
      <c r="AS14" s="57">
        <f t="shared" si="46"/>
        <v>28</v>
      </c>
      <c r="AT14" s="57">
        <f t="shared" si="46"/>
        <v>28</v>
      </c>
      <c r="AU14" s="57">
        <f t="shared" si="46"/>
        <v>28</v>
      </c>
      <c r="AV14" s="57">
        <f t="shared" si="46"/>
        <v>28</v>
      </c>
      <c r="AW14" s="57">
        <f t="shared" si="46"/>
        <v>28</v>
      </c>
      <c r="AX14" s="57">
        <f t="shared" si="46"/>
        <v>28</v>
      </c>
      <c r="AY14" s="57">
        <f t="shared" ref="AY14:BJ14" si="47">SUM(AY7,AY8,AY11)</f>
        <v>28</v>
      </c>
      <c r="AZ14" s="57">
        <f t="shared" si="47"/>
        <v>28</v>
      </c>
      <c r="BA14" s="57">
        <f t="shared" si="47"/>
        <v>28</v>
      </c>
      <c r="BB14" s="57">
        <f t="shared" si="47"/>
        <v>28</v>
      </c>
      <c r="BC14" s="57">
        <f t="shared" si="47"/>
        <v>28</v>
      </c>
      <c r="BD14" s="57">
        <f t="shared" si="47"/>
        <v>28</v>
      </c>
      <c r="BE14" s="57">
        <f t="shared" si="47"/>
        <v>28</v>
      </c>
      <c r="BF14" s="57">
        <f t="shared" si="47"/>
        <v>28</v>
      </c>
      <c r="BG14" s="57">
        <f t="shared" si="47"/>
        <v>28</v>
      </c>
      <c r="BH14" s="57">
        <f t="shared" si="47"/>
        <v>28</v>
      </c>
      <c r="BI14" s="57">
        <f t="shared" si="47"/>
        <v>28</v>
      </c>
      <c r="BJ14" s="57">
        <f t="shared" si="47"/>
        <v>28</v>
      </c>
    </row>
    <row r="15" spans="2:62" outlineLevel="1">
      <c r="B15" s="60" t="s">
        <v>255</v>
      </c>
    </row>
    <row r="16" spans="2:62" outlineLevel="1">
      <c r="B16" t="s">
        <v>256</v>
      </c>
      <c r="C16" s="56">
        <v>1.5</v>
      </c>
      <c r="D16" s="56">
        <v>1.5</v>
      </c>
      <c r="E16" s="56">
        <v>1.5</v>
      </c>
      <c r="F16" s="56">
        <v>1.5</v>
      </c>
      <c r="G16" s="56">
        <v>1.5</v>
      </c>
      <c r="H16" s="56">
        <v>1.5</v>
      </c>
      <c r="I16" s="56">
        <v>1.5</v>
      </c>
      <c r="J16" s="56">
        <v>1.5</v>
      </c>
      <c r="K16" s="56">
        <v>1.5</v>
      </c>
      <c r="L16" s="56">
        <v>1.5</v>
      </c>
      <c r="M16" s="56">
        <v>1.5</v>
      </c>
      <c r="N16" s="56">
        <v>1.5</v>
      </c>
      <c r="O16" s="56">
        <v>1.5</v>
      </c>
      <c r="P16" s="56">
        <v>1.5</v>
      </c>
      <c r="Q16" s="56">
        <v>1.5</v>
      </c>
      <c r="R16" s="56">
        <v>1.5</v>
      </c>
      <c r="S16" s="56">
        <v>1.5</v>
      </c>
      <c r="T16" s="56">
        <v>1.5</v>
      </c>
      <c r="U16" s="56">
        <v>1.5</v>
      </c>
      <c r="V16" s="56">
        <v>1.5</v>
      </c>
      <c r="W16" s="56">
        <v>1.5</v>
      </c>
      <c r="X16" s="56">
        <v>1.5</v>
      </c>
      <c r="Y16" s="56">
        <v>1.5</v>
      </c>
      <c r="Z16" s="56">
        <v>1.5</v>
      </c>
      <c r="AA16" s="56">
        <v>1.5</v>
      </c>
      <c r="AB16" s="56">
        <v>1.5</v>
      </c>
      <c r="AC16" s="56">
        <v>1.5</v>
      </c>
      <c r="AD16" s="56">
        <v>1.5</v>
      </c>
      <c r="AE16" s="56">
        <v>1.5</v>
      </c>
      <c r="AF16" s="56">
        <v>1.5</v>
      </c>
      <c r="AG16" s="56">
        <v>1.5</v>
      </c>
      <c r="AH16" s="56">
        <v>1.5</v>
      </c>
      <c r="AI16" s="56">
        <v>1.5</v>
      </c>
      <c r="AJ16" s="56">
        <v>1.5</v>
      </c>
      <c r="AK16" s="56">
        <v>1.5</v>
      </c>
      <c r="AL16" s="56">
        <v>1.5</v>
      </c>
      <c r="AM16" s="56">
        <v>1.5</v>
      </c>
      <c r="AN16" s="56">
        <v>1.5</v>
      </c>
      <c r="AO16" s="56">
        <v>1.5</v>
      </c>
      <c r="AP16" s="56">
        <v>1.5</v>
      </c>
      <c r="AQ16" s="56">
        <v>1.5</v>
      </c>
      <c r="AR16" s="56">
        <v>1.5</v>
      </c>
      <c r="AS16" s="56">
        <v>1.5</v>
      </c>
      <c r="AT16" s="56">
        <v>1.5</v>
      </c>
      <c r="AU16" s="56">
        <v>1.5</v>
      </c>
      <c r="AV16" s="56">
        <v>1.5</v>
      </c>
      <c r="AW16" s="56">
        <v>1.5</v>
      </c>
      <c r="AX16" s="56">
        <v>1.5</v>
      </c>
      <c r="AY16" s="56">
        <v>1.5</v>
      </c>
      <c r="AZ16" s="56">
        <v>1.5</v>
      </c>
      <c r="BA16" s="56">
        <v>1.5</v>
      </c>
      <c r="BB16" s="56">
        <v>1.5</v>
      </c>
      <c r="BC16" s="56">
        <v>1.5</v>
      </c>
      <c r="BD16" s="56">
        <v>1.5</v>
      </c>
      <c r="BE16" s="56">
        <v>1.5</v>
      </c>
      <c r="BF16" s="56">
        <v>1.5</v>
      </c>
      <c r="BG16" s="56">
        <v>1.5</v>
      </c>
      <c r="BH16" s="56">
        <v>1.5</v>
      </c>
      <c r="BI16" s="56">
        <v>1.5</v>
      </c>
      <c r="BJ16" s="56">
        <v>1.5</v>
      </c>
    </row>
    <row r="17" spans="2:62" outlineLevel="1">
      <c r="B17" s="57" t="s">
        <v>398</v>
      </c>
      <c r="C17" s="68">
        <f>+C16*C14*C3</f>
        <v>765</v>
      </c>
      <c r="D17" s="68">
        <f>+D16*D14*D3</f>
        <v>790.5</v>
      </c>
      <c r="E17" s="68">
        <f t="shared" ref="E17:AX17" si="48">+E16*E14*E3</f>
        <v>765</v>
      </c>
      <c r="F17" s="68">
        <f t="shared" si="48"/>
        <v>1255.5</v>
      </c>
      <c r="G17" s="68">
        <f t="shared" si="48"/>
        <v>1255.5</v>
      </c>
      <c r="H17" s="68">
        <f t="shared" si="48"/>
        <v>1134</v>
      </c>
      <c r="I17" s="68">
        <f t="shared" si="48"/>
        <v>1813.5</v>
      </c>
      <c r="J17" s="68">
        <f t="shared" si="48"/>
        <v>1755</v>
      </c>
      <c r="K17" s="68">
        <f t="shared" si="48"/>
        <v>1813.5</v>
      </c>
      <c r="L17" s="68">
        <f t="shared" si="48"/>
        <v>1755</v>
      </c>
      <c r="M17" s="68">
        <f t="shared" si="48"/>
        <v>1813.5</v>
      </c>
      <c r="N17" s="68">
        <f t="shared" si="48"/>
        <v>1720.5</v>
      </c>
      <c r="O17" s="68">
        <f t="shared" si="48"/>
        <v>1890</v>
      </c>
      <c r="P17" s="68">
        <f t="shared" si="48"/>
        <v>1953</v>
      </c>
      <c r="Q17" s="68">
        <f t="shared" si="48"/>
        <v>1890</v>
      </c>
      <c r="R17" s="68">
        <f t="shared" si="48"/>
        <v>1953</v>
      </c>
      <c r="S17" s="68">
        <f t="shared" si="48"/>
        <v>1627.5</v>
      </c>
      <c r="T17" s="68">
        <f t="shared" si="48"/>
        <v>1386</v>
      </c>
      <c r="U17" s="68">
        <f t="shared" si="48"/>
        <v>1534.5</v>
      </c>
      <c r="V17" s="68">
        <f t="shared" si="48"/>
        <v>1440</v>
      </c>
      <c r="W17" s="68">
        <f t="shared" si="48"/>
        <v>1488</v>
      </c>
      <c r="X17" s="68">
        <f t="shared" si="48"/>
        <v>1440</v>
      </c>
      <c r="Y17" s="68">
        <f t="shared" si="48"/>
        <v>1488</v>
      </c>
      <c r="Z17" s="68">
        <f t="shared" si="48"/>
        <v>1488</v>
      </c>
      <c r="AA17" s="68">
        <f t="shared" si="48"/>
        <v>1440</v>
      </c>
      <c r="AB17" s="68">
        <f t="shared" si="48"/>
        <v>1441.5</v>
      </c>
      <c r="AC17" s="68">
        <f t="shared" si="48"/>
        <v>1395</v>
      </c>
      <c r="AD17" s="68">
        <f t="shared" si="48"/>
        <v>1441.5</v>
      </c>
      <c r="AE17" s="68">
        <f t="shared" si="48"/>
        <v>1441.5</v>
      </c>
      <c r="AF17" s="68">
        <f t="shared" si="48"/>
        <v>1302</v>
      </c>
      <c r="AG17" s="68">
        <f t="shared" si="48"/>
        <v>1441.5</v>
      </c>
      <c r="AH17" s="68">
        <f t="shared" si="48"/>
        <v>1260</v>
      </c>
      <c r="AI17" s="68">
        <f t="shared" si="48"/>
        <v>1302</v>
      </c>
      <c r="AJ17" s="68">
        <f t="shared" si="48"/>
        <v>1260</v>
      </c>
      <c r="AK17" s="68">
        <f t="shared" si="48"/>
        <v>1302</v>
      </c>
      <c r="AL17" s="68">
        <f t="shared" si="48"/>
        <v>1302</v>
      </c>
      <c r="AM17" s="68">
        <f t="shared" si="48"/>
        <v>1260</v>
      </c>
      <c r="AN17" s="68">
        <f t="shared" si="48"/>
        <v>1302</v>
      </c>
      <c r="AO17" s="68">
        <f t="shared" si="48"/>
        <v>1260</v>
      </c>
      <c r="AP17" s="68">
        <f t="shared" si="48"/>
        <v>1302</v>
      </c>
      <c r="AQ17" s="68">
        <f t="shared" si="48"/>
        <v>1302</v>
      </c>
      <c r="AR17" s="68">
        <f t="shared" si="48"/>
        <v>1176</v>
      </c>
      <c r="AS17" s="68">
        <f t="shared" si="48"/>
        <v>1302</v>
      </c>
      <c r="AT17" s="68">
        <f t="shared" si="48"/>
        <v>1260</v>
      </c>
      <c r="AU17" s="68">
        <f t="shared" si="48"/>
        <v>1302</v>
      </c>
      <c r="AV17" s="68">
        <f t="shared" si="48"/>
        <v>1260</v>
      </c>
      <c r="AW17" s="68">
        <f t="shared" si="48"/>
        <v>1302</v>
      </c>
      <c r="AX17" s="68">
        <f t="shared" si="48"/>
        <v>1302</v>
      </c>
      <c r="AY17" s="68">
        <f t="shared" ref="AY17:BJ17" si="49">+AY16*AY14*AY3</f>
        <v>1260</v>
      </c>
      <c r="AZ17" s="68">
        <f t="shared" si="49"/>
        <v>1302</v>
      </c>
      <c r="BA17" s="68">
        <f t="shared" si="49"/>
        <v>1260</v>
      </c>
      <c r="BB17" s="68">
        <f t="shared" si="49"/>
        <v>1302</v>
      </c>
      <c r="BC17" s="68">
        <f t="shared" si="49"/>
        <v>1302</v>
      </c>
      <c r="BD17" s="68">
        <f t="shared" si="49"/>
        <v>1176</v>
      </c>
      <c r="BE17" s="68">
        <f t="shared" si="49"/>
        <v>1302</v>
      </c>
      <c r="BF17" s="68">
        <f t="shared" si="49"/>
        <v>1260</v>
      </c>
      <c r="BG17" s="68">
        <f t="shared" si="49"/>
        <v>1302</v>
      </c>
      <c r="BH17" s="68">
        <f t="shared" si="49"/>
        <v>1260</v>
      </c>
      <c r="BI17" s="68">
        <f t="shared" si="49"/>
        <v>1302</v>
      </c>
      <c r="BJ17" s="68">
        <f t="shared" si="49"/>
        <v>1302</v>
      </c>
    </row>
    <row r="18" spans="2:62" outlineLevel="1">
      <c r="B18" t="s">
        <v>412</v>
      </c>
      <c r="C18">
        <f>SUM(C19:C20)</f>
        <v>2</v>
      </c>
      <c r="D18">
        <f t="shared" ref="D18:AX18" si="50">SUM(D19:D20)</f>
        <v>2</v>
      </c>
      <c r="E18">
        <f t="shared" si="50"/>
        <v>2</v>
      </c>
      <c r="F18">
        <f t="shared" si="50"/>
        <v>4</v>
      </c>
      <c r="G18">
        <f t="shared" si="50"/>
        <v>4</v>
      </c>
      <c r="H18">
        <f t="shared" si="50"/>
        <v>4</v>
      </c>
      <c r="I18">
        <f t="shared" si="50"/>
        <v>4</v>
      </c>
      <c r="J18">
        <f t="shared" si="50"/>
        <v>2</v>
      </c>
      <c r="K18">
        <f t="shared" si="50"/>
        <v>2</v>
      </c>
      <c r="L18">
        <f t="shared" si="50"/>
        <v>2</v>
      </c>
      <c r="M18">
        <f t="shared" si="50"/>
        <v>2</v>
      </c>
      <c r="N18">
        <f t="shared" si="50"/>
        <v>2</v>
      </c>
      <c r="O18">
        <f t="shared" si="50"/>
        <v>2</v>
      </c>
      <c r="P18">
        <f t="shared" si="50"/>
        <v>2</v>
      </c>
      <c r="Q18">
        <f t="shared" si="50"/>
        <v>2</v>
      </c>
      <c r="R18">
        <f t="shared" si="50"/>
        <v>2</v>
      </c>
      <c r="S18">
        <f t="shared" si="50"/>
        <v>2</v>
      </c>
      <c r="T18">
        <f t="shared" si="50"/>
        <v>2</v>
      </c>
      <c r="U18">
        <f t="shared" si="50"/>
        <v>2</v>
      </c>
      <c r="V18">
        <f t="shared" si="50"/>
        <v>2</v>
      </c>
      <c r="W18">
        <f t="shared" si="50"/>
        <v>2</v>
      </c>
      <c r="X18">
        <f t="shared" si="50"/>
        <v>2</v>
      </c>
      <c r="Y18">
        <f t="shared" si="50"/>
        <v>2</v>
      </c>
      <c r="Z18">
        <f t="shared" si="50"/>
        <v>2</v>
      </c>
      <c r="AA18">
        <f t="shared" si="50"/>
        <v>2</v>
      </c>
      <c r="AB18">
        <f t="shared" si="50"/>
        <v>2</v>
      </c>
      <c r="AC18">
        <f t="shared" si="50"/>
        <v>2</v>
      </c>
      <c r="AD18">
        <f t="shared" si="50"/>
        <v>2</v>
      </c>
      <c r="AE18">
        <f t="shared" si="50"/>
        <v>2</v>
      </c>
      <c r="AF18">
        <f t="shared" si="50"/>
        <v>2</v>
      </c>
      <c r="AG18">
        <f t="shared" si="50"/>
        <v>2</v>
      </c>
      <c r="AH18">
        <f t="shared" si="50"/>
        <v>2</v>
      </c>
      <c r="AI18">
        <f t="shared" si="50"/>
        <v>2</v>
      </c>
      <c r="AJ18">
        <f t="shared" si="50"/>
        <v>2</v>
      </c>
      <c r="AK18">
        <f t="shared" si="50"/>
        <v>2</v>
      </c>
      <c r="AL18">
        <f t="shared" si="50"/>
        <v>2</v>
      </c>
      <c r="AM18">
        <f t="shared" si="50"/>
        <v>2</v>
      </c>
      <c r="AN18">
        <f t="shared" si="50"/>
        <v>2</v>
      </c>
      <c r="AO18">
        <f t="shared" si="50"/>
        <v>2</v>
      </c>
      <c r="AP18">
        <f t="shared" si="50"/>
        <v>2</v>
      </c>
      <c r="AQ18">
        <f t="shared" si="50"/>
        <v>2</v>
      </c>
      <c r="AR18">
        <f t="shared" si="50"/>
        <v>2</v>
      </c>
      <c r="AS18">
        <f t="shared" si="50"/>
        <v>2</v>
      </c>
      <c r="AT18">
        <f t="shared" si="50"/>
        <v>2</v>
      </c>
      <c r="AU18">
        <f t="shared" si="50"/>
        <v>2</v>
      </c>
      <c r="AV18">
        <f t="shared" si="50"/>
        <v>2</v>
      </c>
      <c r="AW18">
        <f t="shared" si="50"/>
        <v>2</v>
      </c>
      <c r="AX18">
        <f t="shared" si="50"/>
        <v>2</v>
      </c>
      <c r="AY18">
        <f t="shared" ref="AY18:BJ18" si="51">SUM(AY19:AY20)</f>
        <v>2</v>
      </c>
      <c r="AZ18">
        <f t="shared" si="51"/>
        <v>2</v>
      </c>
      <c r="BA18">
        <f t="shared" si="51"/>
        <v>2</v>
      </c>
      <c r="BB18">
        <f t="shared" si="51"/>
        <v>2</v>
      </c>
      <c r="BC18">
        <f t="shared" si="51"/>
        <v>2</v>
      </c>
      <c r="BD18">
        <f t="shared" si="51"/>
        <v>2</v>
      </c>
      <c r="BE18">
        <f t="shared" si="51"/>
        <v>2</v>
      </c>
      <c r="BF18">
        <f t="shared" si="51"/>
        <v>2</v>
      </c>
      <c r="BG18">
        <f t="shared" si="51"/>
        <v>2</v>
      </c>
      <c r="BH18">
        <f t="shared" si="51"/>
        <v>2</v>
      </c>
      <c r="BI18">
        <f t="shared" si="51"/>
        <v>2</v>
      </c>
      <c r="BJ18">
        <f t="shared" si="51"/>
        <v>2</v>
      </c>
    </row>
    <row r="19" spans="2:62" outlineLevel="1">
      <c r="B19" s="66" t="s">
        <v>259</v>
      </c>
      <c r="C19" s="126">
        <v>0</v>
      </c>
      <c r="D19" s="126">
        <f t="shared" ref="D19" si="52">+C19</f>
        <v>0</v>
      </c>
      <c r="E19" s="126">
        <f t="shared" ref="E19" si="53">+D19</f>
        <v>0</v>
      </c>
      <c r="F19" s="126">
        <f t="shared" ref="F19" si="54">+E19</f>
        <v>0</v>
      </c>
      <c r="G19" s="126">
        <f t="shared" ref="G19" si="55">+F19</f>
        <v>0</v>
      </c>
      <c r="H19" s="126">
        <f t="shared" ref="H19" si="56">+G19</f>
        <v>0</v>
      </c>
      <c r="I19" s="126">
        <f t="shared" ref="I19" si="57">+H19</f>
        <v>0</v>
      </c>
      <c r="J19" s="126">
        <f t="shared" ref="J19" si="58">+I19</f>
        <v>0</v>
      </c>
      <c r="K19" s="126">
        <f t="shared" ref="K19" si="59">+J19</f>
        <v>0</v>
      </c>
      <c r="L19" s="126">
        <f t="shared" ref="L19" si="60">+K19</f>
        <v>0</v>
      </c>
      <c r="M19" s="126">
        <f t="shared" ref="M19" si="61">+L19</f>
        <v>0</v>
      </c>
      <c r="N19" s="126">
        <f t="shared" ref="N19" si="62">+M19</f>
        <v>0</v>
      </c>
      <c r="O19" s="126">
        <f t="shared" ref="O19" si="63">+N19</f>
        <v>0</v>
      </c>
      <c r="P19" s="126">
        <f t="shared" ref="P19" si="64">+O19</f>
        <v>0</v>
      </c>
      <c r="Q19" s="126">
        <f t="shared" ref="Q19" si="65">+P19</f>
        <v>0</v>
      </c>
      <c r="R19" s="126">
        <f t="shared" ref="R19" si="66">+Q19</f>
        <v>0</v>
      </c>
      <c r="S19" s="126">
        <f t="shared" ref="S19" si="67">+R19</f>
        <v>0</v>
      </c>
      <c r="T19" s="126">
        <f t="shared" ref="T19" si="68">+S19</f>
        <v>0</v>
      </c>
      <c r="U19" s="126">
        <f t="shared" ref="U19" si="69">+T19</f>
        <v>0</v>
      </c>
      <c r="V19" s="126">
        <f t="shared" ref="V19" si="70">+U19</f>
        <v>0</v>
      </c>
      <c r="W19" s="126">
        <f t="shared" ref="W19" si="71">+V19</f>
        <v>0</v>
      </c>
      <c r="X19" s="126">
        <f t="shared" ref="X19" si="72">+W19</f>
        <v>0</v>
      </c>
      <c r="Y19" s="67">
        <f t="shared" ref="Y19" si="73">+X19</f>
        <v>0</v>
      </c>
      <c r="Z19" s="67">
        <f t="shared" ref="Z19" si="74">+Y19</f>
        <v>0</v>
      </c>
      <c r="AA19" s="67">
        <f t="shared" ref="AA19" si="75">+Z19</f>
        <v>0</v>
      </c>
      <c r="AB19" s="67">
        <f t="shared" ref="AB19" si="76">+AA19</f>
        <v>0</v>
      </c>
      <c r="AC19" s="67">
        <f t="shared" ref="AC19" si="77">+AB19</f>
        <v>0</v>
      </c>
      <c r="AD19" s="67">
        <f t="shared" ref="AD19" si="78">+AC19</f>
        <v>0</v>
      </c>
      <c r="AE19" s="67">
        <f t="shared" ref="AE19" si="79">+AD19</f>
        <v>0</v>
      </c>
      <c r="AF19" s="67">
        <f t="shared" ref="AF19" si="80">+AE19</f>
        <v>0</v>
      </c>
      <c r="AG19" s="67">
        <f t="shared" ref="AG19" si="81">+AF19</f>
        <v>0</v>
      </c>
      <c r="AH19" s="67">
        <f t="shared" ref="AH19" si="82">+AG19</f>
        <v>0</v>
      </c>
      <c r="AI19" s="67">
        <f t="shared" ref="AI19" si="83">+AH19</f>
        <v>0</v>
      </c>
      <c r="AJ19" s="67">
        <f t="shared" ref="AJ19" si="84">+AI19</f>
        <v>0</v>
      </c>
      <c r="AK19" s="67">
        <f t="shared" ref="AK19" si="85">+AJ19</f>
        <v>0</v>
      </c>
      <c r="AL19" s="67">
        <f t="shared" ref="AL19" si="86">+AK19</f>
        <v>0</v>
      </c>
      <c r="AM19" s="67">
        <f t="shared" ref="AM19" si="87">+AL19</f>
        <v>0</v>
      </c>
      <c r="AN19" s="67">
        <f t="shared" ref="AN19" si="88">+AM19</f>
        <v>0</v>
      </c>
      <c r="AO19" s="67">
        <f t="shared" ref="AO19" si="89">+AN19</f>
        <v>0</v>
      </c>
      <c r="AP19" s="67">
        <f t="shared" ref="AP19" si="90">+AO19</f>
        <v>0</v>
      </c>
      <c r="AQ19" s="67">
        <f t="shared" ref="AQ19" si="91">+AP19</f>
        <v>0</v>
      </c>
      <c r="AR19" s="67">
        <f t="shared" ref="AR19" si="92">+AQ19</f>
        <v>0</v>
      </c>
      <c r="AS19" s="67">
        <f t="shared" ref="AS19" si="93">+AR19</f>
        <v>0</v>
      </c>
      <c r="AT19" s="67">
        <f t="shared" ref="AT19" si="94">+AS19</f>
        <v>0</v>
      </c>
      <c r="AU19" s="67">
        <f t="shared" ref="AU19" si="95">+AT19</f>
        <v>0</v>
      </c>
      <c r="AV19" s="67">
        <f t="shared" ref="AV19" si="96">+AU19</f>
        <v>0</v>
      </c>
      <c r="AW19" s="67">
        <f t="shared" ref="AW19" si="97">+AV19</f>
        <v>0</v>
      </c>
      <c r="AX19" s="67">
        <f t="shared" ref="AX19" si="98">+AW19</f>
        <v>0</v>
      </c>
      <c r="AY19" s="67">
        <f t="shared" ref="AY19:BJ19" si="99">+AX19</f>
        <v>0</v>
      </c>
      <c r="AZ19" s="67">
        <f t="shared" si="99"/>
        <v>0</v>
      </c>
      <c r="BA19" s="67">
        <f t="shared" si="99"/>
        <v>0</v>
      </c>
      <c r="BB19" s="67">
        <f t="shared" si="99"/>
        <v>0</v>
      </c>
      <c r="BC19" s="67">
        <f t="shared" si="99"/>
        <v>0</v>
      </c>
      <c r="BD19" s="67">
        <f t="shared" si="99"/>
        <v>0</v>
      </c>
      <c r="BE19" s="67">
        <f t="shared" si="99"/>
        <v>0</v>
      </c>
      <c r="BF19" s="67">
        <f t="shared" si="99"/>
        <v>0</v>
      </c>
      <c r="BG19" s="67">
        <f t="shared" si="99"/>
        <v>0</v>
      </c>
      <c r="BH19" s="67">
        <f t="shared" si="99"/>
        <v>0</v>
      </c>
      <c r="BI19" s="67">
        <f t="shared" si="99"/>
        <v>0</v>
      </c>
      <c r="BJ19" s="67">
        <f t="shared" si="99"/>
        <v>0</v>
      </c>
    </row>
    <row r="20" spans="2:62" outlineLevel="1">
      <c r="B20" s="66" t="s">
        <v>410</v>
      </c>
      <c r="C20" s="126">
        <v>2</v>
      </c>
      <c r="D20" s="126">
        <f>C20</f>
        <v>2</v>
      </c>
      <c r="E20" s="126">
        <f>D20</f>
        <v>2</v>
      </c>
      <c r="F20" s="126">
        <f>E20+2</f>
        <v>4</v>
      </c>
      <c r="G20" s="126">
        <f t="shared" ref="G20" si="100">F20</f>
        <v>4</v>
      </c>
      <c r="H20" s="126">
        <f t="shared" ref="H20" si="101">G20</f>
        <v>4</v>
      </c>
      <c r="I20" s="126">
        <f t="shared" ref="I20" si="102">H20</f>
        <v>4</v>
      </c>
      <c r="J20" s="126">
        <f>I20-2</f>
        <v>2</v>
      </c>
      <c r="K20" s="126">
        <f t="shared" ref="K20" si="103">J20</f>
        <v>2</v>
      </c>
      <c r="L20" s="126">
        <f t="shared" ref="L20" si="104">K20</f>
        <v>2</v>
      </c>
      <c r="M20" s="126">
        <f t="shared" ref="M20:N20" si="105">L20</f>
        <v>2</v>
      </c>
      <c r="N20" s="126">
        <f t="shared" si="105"/>
        <v>2</v>
      </c>
      <c r="O20" s="126">
        <f t="shared" ref="O20" si="106">N20</f>
        <v>2</v>
      </c>
      <c r="P20" s="126">
        <f t="shared" ref="P20" si="107">O20</f>
        <v>2</v>
      </c>
      <c r="Q20" s="126">
        <f t="shared" ref="Q20" si="108">P20</f>
        <v>2</v>
      </c>
      <c r="R20" s="126">
        <f t="shared" ref="R20" si="109">Q20</f>
        <v>2</v>
      </c>
      <c r="S20" s="126">
        <f t="shared" ref="S20" si="110">R20</f>
        <v>2</v>
      </c>
      <c r="T20" s="126">
        <f t="shared" ref="T20" si="111">S20</f>
        <v>2</v>
      </c>
      <c r="U20" s="126">
        <f t="shared" ref="U20" si="112">T20</f>
        <v>2</v>
      </c>
      <c r="V20" s="126">
        <f t="shared" ref="V20" si="113">U20</f>
        <v>2</v>
      </c>
      <c r="W20" s="126">
        <f t="shared" ref="W20" si="114">V20</f>
        <v>2</v>
      </c>
      <c r="X20" s="126">
        <f t="shared" ref="X20" si="115">W20</f>
        <v>2</v>
      </c>
      <c r="Y20" s="67">
        <f t="shared" ref="Y20" si="116">X20</f>
        <v>2</v>
      </c>
      <c r="Z20" s="67">
        <f t="shared" ref="Z20" si="117">Y20</f>
        <v>2</v>
      </c>
      <c r="AA20" s="67">
        <f t="shared" ref="AA20" si="118">Z20</f>
        <v>2</v>
      </c>
      <c r="AB20" s="67">
        <f t="shared" ref="AB20" si="119">AA20</f>
        <v>2</v>
      </c>
      <c r="AC20" s="67">
        <f t="shared" ref="AC20" si="120">AB20</f>
        <v>2</v>
      </c>
      <c r="AD20" s="67">
        <f t="shared" ref="AD20" si="121">AC20</f>
        <v>2</v>
      </c>
      <c r="AE20" s="67">
        <f t="shared" ref="AE20" si="122">AD20</f>
        <v>2</v>
      </c>
      <c r="AF20" s="67">
        <f t="shared" ref="AF20" si="123">AE20</f>
        <v>2</v>
      </c>
      <c r="AG20" s="67">
        <f t="shared" ref="AG20" si="124">AF20</f>
        <v>2</v>
      </c>
      <c r="AH20" s="67">
        <f t="shared" ref="AH20" si="125">AG20</f>
        <v>2</v>
      </c>
      <c r="AI20" s="67">
        <f t="shared" ref="AI20" si="126">AH20</f>
        <v>2</v>
      </c>
      <c r="AJ20" s="67">
        <f t="shared" ref="AJ20" si="127">AI20</f>
        <v>2</v>
      </c>
      <c r="AK20" s="67">
        <f t="shared" ref="AK20" si="128">AJ20</f>
        <v>2</v>
      </c>
      <c r="AL20" s="67">
        <f t="shared" ref="AL20" si="129">AK20</f>
        <v>2</v>
      </c>
      <c r="AM20" s="67">
        <f t="shared" ref="AM20" si="130">AL20</f>
        <v>2</v>
      </c>
      <c r="AN20" s="67">
        <f t="shared" ref="AN20" si="131">AM20</f>
        <v>2</v>
      </c>
      <c r="AO20" s="67">
        <f t="shared" ref="AO20" si="132">AN20</f>
        <v>2</v>
      </c>
      <c r="AP20" s="67">
        <f t="shared" ref="AP20" si="133">AO20</f>
        <v>2</v>
      </c>
      <c r="AQ20" s="67">
        <f t="shared" ref="AQ20" si="134">AP20</f>
        <v>2</v>
      </c>
      <c r="AR20" s="67">
        <f t="shared" ref="AR20" si="135">AQ20</f>
        <v>2</v>
      </c>
      <c r="AS20" s="67">
        <f t="shared" ref="AS20" si="136">AR20</f>
        <v>2</v>
      </c>
      <c r="AT20" s="67">
        <f t="shared" ref="AT20" si="137">AS20</f>
        <v>2</v>
      </c>
      <c r="AU20" s="67">
        <f t="shared" ref="AU20" si="138">AT20</f>
        <v>2</v>
      </c>
      <c r="AV20" s="67">
        <f t="shared" ref="AV20" si="139">AU20</f>
        <v>2</v>
      </c>
      <c r="AW20" s="67">
        <f t="shared" ref="AW20" si="140">AV20</f>
        <v>2</v>
      </c>
      <c r="AX20" s="67">
        <f t="shared" ref="AX20" si="141">AW20</f>
        <v>2</v>
      </c>
      <c r="AY20" s="67">
        <f t="shared" ref="AY20:BJ20" si="142">AX20</f>
        <v>2</v>
      </c>
      <c r="AZ20" s="67">
        <f t="shared" si="142"/>
        <v>2</v>
      </c>
      <c r="BA20" s="67">
        <f t="shared" si="142"/>
        <v>2</v>
      </c>
      <c r="BB20" s="67">
        <f t="shared" si="142"/>
        <v>2</v>
      </c>
      <c r="BC20" s="67">
        <f t="shared" si="142"/>
        <v>2</v>
      </c>
      <c r="BD20" s="67">
        <f t="shared" si="142"/>
        <v>2</v>
      </c>
      <c r="BE20" s="67">
        <f t="shared" si="142"/>
        <v>2</v>
      </c>
      <c r="BF20" s="67">
        <f t="shared" si="142"/>
        <v>2</v>
      </c>
      <c r="BG20" s="67">
        <f t="shared" si="142"/>
        <v>2</v>
      </c>
      <c r="BH20" s="67">
        <f t="shared" si="142"/>
        <v>2</v>
      </c>
      <c r="BI20" s="67">
        <f t="shared" si="142"/>
        <v>2</v>
      </c>
      <c r="BJ20" s="67">
        <f t="shared" si="142"/>
        <v>2</v>
      </c>
    </row>
    <row r="21" spans="2:62" outlineLevel="1">
      <c r="B21" s="57" t="s">
        <v>411</v>
      </c>
      <c r="C21" s="57">
        <f t="shared" ref="C21:AX21" si="143">+C14-C18</f>
        <v>15</v>
      </c>
      <c r="D21" s="57">
        <f t="shared" si="143"/>
        <v>15</v>
      </c>
      <c r="E21" s="57">
        <f t="shared" si="143"/>
        <v>15</v>
      </c>
      <c r="F21" s="57">
        <f t="shared" si="143"/>
        <v>23</v>
      </c>
      <c r="G21" s="57">
        <f t="shared" si="143"/>
        <v>23</v>
      </c>
      <c r="H21" s="57">
        <f t="shared" si="143"/>
        <v>23</v>
      </c>
      <c r="I21" s="57">
        <f t="shared" si="143"/>
        <v>35</v>
      </c>
      <c r="J21" s="57">
        <f t="shared" si="143"/>
        <v>37</v>
      </c>
      <c r="K21" s="57">
        <f t="shared" si="143"/>
        <v>37</v>
      </c>
      <c r="L21" s="57">
        <f t="shared" si="143"/>
        <v>37</v>
      </c>
      <c r="M21" s="57">
        <f t="shared" si="143"/>
        <v>37</v>
      </c>
      <c r="N21" s="57">
        <f>+N14-N18</f>
        <v>35</v>
      </c>
      <c r="O21" s="57">
        <f t="shared" si="143"/>
        <v>40</v>
      </c>
      <c r="P21" s="57">
        <f t="shared" si="143"/>
        <v>40</v>
      </c>
      <c r="Q21" s="57">
        <f t="shared" si="143"/>
        <v>40</v>
      </c>
      <c r="R21" s="57">
        <f t="shared" si="143"/>
        <v>40</v>
      </c>
      <c r="S21" s="57">
        <f t="shared" si="143"/>
        <v>33</v>
      </c>
      <c r="T21" s="57">
        <f>+T14-T18</f>
        <v>31</v>
      </c>
      <c r="U21" s="57">
        <f t="shared" si="143"/>
        <v>31</v>
      </c>
      <c r="V21" s="57">
        <f>+V14-V18</f>
        <v>30</v>
      </c>
      <c r="W21" s="57">
        <f t="shared" si="143"/>
        <v>30</v>
      </c>
      <c r="X21" s="57">
        <f t="shared" si="143"/>
        <v>30</v>
      </c>
      <c r="Y21" s="57">
        <f t="shared" si="143"/>
        <v>30</v>
      </c>
      <c r="Z21" s="57">
        <f t="shared" si="143"/>
        <v>30</v>
      </c>
      <c r="AA21" s="57">
        <f t="shared" si="143"/>
        <v>30</v>
      </c>
      <c r="AB21" s="57">
        <f t="shared" si="143"/>
        <v>29</v>
      </c>
      <c r="AC21" s="57">
        <f t="shared" si="143"/>
        <v>29</v>
      </c>
      <c r="AD21" s="57">
        <f t="shared" si="143"/>
        <v>29</v>
      </c>
      <c r="AE21" s="57">
        <f t="shared" si="143"/>
        <v>29</v>
      </c>
      <c r="AF21" s="57">
        <f t="shared" si="143"/>
        <v>29</v>
      </c>
      <c r="AG21" s="57">
        <f t="shared" si="143"/>
        <v>29</v>
      </c>
      <c r="AH21" s="57">
        <f t="shared" si="143"/>
        <v>26</v>
      </c>
      <c r="AI21" s="57">
        <f t="shared" si="143"/>
        <v>26</v>
      </c>
      <c r="AJ21" s="57">
        <f t="shared" si="143"/>
        <v>26</v>
      </c>
      <c r="AK21" s="57">
        <f t="shared" si="143"/>
        <v>26</v>
      </c>
      <c r="AL21" s="57">
        <f t="shared" si="143"/>
        <v>26</v>
      </c>
      <c r="AM21" s="57">
        <f t="shared" si="143"/>
        <v>26</v>
      </c>
      <c r="AN21" s="57">
        <f t="shared" si="143"/>
        <v>26</v>
      </c>
      <c r="AO21" s="57">
        <f t="shared" si="143"/>
        <v>26</v>
      </c>
      <c r="AP21" s="57">
        <f t="shared" si="143"/>
        <v>26</v>
      </c>
      <c r="AQ21" s="57">
        <f t="shared" si="143"/>
        <v>26</v>
      </c>
      <c r="AR21" s="57">
        <f t="shared" si="143"/>
        <v>26</v>
      </c>
      <c r="AS21" s="57">
        <f t="shared" si="143"/>
        <v>26</v>
      </c>
      <c r="AT21" s="57">
        <f t="shared" si="143"/>
        <v>26</v>
      </c>
      <c r="AU21" s="57">
        <f t="shared" si="143"/>
        <v>26</v>
      </c>
      <c r="AV21" s="57">
        <f t="shared" si="143"/>
        <v>26</v>
      </c>
      <c r="AW21" s="57">
        <f t="shared" si="143"/>
        <v>26</v>
      </c>
      <c r="AX21" s="57">
        <f t="shared" si="143"/>
        <v>26</v>
      </c>
      <c r="AY21" s="57">
        <f t="shared" ref="AY21:BJ21" si="144">+AY14-AY18</f>
        <v>26</v>
      </c>
      <c r="AZ21" s="57">
        <f t="shared" si="144"/>
        <v>26</v>
      </c>
      <c r="BA21" s="57">
        <f t="shared" si="144"/>
        <v>26</v>
      </c>
      <c r="BB21" s="57">
        <f t="shared" si="144"/>
        <v>26</v>
      </c>
      <c r="BC21" s="57">
        <f t="shared" si="144"/>
        <v>26</v>
      </c>
      <c r="BD21" s="57">
        <f t="shared" si="144"/>
        <v>26</v>
      </c>
      <c r="BE21" s="57">
        <f t="shared" si="144"/>
        <v>26</v>
      </c>
      <c r="BF21" s="57">
        <f t="shared" si="144"/>
        <v>26</v>
      </c>
      <c r="BG21" s="57">
        <f t="shared" si="144"/>
        <v>26</v>
      </c>
      <c r="BH21" s="57">
        <f t="shared" si="144"/>
        <v>26</v>
      </c>
      <c r="BI21" s="57">
        <f t="shared" si="144"/>
        <v>26</v>
      </c>
      <c r="BJ21" s="57">
        <f t="shared" si="144"/>
        <v>26</v>
      </c>
    </row>
    <row r="22" spans="2:62">
      <c r="B22" s="54"/>
      <c r="C22" s="468"/>
      <c r="D22" s="468"/>
      <c r="E22" s="468"/>
      <c r="F22" s="468"/>
      <c r="G22" s="468"/>
      <c r="H22" s="468"/>
      <c r="I22" s="468"/>
      <c r="J22" s="468"/>
      <c r="K22" s="468"/>
      <c r="L22" s="468"/>
      <c r="M22" s="468"/>
      <c r="N22" s="468"/>
      <c r="O22" s="468"/>
      <c r="P22" s="468"/>
      <c r="Q22" s="468"/>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8"/>
    </row>
    <row r="23" spans="2:62" outlineLevel="1">
      <c r="B23" s="54" t="s">
        <v>413</v>
      </c>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row>
    <row r="24" spans="2:62" outlineLevel="1">
      <c r="B24" t="s">
        <v>247</v>
      </c>
      <c r="C24" s="56">
        <v>0</v>
      </c>
      <c r="D24">
        <f>+C28</f>
        <v>0</v>
      </c>
      <c r="E24">
        <f t="shared" ref="E24" si="145">+D28</f>
        <v>0</v>
      </c>
      <c r="F24">
        <f t="shared" ref="F24" si="146">+E28</f>
        <v>0</v>
      </c>
      <c r="G24">
        <f t="shared" ref="G24" si="147">+F28</f>
        <v>0</v>
      </c>
      <c r="H24">
        <f t="shared" ref="H24" si="148">+G28</f>
        <v>48</v>
      </c>
      <c r="I24">
        <f t="shared" ref="I24" si="149">+H28</f>
        <v>48</v>
      </c>
      <c r="J24">
        <f t="shared" ref="J24" si="150">+I28</f>
        <v>48</v>
      </c>
      <c r="K24">
        <f t="shared" ref="K24" si="151">+J28</f>
        <v>32</v>
      </c>
      <c r="L24">
        <f t="shared" ref="L24" si="152">+K28</f>
        <v>32</v>
      </c>
      <c r="M24">
        <f t="shared" ref="M24" si="153">+L28</f>
        <v>32</v>
      </c>
      <c r="N24">
        <f t="shared" ref="N24" si="154">+M28</f>
        <v>30</v>
      </c>
      <c r="O24" s="76">
        <f>+N28</f>
        <v>30</v>
      </c>
      <c r="P24" s="76">
        <f t="shared" ref="P24" si="155">+O28</f>
        <v>30</v>
      </c>
      <c r="Q24" s="76">
        <f t="shared" ref="Q24" si="156">+P28</f>
        <v>0</v>
      </c>
      <c r="R24" s="76">
        <f t="shared" ref="R24" si="157">+Q28</f>
        <v>0</v>
      </c>
      <c r="S24" s="76">
        <f t="shared" ref="S24" si="158">+R28</f>
        <v>0</v>
      </c>
      <c r="T24" s="76">
        <f t="shared" ref="T24" si="159">+S28</f>
        <v>5</v>
      </c>
      <c r="U24" s="76">
        <f t="shared" ref="U24" si="160">+T28</f>
        <v>23</v>
      </c>
      <c r="V24" s="76">
        <f t="shared" ref="V24" si="161">+U28</f>
        <v>101</v>
      </c>
      <c r="W24" s="76">
        <f t="shared" ref="W24" si="162">+V28</f>
        <v>94</v>
      </c>
      <c r="X24" s="76">
        <f>+W28</f>
        <v>0</v>
      </c>
      <c r="Y24" s="76">
        <f t="shared" ref="Y24" si="163">+X28</f>
        <v>0</v>
      </c>
      <c r="Z24" s="76">
        <f t="shared" ref="Z24" si="164">+Y28</f>
        <v>0</v>
      </c>
      <c r="AA24" s="76">
        <f t="shared" ref="AA24" si="165">+Z28</f>
        <v>126</v>
      </c>
      <c r="AB24" s="76">
        <f t="shared" ref="AB24" si="166">+AA28</f>
        <v>155</v>
      </c>
      <c r="AC24" s="76">
        <f t="shared" ref="AC24" si="167">+AB28</f>
        <v>32</v>
      </c>
      <c r="AD24" s="76">
        <f t="shared" ref="AD24" si="168">+AC28</f>
        <v>0</v>
      </c>
      <c r="AE24" s="76">
        <f t="shared" ref="AE24" si="169">+AD28</f>
        <v>0</v>
      </c>
      <c r="AF24" s="76">
        <f t="shared" ref="AF24" si="170">+AE28</f>
        <v>0</v>
      </c>
      <c r="AG24" s="76">
        <f t="shared" ref="AG24" si="171">+AF28</f>
        <v>0</v>
      </c>
      <c r="AH24" s="76">
        <f t="shared" ref="AH24" si="172">+AG28</f>
        <v>103</v>
      </c>
      <c r="AI24" s="76">
        <f t="shared" ref="AI24" si="173">+AH28</f>
        <v>116</v>
      </c>
      <c r="AJ24" s="76">
        <f t="shared" ref="AJ24" si="174">+AI28</f>
        <v>-4</v>
      </c>
      <c r="AK24" s="76">
        <f t="shared" ref="AK24" si="175">+AJ28</f>
        <v>-19</v>
      </c>
      <c r="AL24" s="76">
        <f t="shared" ref="AL24" si="176">+AK28</f>
        <v>-19</v>
      </c>
      <c r="AM24" s="76">
        <f>+AL28</f>
        <v>61</v>
      </c>
      <c r="AN24" s="76">
        <f t="shared" ref="AN24" si="177">+AM28</f>
        <v>141</v>
      </c>
      <c r="AO24" s="76">
        <f t="shared" ref="AO24" si="178">+AN28</f>
        <v>61</v>
      </c>
      <c r="AP24" s="76">
        <f t="shared" ref="AP24" si="179">+AO28</f>
        <v>-19</v>
      </c>
      <c r="AQ24" s="76">
        <f t="shared" ref="AQ24" si="180">+AP28</f>
        <v>-19</v>
      </c>
      <c r="AR24" s="76">
        <f t="shared" ref="AR24" si="181">+AQ28</f>
        <v>-19</v>
      </c>
      <c r="AS24" s="76">
        <f t="shared" ref="AS24" si="182">+AR28</f>
        <v>61</v>
      </c>
      <c r="AT24" s="76">
        <f t="shared" ref="AT24" si="183">+AS28</f>
        <v>141</v>
      </c>
      <c r="AU24" s="76">
        <f t="shared" ref="AU24" si="184">+AT28</f>
        <v>61</v>
      </c>
      <c r="AV24" s="76">
        <f t="shared" ref="AV24" si="185">+AU28</f>
        <v>-19</v>
      </c>
      <c r="AW24" s="76">
        <f t="shared" ref="AW24" si="186">+AV28</f>
        <v>-19</v>
      </c>
      <c r="AX24" s="76">
        <f t="shared" ref="AX24" si="187">+AW28</f>
        <v>-19</v>
      </c>
      <c r="AY24" s="76">
        <f t="shared" ref="AY24:BJ24" si="188">+AX28</f>
        <v>61</v>
      </c>
      <c r="AZ24" s="76">
        <f t="shared" si="188"/>
        <v>141</v>
      </c>
      <c r="BA24" s="76">
        <f t="shared" si="188"/>
        <v>61</v>
      </c>
      <c r="BB24" s="76">
        <f t="shared" si="188"/>
        <v>-19</v>
      </c>
      <c r="BC24" s="76">
        <f t="shared" si="188"/>
        <v>-19</v>
      </c>
      <c r="BD24" s="76">
        <f t="shared" si="188"/>
        <v>-19</v>
      </c>
      <c r="BE24" s="76">
        <f t="shared" si="188"/>
        <v>61</v>
      </c>
      <c r="BF24" s="76">
        <f t="shared" si="188"/>
        <v>141</v>
      </c>
      <c r="BG24" s="76">
        <f t="shared" si="188"/>
        <v>61</v>
      </c>
      <c r="BH24" s="76">
        <f t="shared" si="188"/>
        <v>-19</v>
      </c>
      <c r="BI24" s="76">
        <f t="shared" si="188"/>
        <v>-19</v>
      </c>
      <c r="BJ24" s="76">
        <f t="shared" si="188"/>
        <v>-19</v>
      </c>
    </row>
    <row r="25" spans="2:62" outlineLevel="1">
      <c r="B25" t="s">
        <v>266</v>
      </c>
      <c r="C25" s="56"/>
      <c r="D25" s="56"/>
      <c r="E25" s="56"/>
      <c r="F25" s="56"/>
      <c r="G25" s="123">
        <v>48</v>
      </c>
      <c r="H25" s="123"/>
      <c r="I25" s="123"/>
      <c r="J25" s="123">
        <v>32</v>
      </c>
      <c r="K25" s="56"/>
      <c r="L25" s="56"/>
      <c r="M25" s="123">
        <v>30</v>
      </c>
      <c r="N25" s="123"/>
      <c r="O25" s="123"/>
      <c r="P25" s="123"/>
      <c r="Q25" s="123"/>
      <c r="R25" s="123"/>
      <c r="S25" s="123">
        <v>6</v>
      </c>
      <c r="T25" s="123">
        <f>5*3+8*2</f>
        <v>31</v>
      </c>
      <c r="U25" s="123">
        <f>157+9</f>
        <v>166</v>
      </c>
      <c r="V25" s="115"/>
      <c r="W25" s="115"/>
      <c r="X25" s="115"/>
      <c r="Y25" s="115"/>
      <c r="Z25" s="125">
        <v>126</v>
      </c>
      <c r="AA25" s="125">
        <v>29</v>
      </c>
      <c r="AB25" s="115"/>
      <c r="AC25" s="115"/>
      <c r="AD25" s="115"/>
      <c r="AE25" s="115"/>
      <c r="AF25" s="115"/>
      <c r="AG25" s="125">
        <v>122</v>
      </c>
      <c r="AH25" s="125">
        <v>13</v>
      </c>
      <c r="AI25" s="115">
        <v>15</v>
      </c>
      <c r="AJ25" s="115"/>
      <c r="AK25" s="115"/>
      <c r="AL25" s="115">
        <v>80</v>
      </c>
      <c r="AM25" s="115">
        <v>80</v>
      </c>
      <c r="AN25" s="115"/>
      <c r="AO25" s="115"/>
      <c r="AP25" s="115"/>
      <c r="AQ25" s="115"/>
      <c r="AR25" s="115">
        <v>80</v>
      </c>
      <c r="AS25" s="115">
        <v>80</v>
      </c>
      <c r="AT25" s="115"/>
      <c r="AU25" s="115"/>
      <c r="AV25" s="115"/>
      <c r="AW25" s="115"/>
      <c r="AX25" s="115">
        <v>80</v>
      </c>
      <c r="AY25" s="115">
        <v>80</v>
      </c>
      <c r="AZ25" s="115"/>
      <c r="BA25" s="115"/>
      <c r="BB25" s="115"/>
      <c r="BC25" s="115"/>
      <c r="BD25" s="115">
        <v>80</v>
      </c>
      <c r="BE25" s="115">
        <v>80</v>
      </c>
      <c r="BF25" s="115"/>
      <c r="BG25" s="115"/>
      <c r="BH25" s="115"/>
      <c r="BI25" s="115"/>
      <c r="BJ25" s="115">
        <v>80</v>
      </c>
    </row>
    <row r="26" spans="2:62" outlineLevel="1">
      <c r="B26" t="s">
        <v>414</v>
      </c>
      <c r="C26" s="56"/>
      <c r="D26" s="56"/>
      <c r="E26" s="56"/>
      <c r="F26" s="56"/>
      <c r="G26" s="123"/>
      <c r="H26" s="123"/>
      <c r="I26" s="123"/>
      <c r="J26" s="123">
        <f t="shared" ref="J26" si="189">-G25</f>
        <v>-48</v>
      </c>
      <c r="K26" s="123"/>
      <c r="L26" s="123"/>
      <c r="M26" s="123">
        <f>-J25</f>
        <v>-32</v>
      </c>
      <c r="N26" s="123"/>
      <c r="O26" s="123"/>
      <c r="P26" s="123">
        <f t="shared" ref="P26" si="190">-M25</f>
        <v>-30</v>
      </c>
      <c r="Q26" s="123"/>
      <c r="R26" s="123"/>
      <c r="S26" s="56"/>
      <c r="T26" s="56"/>
      <c r="U26" s="123">
        <v>-22</v>
      </c>
      <c r="V26" s="115"/>
      <c r="W26" s="123">
        <v>-90</v>
      </c>
      <c r="X26" s="115"/>
      <c r="Y26" s="115"/>
      <c r="Z26" s="115"/>
      <c r="AA26" s="115"/>
      <c r="AB26" s="125">
        <v>-123</v>
      </c>
      <c r="AC26" s="125">
        <v>-32</v>
      </c>
      <c r="AD26" s="115"/>
      <c r="AE26" s="115"/>
      <c r="AF26" s="115"/>
      <c r="AG26" s="115"/>
      <c r="AH26" s="115"/>
      <c r="AI26" s="115">
        <v>-135</v>
      </c>
      <c r="AJ26" s="115">
        <v>-15</v>
      </c>
      <c r="AK26" s="115"/>
      <c r="AL26" s="115"/>
      <c r="AM26" s="115"/>
      <c r="AN26" s="115">
        <v>-80</v>
      </c>
      <c r="AO26" s="115">
        <v>-80</v>
      </c>
      <c r="AP26" s="115"/>
      <c r="AQ26" s="115"/>
      <c r="AR26" s="115"/>
      <c r="AS26" s="115"/>
      <c r="AT26" s="115">
        <v>-80</v>
      </c>
      <c r="AU26" s="115">
        <v>-80</v>
      </c>
      <c r="AV26" s="115"/>
      <c r="AW26" s="115"/>
      <c r="AX26" s="115"/>
      <c r="AY26" s="115"/>
      <c r="AZ26" s="115">
        <v>-80</v>
      </c>
      <c r="BA26" s="115">
        <v>-80</v>
      </c>
      <c r="BB26" s="115"/>
      <c r="BC26" s="115"/>
      <c r="BD26" s="115"/>
      <c r="BE26" s="115"/>
      <c r="BF26" s="115">
        <v>-80</v>
      </c>
      <c r="BG26" s="115">
        <v>-80</v>
      </c>
      <c r="BH26" s="115"/>
      <c r="BI26" s="115"/>
      <c r="BJ26" s="115"/>
    </row>
    <row r="27" spans="2:62" outlineLevel="1">
      <c r="B27" t="s">
        <v>253</v>
      </c>
      <c r="C27" s="56"/>
      <c r="D27" s="56"/>
      <c r="E27" s="56"/>
      <c r="F27" s="56"/>
      <c r="G27" s="123"/>
      <c r="H27" s="123"/>
      <c r="I27" s="123"/>
      <c r="J27" s="123"/>
      <c r="K27" s="123"/>
      <c r="L27" s="123"/>
      <c r="M27" s="123"/>
      <c r="N27" s="123"/>
      <c r="O27" s="123"/>
      <c r="P27" s="123"/>
      <c r="Q27" s="123"/>
      <c r="R27" s="123"/>
      <c r="S27" s="123">
        <v>-1</v>
      </c>
      <c r="T27" s="123">
        <f>-11-2</f>
        <v>-13</v>
      </c>
      <c r="U27" s="123">
        <v>-66</v>
      </c>
      <c r="V27" s="123">
        <v>-7</v>
      </c>
      <c r="W27" s="123">
        <v>-4</v>
      </c>
      <c r="X27" s="115"/>
      <c r="Y27" s="115"/>
      <c r="Z27" s="115"/>
      <c r="AA27" s="115"/>
      <c r="AB27" s="125"/>
      <c r="AC27" s="125"/>
      <c r="AD27" s="115"/>
      <c r="AE27" s="115"/>
      <c r="AF27" s="115"/>
      <c r="AG27" s="125">
        <v>-19</v>
      </c>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row>
    <row r="28" spans="2:62" outlineLevel="1">
      <c r="B28" t="s">
        <v>254</v>
      </c>
      <c r="C28" s="54">
        <f>SUM(C24:C27)</f>
        <v>0</v>
      </c>
      <c r="D28" s="54">
        <f>SUM(D24:D27)</f>
        <v>0</v>
      </c>
      <c r="E28" s="54">
        <f t="shared" ref="E28:F28" si="191">SUM(E24:E27)</f>
        <v>0</v>
      </c>
      <c r="F28" s="54">
        <f t="shared" si="191"/>
        <v>0</v>
      </c>
      <c r="G28" s="54">
        <f>SUM(G24:G27)</f>
        <v>48</v>
      </c>
      <c r="H28" s="54">
        <f t="shared" ref="H28:N28" si="192">SUM(H24:H27)</f>
        <v>48</v>
      </c>
      <c r="I28" s="54">
        <f t="shared" si="192"/>
        <v>48</v>
      </c>
      <c r="J28" s="54">
        <f t="shared" si="192"/>
        <v>32</v>
      </c>
      <c r="K28" s="54">
        <f t="shared" si="192"/>
        <v>32</v>
      </c>
      <c r="L28" s="54">
        <f t="shared" si="192"/>
        <v>32</v>
      </c>
      <c r="M28" s="54">
        <f t="shared" si="192"/>
        <v>30</v>
      </c>
      <c r="N28" s="54">
        <f t="shared" si="192"/>
        <v>30</v>
      </c>
      <c r="O28" s="482">
        <f>SUM(O24:O27)</f>
        <v>30</v>
      </c>
      <c r="P28" s="482">
        <f>SUM(P24:P27)</f>
        <v>0</v>
      </c>
      <c r="Q28" s="482">
        <f>SUM(Q24:Q27)</f>
        <v>0</v>
      </c>
      <c r="R28" s="482">
        <f t="shared" ref="R28:AX28" si="193">SUM(R24:R27)</f>
        <v>0</v>
      </c>
      <c r="S28" s="482">
        <f t="shared" si="193"/>
        <v>5</v>
      </c>
      <c r="T28" s="482">
        <f t="shared" si="193"/>
        <v>23</v>
      </c>
      <c r="U28" s="482">
        <f t="shared" si="193"/>
        <v>101</v>
      </c>
      <c r="V28" s="482">
        <f t="shared" si="193"/>
        <v>94</v>
      </c>
      <c r="W28" s="482">
        <f t="shared" si="193"/>
        <v>0</v>
      </c>
      <c r="X28" s="482">
        <f t="shared" si="193"/>
        <v>0</v>
      </c>
      <c r="Y28" s="482">
        <f t="shared" si="193"/>
        <v>0</v>
      </c>
      <c r="Z28" s="482">
        <f t="shared" si="193"/>
        <v>126</v>
      </c>
      <c r="AA28" s="482">
        <f t="shared" si="193"/>
        <v>155</v>
      </c>
      <c r="AB28" s="482">
        <f t="shared" si="193"/>
        <v>32</v>
      </c>
      <c r="AC28" s="482">
        <f t="shared" si="193"/>
        <v>0</v>
      </c>
      <c r="AD28" s="482">
        <f t="shared" si="193"/>
        <v>0</v>
      </c>
      <c r="AE28" s="482">
        <f t="shared" si="193"/>
        <v>0</v>
      </c>
      <c r="AF28" s="76">
        <f t="shared" si="193"/>
        <v>0</v>
      </c>
      <c r="AG28" s="76">
        <f t="shared" si="193"/>
        <v>103</v>
      </c>
      <c r="AH28" s="76">
        <f t="shared" si="193"/>
        <v>116</v>
      </c>
      <c r="AI28" s="76">
        <f t="shared" si="193"/>
        <v>-4</v>
      </c>
      <c r="AJ28" s="76">
        <f t="shared" si="193"/>
        <v>-19</v>
      </c>
      <c r="AK28" s="76">
        <f t="shared" si="193"/>
        <v>-19</v>
      </c>
      <c r="AL28" s="76">
        <f t="shared" si="193"/>
        <v>61</v>
      </c>
      <c r="AM28" s="76">
        <f t="shared" si="193"/>
        <v>141</v>
      </c>
      <c r="AN28" s="76">
        <f t="shared" si="193"/>
        <v>61</v>
      </c>
      <c r="AO28" s="76">
        <f t="shared" si="193"/>
        <v>-19</v>
      </c>
      <c r="AP28" s="76">
        <f t="shared" si="193"/>
        <v>-19</v>
      </c>
      <c r="AQ28" s="76">
        <f t="shared" si="193"/>
        <v>-19</v>
      </c>
      <c r="AR28" s="76">
        <f t="shared" si="193"/>
        <v>61</v>
      </c>
      <c r="AS28" s="76">
        <f t="shared" si="193"/>
        <v>141</v>
      </c>
      <c r="AT28" s="76">
        <f t="shared" si="193"/>
        <v>61</v>
      </c>
      <c r="AU28" s="76">
        <f t="shared" si="193"/>
        <v>-19</v>
      </c>
      <c r="AV28" s="76">
        <f t="shared" si="193"/>
        <v>-19</v>
      </c>
      <c r="AW28" s="76">
        <f t="shared" si="193"/>
        <v>-19</v>
      </c>
      <c r="AX28" s="76">
        <f t="shared" si="193"/>
        <v>61</v>
      </c>
      <c r="AY28" s="76">
        <f t="shared" ref="AY28:BJ28" si="194">SUM(AY24:AY27)</f>
        <v>141</v>
      </c>
      <c r="AZ28" s="76">
        <f t="shared" si="194"/>
        <v>61</v>
      </c>
      <c r="BA28" s="76">
        <f t="shared" si="194"/>
        <v>-19</v>
      </c>
      <c r="BB28" s="76">
        <f t="shared" si="194"/>
        <v>-19</v>
      </c>
      <c r="BC28" s="76">
        <f t="shared" si="194"/>
        <v>-19</v>
      </c>
      <c r="BD28" s="76">
        <f t="shared" si="194"/>
        <v>61</v>
      </c>
      <c r="BE28" s="76">
        <f t="shared" si="194"/>
        <v>141</v>
      </c>
      <c r="BF28" s="76">
        <f t="shared" si="194"/>
        <v>61</v>
      </c>
      <c r="BG28" s="76">
        <f t="shared" si="194"/>
        <v>-19</v>
      </c>
      <c r="BH28" s="76">
        <f t="shared" si="194"/>
        <v>-19</v>
      </c>
      <c r="BI28" s="76">
        <f t="shared" si="194"/>
        <v>-19</v>
      </c>
      <c r="BJ28" s="76">
        <f t="shared" si="194"/>
        <v>61</v>
      </c>
    </row>
    <row r="29" spans="2:62">
      <c r="B29" s="54"/>
      <c r="C29" s="468"/>
      <c r="D29" s="468"/>
      <c r="E29" s="468"/>
      <c r="F29" s="468"/>
      <c r="G29" s="468"/>
      <c r="H29" s="468"/>
      <c r="I29" s="468"/>
      <c r="J29" s="468"/>
      <c r="K29" s="468"/>
      <c r="L29" s="468"/>
      <c r="M29" s="468"/>
      <c r="N29" s="468"/>
      <c r="O29" s="468"/>
      <c r="P29" s="468"/>
      <c r="Q29" s="468"/>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68"/>
      <c r="BC29" s="468"/>
      <c r="BD29" s="468"/>
      <c r="BE29" s="468"/>
      <c r="BF29" s="468"/>
      <c r="BG29" s="468"/>
      <c r="BH29" s="468"/>
      <c r="BI29" s="468"/>
      <c r="BJ29" s="468"/>
    </row>
    <row r="30" spans="2:62" outlineLevel="1">
      <c r="B30" s="54" t="s">
        <v>415</v>
      </c>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row>
    <row r="31" spans="2:62" outlineLevel="1">
      <c r="B31" t="s">
        <v>390</v>
      </c>
      <c r="C31" s="123">
        <v>87</v>
      </c>
      <c r="D31">
        <f>+C35</f>
        <v>87</v>
      </c>
      <c r="E31" s="76">
        <f t="shared" ref="E31" si="195">+D35</f>
        <v>87</v>
      </c>
      <c r="F31" s="76">
        <f t="shared" ref="F31" si="196">+E35</f>
        <v>87</v>
      </c>
      <c r="G31" s="76">
        <f t="shared" ref="G31" si="197">+F35</f>
        <v>0</v>
      </c>
      <c r="H31" s="76">
        <f t="shared" ref="H31" si="198">+G35</f>
        <v>0</v>
      </c>
      <c r="I31" s="76">
        <f t="shared" ref="I31" si="199">+H35</f>
        <v>0</v>
      </c>
      <c r="J31" s="76">
        <f t="shared" ref="J31" si="200">+I35</f>
        <v>0</v>
      </c>
      <c r="K31" s="76">
        <f t="shared" ref="K31" si="201">+J35</f>
        <v>48</v>
      </c>
      <c r="L31" s="76">
        <f t="shared" ref="L31" si="202">+K35</f>
        <v>48</v>
      </c>
      <c r="M31" s="76">
        <f t="shared" ref="M31" si="203">+L35</f>
        <v>48</v>
      </c>
      <c r="N31" s="76">
        <f t="shared" ref="N31" si="204">+M35</f>
        <v>65</v>
      </c>
      <c r="O31" s="76">
        <f t="shared" ref="O31" si="205">+N35</f>
        <v>65</v>
      </c>
      <c r="P31" s="76">
        <f t="shared" ref="P31" si="206">+O35</f>
        <v>65</v>
      </c>
      <c r="Q31" s="76">
        <f t="shared" ref="Q31" si="207">+P35</f>
        <v>95</v>
      </c>
      <c r="R31" s="76">
        <f t="shared" ref="R31" si="208">+Q35</f>
        <v>95</v>
      </c>
      <c r="S31" s="76">
        <f t="shared" ref="S31" si="209">+R35</f>
        <v>95</v>
      </c>
      <c r="T31" s="76">
        <f t="shared" ref="T31" si="210">+S35</f>
        <v>30</v>
      </c>
      <c r="U31" s="76">
        <f t="shared" ref="U31" si="211">+T35</f>
        <v>13</v>
      </c>
      <c r="V31" s="76">
        <f t="shared" ref="V31" si="212">+U35</f>
        <v>22</v>
      </c>
      <c r="W31" s="76">
        <f t="shared" ref="W31" si="213">+V35</f>
        <v>22</v>
      </c>
      <c r="X31" s="76">
        <f t="shared" ref="X31" si="214">+W35</f>
        <v>112</v>
      </c>
      <c r="Y31" s="76">
        <f t="shared" ref="Y31" si="215">+X35</f>
        <v>129</v>
      </c>
      <c r="Z31" s="76">
        <f t="shared" ref="Z31" si="216">+Y35</f>
        <v>124</v>
      </c>
      <c r="AA31" s="76">
        <f t="shared" ref="AA31" si="217">+Z35</f>
        <v>122</v>
      </c>
      <c r="AB31" s="76">
        <f t="shared" ref="AB31" si="218">+AA35</f>
        <v>107</v>
      </c>
      <c r="AC31" s="76">
        <f t="shared" ref="AC31" si="219">+AB35</f>
        <v>119</v>
      </c>
      <c r="AD31" s="76">
        <f t="shared" ref="AD31" si="220">+AC35</f>
        <v>147</v>
      </c>
      <c r="AE31" s="76">
        <f t="shared" ref="AE31" si="221">+AD35</f>
        <v>146</v>
      </c>
      <c r="AF31" s="76">
        <f t="shared" ref="AF31" si="222">+AE35</f>
        <v>146</v>
      </c>
      <c r="AG31" s="76">
        <f t="shared" ref="AG31" si="223">+AF35</f>
        <v>142</v>
      </c>
      <c r="AH31" s="76">
        <f t="shared" ref="AH31" si="224">+AG35</f>
        <v>110</v>
      </c>
      <c r="AI31" s="76">
        <f t="shared" ref="AI31" si="225">+AH35</f>
        <v>0</v>
      </c>
      <c r="AJ31" s="76">
        <f t="shared" ref="AJ31" si="226">+AI35</f>
        <v>135</v>
      </c>
      <c r="AK31" s="76">
        <f t="shared" ref="AK31" si="227">+AJ35</f>
        <v>150</v>
      </c>
      <c r="AL31" s="76">
        <f t="shared" ref="AL31" si="228">+AK35</f>
        <v>150</v>
      </c>
      <c r="AM31" s="76">
        <f t="shared" ref="AM31" si="229">+AL35</f>
        <v>150</v>
      </c>
      <c r="AN31" s="76">
        <f t="shared" ref="AN31" si="230">+AM35</f>
        <v>150</v>
      </c>
      <c r="AO31" s="76">
        <f t="shared" ref="AO31" si="231">+AN35</f>
        <v>230</v>
      </c>
      <c r="AP31" s="76">
        <f t="shared" ref="AP31" si="232">+AO35</f>
        <v>160</v>
      </c>
      <c r="AQ31" s="76">
        <f t="shared" ref="AQ31" si="233">+AP35</f>
        <v>160</v>
      </c>
      <c r="AR31" s="76">
        <f t="shared" ref="AR31" si="234">+AQ35</f>
        <v>160</v>
      </c>
      <c r="AS31" s="76">
        <f t="shared" ref="AS31" si="235">+AR35</f>
        <v>160</v>
      </c>
      <c r="AT31" s="76">
        <f t="shared" ref="AT31" si="236">+AS35</f>
        <v>160</v>
      </c>
      <c r="AU31" s="76">
        <f t="shared" ref="AU31" si="237">+AT35</f>
        <v>80</v>
      </c>
      <c r="AV31" s="76">
        <f t="shared" ref="AV31" si="238">+AU35</f>
        <v>160</v>
      </c>
      <c r="AW31" s="76">
        <f t="shared" ref="AW31" si="239">+AV35</f>
        <v>160</v>
      </c>
      <c r="AX31" s="76">
        <f t="shared" ref="AX31" si="240">+AW35</f>
        <v>160</v>
      </c>
      <c r="AY31" s="76">
        <f t="shared" ref="AY31:BJ31" si="241">+AX35</f>
        <v>160</v>
      </c>
      <c r="AZ31" s="76">
        <f t="shared" si="241"/>
        <v>160</v>
      </c>
      <c r="BA31" s="76">
        <f t="shared" si="241"/>
        <v>80</v>
      </c>
      <c r="BB31" s="76">
        <f t="shared" si="241"/>
        <v>160</v>
      </c>
      <c r="BC31" s="76">
        <f t="shared" si="241"/>
        <v>160</v>
      </c>
      <c r="BD31" s="76">
        <f t="shared" si="241"/>
        <v>160</v>
      </c>
      <c r="BE31" s="76">
        <f t="shared" si="241"/>
        <v>160</v>
      </c>
      <c r="BF31" s="76">
        <f t="shared" si="241"/>
        <v>160</v>
      </c>
      <c r="BG31" s="76">
        <f t="shared" si="241"/>
        <v>80</v>
      </c>
      <c r="BH31" s="76">
        <f t="shared" si="241"/>
        <v>160</v>
      </c>
      <c r="BI31" s="76">
        <f t="shared" si="241"/>
        <v>160</v>
      </c>
      <c r="BJ31" s="76">
        <f t="shared" si="241"/>
        <v>160</v>
      </c>
    </row>
    <row r="32" spans="2:62" outlineLevel="1">
      <c r="B32" t="s">
        <v>418</v>
      </c>
      <c r="C32" s="76">
        <f t="shared" ref="C32:M32" si="242">-C26</f>
        <v>0</v>
      </c>
      <c r="D32" s="76">
        <f t="shared" si="242"/>
        <v>0</v>
      </c>
      <c r="E32" s="76">
        <f t="shared" si="242"/>
        <v>0</v>
      </c>
      <c r="F32" s="76">
        <f t="shared" si="242"/>
        <v>0</v>
      </c>
      <c r="G32" s="76">
        <f t="shared" si="242"/>
        <v>0</v>
      </c>
      <c r="H32" s="76">
        <f t="shared" si="242"/>
        <v>0</v>
      </c>
      <c r="I32" s="76">
        <f t="shared" si="242"/>
        <v>0</v>
      </c>
      <c r="J32" s="482">
        <f t="shared" si="242"/>
        <v>48</v>
      </c>
      <c r="K32" s="76">
        <f t="shared" si="242"/>
        <v>0</v>
      </c>
      <c r="L32" s="76">
        <f t="shared" si="242"/>
        <v>0</v>
      </c>
      <c r="M32" s="482">
        <f t="shared" si="242"/>
        <v>32</v>
      </c>
      <c r="N32" s="76">
        <f>-N12</f>
        <v>0</v>
      </c>
      <c r="O32" s="76">
        <f t="shared" ref="O32:BJ32" si="243">-O26</f>
        <v>0</v>
      </c>
      <c r="P32" s="482">
        <f t="shared" si="243"/>
        <v>30</v>
      </c>
      <c r="Q32" s="76">
        <f t="shared" si="243"/>
        <v>0</v>
      </c>
      <c r="R32" s="76">
        <f t="shared" si="243"/>
        <v>0</v>
      </c>
      <c r="S32" s="76">
        <f t="shared" si="243"/>
        <v>0</v>
      </c>
      <c r="T32" s="76">
        <f t="shared" si="243"/>
        <v>0</v>
      </c>
      <c r="U32" s="76">
        <f t="shared" si="243"/>
        <v>22</v>
      </c>
      <c r="V32" s="76">
        <f t="shared" si="243"/>
        <v>0</v>
      </c>
      <c r="W32" s="76">
        <f t="shared" si="243"/>
        <v>90</v>
      </c>
      <c r="X32" s="76">
        <v>18</v>
      </c>
      <c r="Y32" s="76">
        <f t="shared" si="243"/>
        <v>0</v>
      </c>
      <c r="Z32" s="76">
        <f t="shared" si="243"/>
        <v>0</v>
      </c>
      <c r="AA32" s="76">
        <f t="shared" si="243"/>
        <v>0</v>
      </c>
      <c r="AB32" s="76">
        <f t="shared" si="243"/>
        <v>123</v>
      </c>
      <c r="AC32" s="76">
        <f t="shared" si="243"/>
        <v>32</v>
      </c>
      <c r="AD32" s="76">
        <f t="shared" si="243"/>
        <v>0</v>
      </c>
      <c r="AE32" s="76">
        <f t="shared" si="243"/>
        <v>0</v>
      </c>
      <c r="AF32" s="76">
        <f t="shared" si="243"/>
        <v>0</v>
      </c>
      <c r="AG32" s="76">
        <f t="shared" si="243"/>
        <v>0</v>
      </c>
      <c r="AH32" s="76">
        <f t="shared" si="243"/>
        <v>0</v>
      </c>
      <c r="AI32" s="76">
        <f t="shared" si="243"/>
        <v>135</v>
      </c>
      <c r="AJ32" s="76">
        <f t="shared" si="243"/>
        <v>15</v>
      </c>
      <c r="AK32" s="76">
        <f t="shared" si="243"/>
        <v>0</v>
      </c>
      <c r="AL32" s="76">
        <f t="shared" si="243"/>
        <v>0</v>
      </c>
      <c r="AM32" s="76">
        <f t="shared" si="243"/>
        <v>0</v>
      </c>
      <c r="AN32" s="76">
        <f t="shared" si="243"/>
        <v>80</v>
      </c>
      <c r="AO32" s="76">
        <f t="shared" si="243"/>
        <v>80</v>
      </c>
      <c r="AP32" s="76">
        <f t="shared" si="243"/>
        <v>0</v>
      </c>
      <c r="AQ32" s="76">
        <f t="shared" si="243"/>
        <v>0</v>
      </c>
      <c r="AR32" s="76">
        <f t="shared" si="243"/>
        <v>0</v>
      </c>
      <c r="AS32" s="76">
        <f t="shared" si="243"/>
        <v>0</v>
      </c>
      <c r="AT32" s="76">
        <f t="shared" si="243"/>
        <v>80</v>
      </c>
      <c r="AU32" s="76">
        <f t="shared" si="243"/>
        <v>80</v>
      </c>
      <c r="AV32" s="76">
        <f t="shared" si="243"/>
        <v>0</v>
      </c>
      <c r="AW32" s="76">
        <f t="shared" si="243"/>
        <v>0</v>
      </c>
      <c r="AX32" s="76">
        <f t="shared" si="243"/>
        <v>0</v>
      </c>
      <c r="AY32" s="76">
        <f t="shared" si="243"/>
        <v>0</v>
      </c>
      <c r="AZ32" s="76">
        <f t="shared" si="243"/>
        <v>80</v>
      </c>
      <c r="BA32" s="76">
        <f t="shared" si="243"/>
        <v>80</v>
      </c>
      <c r="BB32" s="76">
        <f t="shared" si="243"/>
        <v>0</v>
      </c>
      <c r="BC32" s="76">
        <f t="shared" si="243"/>
        <v>0</v>
      </c>
      <c r="BD32" s="76">
        <f t="shared" si="243"/>
        <v>0</v>
      </c>
      <c r="BE32" s="76">
        <f t="shared" si="243"/>
        <v>0</v>
      </c>
      <c r="BF32" s="76">
        <f t="shared" si="243"/>
        <v>80</v>
      </c>
      <c r="BG32" s="76">
        <f t="shared" si="243"/>
        <v>80</v>
      </c>
      <c r="BH32" s="76">
        <f t="shared" si="243"/>
        <v>0</v>
      </c>
      <c r="BI32" s="76">
        <f t="shared" si="243"/>
        <v>0</v>
      </c>
      <c r="BJ32" s="76">
        <f t="shared" si="243"/>
        <v>0</v>
      </c>
    </row>
    <row r="33" spans="2:62" outlineLevel="1">
      <c r="B33" t="s">
        <v>253</v>
      </c>
      <c r="C33" s="56"/>
      <c r="D33" s="56"/>
      <c r="E33" s="56"/>
      <c r="F33" s="123"/>
      <c r="G33" s="123"/>
      <c r="H33" s="123"/>
      <c r="I33" s="123"/>
      <c r="J33" s="123"/>
      <c r="K33" s="123"/>
      <c r="L33" s="123"/>
      <c r="M33" s="123"/>
      <c r="N33" s="123"/>
      <c r="O33" s="123"/>
      <c r="P33" s="123"/>
      <c r="Q33" s="56"/>
      <c r="R33" s="56"/>
      <c r="S33" s="56"/>
      <c r="T33" s="56"/>
      <c r="U33" s="56"/>
      <c r="V33" s="56"/>
      <c r="W33" s="56"/>
      <c r="X33" s="123">
        <v>-1</v>
      </c>
      <c r="Y33" s="123">
        <v>-5</v>
      </c>
      <c r="Z33" s="123">
        <v>-2</v>
      </c>
      <c r="AA33" s="123">
        <v>-15</v>
      </c>
      <c r="AB33" s="123">
        <v>-4</v>
      </c>
      <c r="AC33" s="123">
        <v>-4</v>
      </c>
      <c r="AD33" s="123">
        <v>-1</v>
      </c>
      <c r="AE33" s="56"/>
      <c r="AF33" s="123">
        <v>-4</v>
      </c>
      <c r="AG33" s="123">
        <v>-32</v>
      </c>
      <c r="AH33" s="56"/>
      <c r="AI33" s="56"/>
      <c r="AJ33" s="56"/>
      <c r="AK33" s="56"/>
      <c r="AL33" s="56"/>
      <c r="AM33" s="56"/>
      <c r="AN33" s="56"/>
      <c r="AO33" s="56"/>
      <c r="AP33" s="56"/>
      <c r="AQ33" s="56"/>
      <c r="AR33" s="56"/>
      <c r="AS33" s="56"/>
      <c r="AT33" s="56"/>
      <c r="AU33" s="56"/>
      <c r="AV33" s="56"/>
      <c r="AW33" s="56"/>
      <c r="AX33" s="56"/>
      <c r="AY33" s="115"/>
      <c r="AZ33" s="115"/>
      <c r="BA33" s="115"/>
      <c r="BB33" s="115"/>
      <c r="BC33" s="115"/>
      <c r="BD33" s="115"/>
      <c r="BE33" s="115"/>
      <c r="BF33" s="115"/>
      <c r="BG33" s="115"/>
      <c r="BH33" s="115"/>
      <c r="BI33" s="115"/>
      <c r="BJ33" s="115"/>
    </row>
    <row r="34" spans="2:62" outlineLevel="1">
      <c r="B34" t="s">
        <v>416</v>
      </c>
      <c r="C34" s="56"/>
      <c r="D34" s="56"/>
      <c r="E34" s="56"/>
      <c r="F34" s="123">
        <f>-C31</f>
        <v>-87</v>
      </c>
      <c r="G34" s="464"/>
      <c r="H34" s="464"/>
      <c r="I34" s="464"/>
      <c r="J34" s="464"/>
      <c r="K34" s="464"/>
      <c r="L34" s="464"/>
      <c r="M34" s="464">
        <f>-J32+33</f>
        <v>-15</v>
      </c>
      <c r="N34" s="464"/>
      <c r="O34" s="464"/>
      <c r="P34" s="464"/>
      <c r="Q34" s="464"/>
      <c r="R34" s="122"/>
      <c r="S34" s="463">
        <f>-32-33</f>
        <v>-65</v>
      </c>
      <c r="T34" s="463">
        <v>-17</v>
      </c>
      <c r="U34" s="463">
        <v>-13</v>
      </c>
      <c r="V34" s="116"/>
      <c r="W34" s="116"/>
      <c r="X34" s="116"/>
      <c r="Y34" s="77"/>
      <c r="Z34" s="77"/>
      <c r="AA34" s="116"/>
      <c r="AB34" s="463">
        <v>-107</v>
      </c>
      <c r="AC34" s="116"/>
      <c r="AD34" s="116"/>
      <c r="AE34" s="116"/>
      <c r="AF34" s="116"/>
      <c r="AG34" s="116"/>
      <c r="AH34" s="116">
        <v>-110</v>
      </c>
      <c r="AI34" s="116"/>
      <c r="AJ34" s="116"/>
      <c r="AK34" s="116"/>
      <c r="AL34" s="116"/>
      <c r="AM34" s="116"/>
      <c r="AN34" s="116"/>
      <c r="AO34" s="116">
        <v>-150</v>
      </c>
      <c r="AP34" s="116"/>
      <c r="AQ34" s="116"/>
      <c r="AR34" s="116"/>
      <c r="AS34" s="116"/>
      <c r="AT34" s="116">
        <v>-160</v>
      </c>
      <c r="AU34" s="116"/>
      <c r="AV34" s="116"/>
      <c r="AW34" s="116"/>
      <c r="AX34" s="116"/>
      <c r="AY34" s="116"/>
      <c r="AZ34" s="116">
        <v>-160</v>
      </c>
      <c r="BA34" s="115"/>
      <c r="BB34" s="115"/>
      <c r="BC34" s="115"/>
      <c r="BD34" s="115"/>
      <c r="BE34" s="116"/>
      <c r="BF34" s="116">
        <v>-160</v>
      </c>
      <c r="BG34" s="116"/>
      <c r="BH34" s="116"/>
      <c r="BI34" s="116"/>
      <c r="BJ34" s="116"/>
    </row>
    <row r="35" spans="2:62" outlineLevel="1">
      <c r="B35" t="s">
        <v>394</v>
      </c>
      <c r="C35" s="54">
        <f t="shared" ref="C35:AX35" si="244">SUM(C31:C34)</f>
        <v>87</v>
      </c>
      <c r="D35" s="482">
        <f t="shared" si="244"/>
        <v>87</v>
      </c>
      <c r="E35" s="482">
        <f t="shared" si="244"/>
        <v>87</v>
      </c>
      <c r="F35" s="482">
        <f t="shared" si="244"/>
        <v>0</v>
      </c>
      <c r="G35" s="482">
        <f t="shared" si="244"/>
        <v>0</v>
      </c>
      <c r="H35" s="482">
        <f t="shared" si="244"/>
        <v>0</v>
      </c>
      <c r="I35" s="482">
        <f t="shared" si="244"/>
        <v>0</v>
      </c>
      <c r="J35" s="482">
        <f t="shared" si="244"/>
        <v>48</v>
      </c>
      <c r="K35" s="482">
        <f t="shared" si="244"/>
        <v>48</v>
      </c>
      <c r="L35" s="482">
        <f t="shared" si="244"/>
        <v>48</v>
      </c>
      <c r="M35" s="482">
        <f t="shared" si="244"/>
        <v>65</v>
      </c>
      <c r="N35" s="482">
        <f t="shared" si="244"/>
        <v>65</v>
      </c>
      <c r="O35" s="482">
        <f t="shared" si="244"/>
        <v>65</v>
      </c>
      <c r="P35" s="482">
        <f t="shared" si="244"/>
        <v>95</v>
      </c>
      <c r="Q35" s="482">
        <f t="shared" si="244"/>
        <v>95</v>
      </c>
      <c r="R35" s="482">
        <f t="shared" si="244"/>
        <v>95</v>
      </c>
      <c r="S35" s="482">
        <f t="shared" si="244"/>
        <v>30</v>
      </c>
      <c r="T35" s="482">
        <f t="shared" si="244"/>
        <v>13</v>
      </c>
      <c r="U35" s="482">
        <f t="shared" si="244"/>
        <v>22</v>
      </c>
      <c r="V35" s="482">
        <f t="shared" si="244"/>
        <v>22</v>
      </c>
      <c r="W35" s="482">
        <f t="shared" si="244"/>
        <v>112</v>
      </c>
      <c r="X35" s="482">
        <f t="shared" si="244"/>
        <v>129</v>
      </c>
      <c r="Y35" s="482">
        <f t="shared" si="244"/>
        <v>124</v>
      </c>
      <c r="Z35" s="482">
        <f t="shared" si="244"/>
        <v>122</v>
      </c>
      <c r="AA35" s="482">
        <f t="shared" si="244"/>
        <v>107</v>
      </c>
      <c r="AB35" s="482">
        <f t="shared" si="244"/>
        <v>119</v>
      </c>
      <c r="AC35" s="482">
        <f t="shared" si="244"/>
        <v>147</v>
      </c>
      <c r="AD35" s="482">
        <f t="shared" si="244"/>
        <v>146</v>
      </c>
      <c r="AE35" s="482">
        <f t="shared" si="244"/>
        <v>146</v>
      </c>
      <c r="AF35" s="482">
        <f t="shared" si="244"/>
        <v>142</v>
      </c>
      <c r="AG35" s="76">
        <f t="shared" si="244"/>
        <v>110</v>
      </c>
      <c r="AH35" s="76">
        <f t="shared" si="244"/>
        <v>0</v>
      </c>
      <c r="AI35" s="76">
        <f t="shared" si="244"/>
        <v>135</v>
      </c>
      <c r="AJ35" s="76">
        <f t="shared" si="244"/>
        <v>150</v>
      </c>
      <c r="AK35" s="76">
        <f t="shared" si="244"/>
        <v>150</v>
      </c>
      <c r="AL35" s="76">
        <f t="shared" si="244"/>
        <v>150</v>
      </c>
      <c r="AM35" s="76">
        <f t="shared" si="244"/>
        <v>150</v>
      </c>
      <c r="AN35" s="76">
        <f t="shared" si="244"/>
        <v>230</v>
      </c>
      <c r="AO35" s="76">
        <f t="shared" si="244"/>
        <v>160</v>
      </c>
      <c r="AP35" s="76">
        <f t="shared" si="244"/>
        <v>160</v>
      </c>
      <c r="AQ35" s="76">
        <f t="shared" si="244"/>
        <v>160</v>
      </c>
      <c r="AR35" s="76">
        <f t="shared" si="244"/>
        <v>160</v>
      </c>
      <c r="AS35" s="76">
        <f t="shared" si="244"/>
        <v>160</v>
      </c>
      <c r="AT35" s="76">
        <f t="shared" si="244"/>
        <v>80</v>
      </c>
      <c r="AU35" s="76">
        <f t="shared" si="244"/>
        <v>160</v>
      </c>
      <c r="AV35" s="76">
        <f t="shared" si="244"/>
        <v>160</v>
      </c>
      <c r="AW35" s="76">
        <f t="shared" si="244"/>
        <v>160</v>
      </c>
      <c r="AX35" s="76">
        <f t="shared" si="244"/>
        <v>160</v>
      </c>
      <c r="AY35" s="76">
        <f t="shared" ref="AY35:BJ35" si="245">SUM(AY31:AY34)</f>
        <v>160</v>
      </c>
      <c r="AZ35" s="76">
        <f t="shared" si="245"/>
        <v>80</v>
      </c>
      <c r="BA35" s="76">
        <f t="shared" si="245"/>
        <v>160</v>
      </c>
      <c r="BB35" s="76">
        <f t="shared" si="245"/>
        <v>160</v>
      </c>
      <c r="BC35" s="76">
        <f t="shared" si="245"/>
        <v>160</v>
      </c>
      <c r="BD35" s="76">
        <f t="shared" si="245"/>
        <v>160</v>
      </c>
      <c r="BE35" s="76">
        <f t="shared" si="245"/>
        <v>160</v>
      </c>
      <c r="BF35" s="76">
        <f t="shared" si="245"/>
        <v>80</v>
      </c>
      <c r="BG35" s="76">
        <f t="shared" si="245"/>
        <v>160</v>
      </c>
      <c r="BH35" s="76">
        <f t="shared" si="245"/>
        <v>160</v>
      </c>
      <c r="BI35" s="76">
        <f t="shared" si="245"/>
        <v>160</v>
      </c>
      <c r="BJ35" s="76">
        <f t="shared" si="245"/>
        <v>160</v>
      </c>
    </row>
    <row r="36" spans="2:62" outlineLevel="1">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row>
    <row r="37" spans="2:62" outlineLevel="1">
      <c r="B37" s="54" t="s">
        <v>417</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row>
    <row r="38" spans="2:62" outlineLevel="1">
      <c r="B38" t="s">
        <v>390</v>
      </c>
      <c r="C38" s="123">
        <v>84</v>
      </c>
      <c r="D38">
        <f>+C42</f>
        <v>84</v>
      </c>
      <c r="E38" s="76">
        <f t="shared" ref="E38" si="246">+D42</f>
        <v>84</v>
      </c>
      <c r="F38" s="76">
        <f t="shared" ref="F38" si="247">+E42</f>
        <v>0</v>
      </c>
      <c r="G38" s="76">
        <f t="shared" ref="G38" si="248">+F42</f>
        <v>87</v>
      </c>
      <c r="H38" s="76">
        <f t="shared" ref="H38" si="249">+G42</f>
        <v>87</v>
      </c>
      <c r="I38" s="76">
        <f t="shared" ref="I38" si="250">+H42</f>
        <v>87</v>
      </c>
      <c r="J38" s="76">
        <f t="shared" ref="J38" si="251">+I42</f>
        <v>87</v>
      </c>
      <c r="K38" s="76">
        <f t="shared" ref="K38" si="252">+J42</f>
        <v>87</v>
      </c>
      <c r="L38" s="76">
        <f t="shared" ref="L38" si="253">+K42</f>
        <v>87</v>
      </c>
      <c r="M38" s="76">
        <f t="shared" ref="M38" si="254">+L42</f>
        <v>87</v>
      </c>
      <c r="N38" s="76">
        <f t="shared" ref="N38" si="255">+M42</f>
        <v>102</v>
      </c>
      <c r="O38" s="76">
        <f t="shared" ref="O38" si="256">+N42</f>
        <v>102</v>
      </c>
      <c r="P38" s="76">
        <f t="shared" ref="P38" si="257">+O42</f>
        <v>102</v>
      </c>
      <c r="Q38" s="76">
        <f t="shared" ref="Q38" si="258">+P42</f>
        <v>102</v>
      </c>
      <c r="R38" s="76">
        <f t="shared" ref="R38" si="259">+Q42</f>
        <v>0</v>
      </c>
      <c r="S38" s="76">
        <f t="shared" ref="S38" si="260">+R42</f>
        <v>0</v>
      </c>
      <c r="T38" s="76">
        <f t="shared" ref="T38" si="261">+S42</f>
        <v>64</v>
      </c>
      <c r="U38" s="76">
        <f t="shared" ref="U38" si="262">+T42</f>
        <v>81</v>
      </c>
      <c r="V38" s="76">
        <f t="shared" ref="V38" si="263">+U42</f>
        <v>94</v>
      </c>
      <c r="W38" s="76">
        <f t="shared" ref="W38" si="264">+V42</f>
        <v>94</v>
      </c>
      <c r="X38" s="76">
        <f t="shared" ref="X38" si="265">+W42</f>
        <v>93</v>
      </c>
      <c r="Y38" s="76">
        <f t="shared" ref="Y38" si="266">+X42</f>
        <v>92</v>
      </c>
      <c r="Z38" s="76">
        <f t="shared" ref="Z38" si="267">+Y42</f>
        <v>92</v>
      </c>
      <c r="AA38" s="76">
        <f t="shared" ref="AA38" si="268">+Z42</f>
        <v>92</v>
      </c>
      <c r="AB38" s="76">
        <f t="shared" ref="AB38" si="269">+AA42</f>
        <v>92</v>
      </c>
      <c r="AC38" s="76">
        <f t="shared" ref="AC38" si="270">+AB42</f>
        <v>112</v>
      </c>
      <c r="AD38" s="76">
        <f t="shared" ref="AD38" si="271">+AC42</f>
        <v>112</v>
      </c>
      <c r="AE38" s="76">
        <f t="shared" ref="AE38" si="272">+AD42</f>
        <v>111</v>
      </c>
      <c r="AF38" s="76">
        <f t="shared" ref="AF38" si="273">+AE42</f>
        <v>111</v>
      </c>
      <c r="AG38" s="76">
        <f t="shared" ref="AG38" si="274">+AF42</f>
        <v>111</v>
      </c>
      <c r="AH38" s="76">
        <f t="shared" ref="AH38" si="275">+AG42</f>
        <v>111</v>
      </c>
      <c r="AI38" s="76">
        <f t="shared" ref="AI38" si="276">+AH42</f>
        <v>221</v>
      </c>
      <c r="AJ38" s="76">
        <f t="shared" ref="AJ38" si="277">+AI42</f>
        <v>221</v>
      </c>
      <c r="AK38" s="76">
        <f t="shared" ref="AK38" si="278">+AJ42</f>
        <v>221</v>
      </c>
      <c r="AL38" s="76">
        <f t="shared" ref="AL38" si="279">+AK42</f>
        <v>221</v>
      </c>
      <c r="AM38" s="76">
        <f t="shared" ref="AM38" si="280">+AL42</f>
        <v>221</v>
      </c>
      <c r="AN38" s="76">
        <f t="shared" ref="AN38" si="281">+AM42</f>
        <v>221</v>
      </c>
      <c r="AO38" s="76">
        <f t="shared" ref="AO38" si="282">+AN42</f>
        <v>0</v>
      </c>
      <c r="AP38" s="76">
        <f t="shared" ref="AP38" si="283">+AO42</f>
        <v>150</v>
      </c>
      <c r="AQ38" s="76">
        <f t="shared" ref="AQ38" si="284">+AP42</f>
        <v>150</v>
      </c>
      <c r="AR38" s="76">
        <f t="shared" ref="AR38" si="285">+AQ42</f>
        <v>150</v>
      </c>
      <c r="AS38" s="76">
        <f t="shared" ref="AS38" si="286">+AR42</f>
        <v>150</v>
      </c>
      <c r="AT38" s="76">
        <f t="shared" ref="AT38" si="287">+AS42</f>
        <v>150</v>
      </c>
      <c r="AU38" s="76">
        <f t="shared" ref="AU38" si="288">+AT42</f>
        <v>310</v>
      </c>
      <c r="AV38" s="76">
        <f t="shared" ref="AV38" si="289">+AU42</f>
        <v>310</v>
      </c>
      <c r="AW38" s="76">
        <f t="shared" ref="AW38" si="290">+AV42</f>
        <v>310</v>
      </c>
      <c r="AX38" s="76">
        <f t="shared" ref="AX38" si="291">+AW42</f>
        <v>310</v>
      </c>
      <c r="AY38" s="76">
        <f t="shared" ref="AY38:BJ38" si="292">+AX42</f>
        <v>310</v>
      </c>
      <c r="AZ38" s="76">
        <f t="shared" si="292"/>
        <v>310</v>
      </c>
      <c r="BA38" s="76">
        <f t="shared" si="292"/>
        <v>160</v>
      </c>
      <c r="BB38" s="76">
        <f t="shared" si="292"/>
        <v>160</v>
      </c>
      <c r="BC38" s="76">
        <f t="shared" si="292"/>
        <v>160</v>
      </c>
      <c r="BD38" s="76">
        <f t="shared" si="292"/>
        <v>160</v>
      </c>
      <c r="BE38" s="76">
        <f t="shared" si="292"/>
        <v>160</v>
      </c>
      <c r="BF38" s="76">
        <f t="shared" si="292"/>
        <v>160</v>
      </c>
      <c r="BG38" s="76">
        <f t="shared" si="292"/>
        <v>320</v>
      </c>
      <c r="BH38" s="76">
        <f t="shared" si="292"/>
        <v>320</v>
      </c>
      <c r="BI38" s="76">
        <f t="shared" si="292"/>
        <v>320</v>
      </c>
      <c r="BJ38" s="76">
        <f t="shared" si="292"/>
        <v>320</v>
      </c>
    </row>
    <row r="39" spans="2:62" outlineLevel="1">
      <c r="B39" t="s">
        <v>419</v>
      </c>
      <c r="C39" s="76">
        <f t="shared" ref="C39:L39" si="293">-C34</f>
        <v>0</v>
      </c>
      <c r="D39" s="76">
        <f t="shared" si="293"/>
        <v>0</v>
      </c>
      <c r="E39" s="76">
        <f t="shared" si="293"/>
        <v>0</v>
      </c>
      <c r="F39" s="482">
        <f t="shared" si="293"/>
        <v>87</v>
      </c>
      <c r="G39" s="76">
        <f t="shared" si="293"/>
        <v>0</v>
      </c>
      <c r="H39" s="76">
        <f t="shared" si="293"/>
        <v>0</v>
      </c>
      <c r="I39" s="76">
        <f t="shared" si="293"/>
        <v>0</v>
      </c>
      <c r="J39" s="76">
        <f t="shared" si="293"/>
        <v>0</v>
      </c>
      <c r="K39" s="76">
        <f t="shared" si="293"/>
        <v>0</v>
      </c>
      <c r="L39" s="76">
        <f t="shared" si="293"/>
        <v>0</v>
      </c>
      <c r="M39" s="482">
        <f>-M34</f>
        <v>15</v>
      </c>
      <c r="N39" s="76">
        <f t="shared" ref="N39:AX39" si="294">-N34</f>
        <v>0</v>
      </c>
      <c r="O39" s="76">
        <f t="shared" si="294"/>
        <v>0</v>
      </c>
      <c r="P39" s="76">
        <f t="shared" si="294"/>
        <v>0</v>
      </c>
      <c r="Q39" s="76">
        <f t="shared" si="294"/>
        <v>0</v>
      </c>
      <c r="R39" s="76">
        <f t="shared" si="294"/>
        <v>0</v>
      </c>
      <c r="S39" s="482">
        <f t="shared" si="294"/>
        <v>65</v>
      </c>
      <c r="T39" s="482">
        <f t="shared" si="294"/>
        <v>17</v>
      </c>
      <c r="U39" s="482">
        <f t="shared" si="294"/>
        <v>13</v>
      </c>
      <c r="V39" s="76">
        <f t="shared" si="294"/>
        <v>0</v>
      </c>
      <c r="W39" s="76">
        <f t="shared" si="294"/>
        <v>0</v>
      </c>
      <c r="X39" s="76">
        <f t="shared" si="294"/>
        <v>0</v>
      </c>
      <c r="Y39" s="76">
        <f t="shared" si="294"/>
        <v>0</v>
      </c>
      <c r="Z39" s="76">
        <f t="shared" si="294"/>
        <v>0</v>
      </c>
      <c r="AA39" s="76">
        <f t="shared" si="294"/>
        <v>0</v>
      </c>
      <c r="AB39" s="76">
        <f>-AB34</f>
        <v>107</v>
      </c>
      <c r="AC39" s="76">
        <f t="shared" si="294"/>
        <v>0</v>
      </c>
      <c r="AD39" s="76">
        <f t="shared" si="294"/>
        <v>0</v>
      </c>
      <c r="AE39" s="76">
        <f t="shared" si="294"/>
        <v>0</v>
      </c>
      <c r="AF39" s="76">
        <f t="shared" si="294"/>
        <v>0</v>
      </c>
      <c r="AG39" s="76">
        <f t="shared" si="294"/>
        <v>0</v>
      </c>
      <c r="AH39" s="76">
        <f t="shared" si="294"/>
        <v>110</v>
      </c>
      <c r="AI39" s="76">
        <f t="shared" si="294"/>
        <v>0</v>
      </c>
      <c r="AJ39" s="76">
        <f t="shared" si="294"/>
        <v>0</v>
      </c>
      <c r="AK39" s="76">
        <f t="shared" si="294"/>
        <v>0</v>
      </c>
      <c r="AL39" s="76">
        <f t="shared" si="294"/>
        <v>0</v>
      </c>
      <c r="AM39" s="76">
        <f t="shared" si="294"/>
        <v>0</v>
      </c>
      <c r="AN39" s="76">
        <f t="shared" si="294"/>
        <v>0</v>
      </c>
      <c r="AO39" s="76">
        <f t="shared" si="294"/>
        <v>150</v>
      </c>
      <c r="AP39" s="76">
        <f t="shared" si="294"/>
        <v>0</v>
      </c>
      <c r="AQ39" s="76">
        <f t="shared" si="294"/>
        <v>0</v>
      </c>
      <c r="AR39" s="76">
        <f t="shared" si="294"/>
        <v>0</v>
      </c>
      <c r="AS39" s="76">
        <f t="shared" si="294"/>
        <v>0</v>
      </c>
      <c r="AT39" s="76">
        <f t="shared" si="294"/>
        <v>160</v>
      </c>
      <c r="AU39" s="76">
        <f t="shared" si="294"/>
        <v>0</v>
      </c>
      <c r="AV39" s="76">
        <f>-AV34</f>
        <v>0</v>
      </c>
      <c r="AW39" s="76">
        <f t="shared" si="294"/>
        <v>0</v>
      </c>
      <c r="AX39" s="76">
        <f t="shared" si="294"/>
        <v>0</v>
      </c>
      <c r="AY39" s="76">
        <f t="shared" ref="AY39:BJ39" si="295">-AY34</f>
        <v>0</v>
      </c>
      <c r="AZ39" s="76">
        <f t="shared" si="295"/>
        <v>160</v>
      </c>
      <c r="BA39" s="76">
        <f t="shared" si="295"/>
        <v>0</v>
      </c>
      <c r="BB39" s="76">
        <f t="shared" si="295"/>
        <v>0</v>
      </c>
      <c r="BC39" s="76">
        <f t="shared" si="295"/>
        <v>0</v>
      </c>
      <c r="BD39" s="76">
        <f t="shared" si="295"/>
        <v>0</v>
      </c>
      <c r="BE39" s="76">
        <f t="shared" si="295"/>
        <v>0</v>
      </c>
      <c r="BF39" s="76">
        <f t="shared" si="295"/>
        <v>160</v>
      </c>
      <c r="BG39" s="76">
        <f t="shared" si="295"/>
        <v>0</v>
      </c>
      <c r="BH39" s="76">
        <f t="shared" si="295"/>
        <v>0</v>
      </c>
      <c r="BI39" s="76">
        <f t="shared" si="295"/>
        <v>0</v>
      </c>
      <c r="BJ39" s="76">
        <f t="shared" si="295"/>
        <v>0</v>
      </c>
    </row>
    <row r="40" spans="2:62" outlineLevel="1">
      <c r="B40" t="s">
        <v>253</v>
      </c>
      <c r="C40" s="56"/>
      <c r="D40" s="56"/>
      <c r="E40" s="123"/>
      <c r="F40" s="123"/>
      <c r="G40" s="123"/>
      <c r="H40" s="123"/>
      <c r="I40" s="123"/>
      <c r="J40" s="123"/>
      <c r="K40" s="123"/>
      <c r="L40" s="123"/>
      <c r="M40" s="123"/>
      <c r="N40" s="123"/>
      <c r="O40" s="123"/>
      <c r="P40" s="123"/>
      <c r="Q40" s="56"/>
      <c r="R40" s="56"/>
      <c r="S40" s="123">
        <f>-2-3+4</f>
        <v>-1</v>
      </c>
      <c r="T40" s="56"/>
      <c r="U40" s="56"/>
      <c r="V40" s="56"/>
      <c r="W40" s="123">
        <v>-1</v>
      </c>
      <c r="X40" s="123">
        <v>-1</v>
      </c>
      <c r="Y40" s="56"/>
      <c r="Z40" s="56"/>
      <c r="AA40" s="56"/>
      <c r="AB40" s="56"/>
      <c r="AC40" s="115"/>
      <c r="AD40" s="125">
        <v>-1</v>
      </c>
      <c r="AE40" s="115"/>
      <c r="AF40" s="115"/>
      <c r="AG40" s="115"/>
      <c r="AH40" s="115"/>
      <c r="AI40" s="115"/>
      <c r="AJ40" s="115"/>
      <c r="AK40" s="115"/>
      <c r="AL40" s="115"/>
      <c r="AM40" s="115"/>
      <c r="AN40" s="115"/>
      <c r="AO40" s="115"/>
      <c r="AP40" s="115"/>
      <c r="AQ40" s="115"/>
      <c r="AR40" s="115"/>
      <c r="AS40" s="115"/>
      <c r="AT40" s="115"/>
      <c r="AU40" s="115"/>
      <c r="AV40" s="56"/>
      <c r="AW40" s="56"/>
      <c r="AX40" s="56"/>
      <c r="AY40" s="115"/>
      <c r="AZ40" s="115"/>
      <c r="BA40" s="115"/>
      <c r="BB40" s="115"/>
      <c r="BC40" s="115"/>
      <c r="BD40" s="115"/>
      <c r="BE40" s="115"/>
      <c r="BF40" s="115"/>
      <c r="BG40" s="115"/>
      <c r="BH40" s="56"/>
      <c r="BI40" s="56"/>
      <c r="BJ40" s="56"/>
    </row>
    <row r="41" spans="2:62" outlineLevel="1">
      <c r="B41" t="s">
        <v>422</v>
      </c>
      <c r="C41" s="56"/>
      <c r="D41" s="56"/>
      <c r="E41" s="123">
        <v>-84</v>
      </c>
      <c r="F41" s="123"/>
      <c r="G41" s="123"/>
      <c r="H41" s="123"/>
      <c r="I41" s="123"/>
      <c r="J41" s="123"/>
      <c r="K41" s="123"/>
      <c r="L41" s="123"/>
      <c r="M41" s="123"/>
      <c r="N41" s="123"/>
      <c r="O41" s="123"/>
      <c r="P41" s="123"/>
      <c r="Q41" s="463">
        <f>-F39-M39-Q39</f>
        <v>-102</v>
      </c>
      <c r="R41" s="77"/>
      <c r="S41" s="77"/>
      <c r="T41" s="77"/>
      <c r="U41" s="77"/>
      <c r="V41" s="77"/>
      <c r="W41" s="77"/>
      <c r="X41" s="77"/>
      <c r="Y41" s="77"/>
      <c r="Z41" s="77"/>
      <c r="AA41" s="77"/>
      <c r="AB41" s="463">
        <v>-87</v>
      </c>
      <c r="AC41" s="116"/>
      <c r="AD41" s="116"/>
      <c r="AE41" s="116"/>
      <c r="AF41" s="116"/>
      <c r="AG41" s="116"/>
      <c r="AH41" s="116"/>
      <c r="AI41" s="116"/>
      <c r="AJ41" s="116"/>
      <c r="AK41" s="116"/>
      <c r="AL41" s="116"/>
      <c r="AM41" s="116"/>
      <c r="AN41" s="116">
        <v>-221</v>
      </c>
      <c r="AO41" s="116"/>
      <c r="AP41" s="116"/>
      <c r="AQ41" s="116"/>
      <c r="AR41" s="116"/>
      <c r="AS41" s="116"/>
      <c r="AT41" s="116"/>
      <c r="AU41" s="116"/>
      <c r="AV41" s="116"/>
      <c r="AW41" s="116"/>
      <c r="AX41" s="116"/>
      <c r="AY41" s="116"/>
      <c r="AZ41" s="116">
        <f>-AT39-AO39</f>
        <v>-310</v>
      </c>
      <c r="BA41" s="116"/>
      <c r="BB41" s="116"/>
      <c r="BC41" s="116"/>
      <c r="BD41" s="116"/>
      <c r="BE41" s="116"/>
      <c r="BF41" s="116"/>
      <c r="BG41" s="116"/>
      <c r="BH41" s="116"/>
      <c r="BI41" s="116"/>
      <c r="BJ41" s="116"/>
    </row>
    <row r="42" spans="2:62" outlineLevel="1">
      <c r="B42" t="s">
        <v>394</v>
      </c>
      <c r="C42" s="54">
        <f t="shared" ref="C42:AX42" si="296">SUM(C38:C41)</f>
        <v>84</v>
      </c>
      <c r="D42" s="482">
        <f t="shared" si="296"/>
        <v>84</v>
      </c>
      <c r="E42" s="482">
        <f t="shared" si="296"/>
        <v>0</v>
      </c>
      <c r="F42" s="482">
        <f t="shared" si="296"/>
        <v>87</v>
      </c>
      <c r="G42" s="482">
        <f t="shared" si="296"/>
        <v>87</v>
      </c>
      <c r="H42" s="482">
        <f t="shared" si="296"/>
        <v>87</v>
      </c>
      <c r="I42" s="482">
        <f t="shared" si="296"/>
        <v>87</v>
      </c>
      <c r="J42" s="482">
        <f t="shared" si="296"/>
        <v>87</v>
      </c>
      <c r="K42" s="482">
        <f t="shared" si="296"/>
        <v>87</v>
      </c>
      <c r="L42" s="482">
        <f t="shared" si="296"/>
        <v>87</v>
      </c>
      <c r="M42" s="482">
        <f t="shared" si="296"/>
        <v>102</v>
      </c>
      <c r="N42" s="482">
        <f t="shared" si="296"/>
        <v>102</v>
      </c>
      <c r="O42" s="482">
        <f t="shared" si="296"/>
        <v>102</v>
      </c>
      <c r="P42" s="482">
        <f t="shared" si="296"/>
        <v>102</v>
      </c>
      <c r="Q42" s="482">
        <f t="shared" si="296"/>
        <v>0</v>
      </c>
      <c r="R42" s="482">
        <f t="shared" si="296"/>
        <v>0</v>
      </c>
      <c r="S42" s="482">
        <f t="shared" si="296"/>
        <v>64</v>
      </c>
      <c r="T42" s="482">
        <f t="shared" si="296"/>
        <v>81</v>
      </c>
      <c r="U42" s="482">
        <f t="shared" si="296"/>
        <v>94</v>
      </c>
      <c r="V42" s="482">
        <f t="shared" si="296"/>
        <v>94</v>
      </c>
      <c r="W42" s="482">
        <f t="shared" si="296"/>
        <v>93</v>
      </c>
      <c r="X42" s="482">
        <f t="shared" si="296"/>
        <v>92</v>
      </c>
      <c r="Y42" s="482">
        <f t="shared" si="296"/>
        <v>92</v>
      </c>
      <c r="Z42" s="482">
        <f t="shared" si="296"/>
        <v>92</v>
      </c>
      <c r="AA42" s="482">
        <f t="shared" si="296"/>
        <v>92</v>
      </c>
      <c r="AB42" s="482">
        <f t="shared" si="296"/>
        <v>112</v>
      </c>
      <c r="AC42" s="482">
        <f t="shared" si="296"/>
        <v>112</v>
      </c>
      <c r="AD42" s="482">
        <f t="shared" si="296"/>
        <v>111</v>
      </c>
      <c r="AE42" s="482">
        <f t="shared" si="296"/>
        <v>111</v>
      </c>
      <c r="AF42" s="482">
        <f t="shared" si="296"/>
        <v>111</v>
      </c>
      <c r="AG42" s="76">
        <f t="shared" si="296"/>
        <v>111</v>
      </c>
      <c r="AH42" s="76">
        <f t="shared" si="296"/>
        <v>221</v>
      </c>
      <c r="AI42" s="76">
        <f t="shared" si="296"/>
        <v>221</v>
      </c>
      <c r="AJ42" s="76">
        <f t="shared" si="296"/>
        <v>221</v>
      </c>
      <c r="AK42" s="76">
        <f t="shared" si="296"/>
        <v>221</v>
      </c>
      <c r="AL42" s="76">
        <f>SUM(AL38:AL41)</f>
        <v>221</v>
      </c>
      <c r="AM42" s="76">
        <f t="shared" si="296"/>
        <v>221</v>
      </c>
      <c r="AN42" s="76">
        <f t="shared" si="296"/>
        <v>0</v>
      </c>
      <c r="AO42" s="76">
        <f t="shared" si="296"/>
        <v>150</v>
      </c>
      <c r="AP42" s="76">
        <f t="shared" si="296"/>
        <v>150</v>
      </c>
      <c r="AQ42" s="76">
        <f t="shared" si="296"/>
        <v>150</v>
      </c>
      <c r="AR42" s="76">
        <f t="shared" si="296"/>
        <v>150</v>
      </c>
      <c r="AS42" s="76">
        <f t="shared" si="296"/>
        <v>150</v>
      </c>
      <c r="AT42" s="76">
        <f t="shared" si="296"/>
        <v>310</v>
      </c>
      <c r="AU42" s="76">
        <f t="shared" si="296"/>
        <v>310</v>
      </c>
      <c r="AV42" s="76">
        <f t="shared" si="296"/>
        <v>310</v>
      </c>
      <c r="AW42" s="76">
        <f t="shared" si="296"/>
        <v>310</v>
      </c>
      <c r="AX42" s="76">
        <f t="shared" si="296"/>
        <v>310</v>
      </c>
      <c r="AY42" s="76">
        <f t="shared" ref="AY42:BJ42" si="297">SUM(AY38:AY41)</f>
        <v>310</v>
      </c>
      <c r="AZ42" s="76">
        <f t="shared" si="297"/>
        <v>160</v>
      </c>
      <c r="BA42" s="76">
        <f t="shared" si="297"/>
        <v>160</v>
      </c>
      <c r="BB42" s="76">
        <f t="shared" si="297"/>
        <v>160</v>
      </c>
      <c r="BC42" s="76">
        <f t="shared" si="297"/>
        <v>160</v>
      </c>
      <c r="BD42" s="76">
        <f t="shared" si="297"/>
        <v>160</v>
      </c>
      <c r="BE42" s="76">
        <f t="shared" si="297"/>
        <v>160</v>
      </c>
      <c r="BF42" s="76">
        <f t="shared" si="297"/>
        <v>320</v>
      </c>
      <c r="BG42" s="76">
        <f t="shared" si="297"/>
        <v>320</v>
      </c>
      <c r="BH42" s="76">
        <f t="shared" si="297"/>
        <v>320</v>
      </c>
      <c r="BI42" s="76">
        <f t="shared" si="297"/>
        <v>320</v>
      </c>
      <c r="BJ42" s="76">
        <f t="shared" si="297"/>
        <v>320</v>
      </c>
    </row>
    <row r="43" spans="2:62" outlineLevel="1">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row>
    <row r="44" spans="2:62" outlineLevel="1">
      <c r="B44" s="54" t="s">
        <v>199</v>
      </c>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row>
    <row r="45" spans="2:62" outlineLevel="1">
      <c r="B45" t="s">
        <v>390</v>
      </c>
      <c r="C45" s="56">
        <v>0</v>
      </c>
      <c r="D45">
        <f>+C49</f>
        <v>0</v>
      </c>
      <c r="E45" s="76">
        <f t="shared" ref="E45" si="298">+D49</f>
        <v>0</v>
      </c>
      <c r="F45" s="76">
        <f t="shared" ref="F45" si="299">+E49</f>
        <v>84</v>
      </c>
      <c r="G45" s="76">
        <f t="shared" ref="G45" si="300">+F49</f>
        <v>84</v>
      </c>
      <c r="H45" s="76">
        <f t="shared" ref="H45" si="301">+G49</f>
        <v>84</v>
      </c>
      <c r="I45" s="76">
        <f t="shared" ref="I45" si="302">+H49</f>
        <v>56</v>
      </c>
      <c r="J45" s="76">
        <f t="shared" ref="J45" si="303">+I49</f>
        <v>0</v>
      </c>
      <c r="K45" s="76">
        <f t="shared" ref="K45" si="304">+J49</f>
        <v>0</v>
      </c>
      <c r="L45" s="76">
        <f t="shared" ref="L45" si="305">+K49</f>
        <v>0</v>
      </c>
      <c r="M45" s="76">
        <f t="shared" ref="M45" si="306">+L49</f>
        <v>0</v>
      </c>
      <c r="N45" s="76">
        <f t="shared" ref="N45" si="307">+M49</f>
        <v>0</v>
      </c>
      <c r="O45" s="76">
        <f t="shared" ref="O45" si="308">+N49</f>
        <v>0</v>
      </c>
      <c r="P45" s="76">
        <f t="shared" ref="P45" si="309">+O49</f>
        <v>0</v>
      </c>
      <c r="Q45" s="76">
        <f t="shared" ref="Q45" si="310">+P49</f>
        <v>0</v>
      </c>
      <c r="R45" s="76">
        <f t="shared" ref="R45" si="311">+Q49</f>
        <v>102</v>
      </c>
      <c r="S45" s="76">
        <f t="shared" ref="S45" si="312">+R49</f>
        <v>102</v>
      </c>
      <c r="T45" s="76">
        <f t="shared" ref="T45" si="313">+S49</f>
        <v>50</v>
      </c>
      <c r="U45" s="76">
        <f t="shared" ref="U45" si="314">+T49</f>
        <v>50</v>
      </c>
      <c r="V45" s="76">
        <f t="shared" ref="V45" si="315">+U49</f>
        <v>1</v>
      </c>
      <c r="W45" s="76">
        <f t="shared" ref="W45" si="316">+V49</f>
        <v>0</v>
      </c>
      <c r="X45" s="76">
        <f t="shared" ref="X45" si="317">+W49</f>
        <v>0</v>
      </c>
      <c r="Y45" s="76">
        <f t="shared" ref="Y45" si="318">+X49</f>
        <v>0</v>
      </c>
      <c r="Z45" s="76">
        <f t="shared" ref="Z45" si="319">+Y49</f>
        <v>0</v>
      </c>
      <c r="AA45" s="76">
        <f t="shared" ref="AA45" si="320">+Z49</f>
        <v>0</v>
      </c>
      <c r="AB45" s="76">
        <f t="shared" ref="AB45" si="321">+AA49</f>
        <v>0</v>
      </c>
      <c r="AC45" s="76">
        <f t="shared" ref="AC45" si="322">+AB49</f>
        <v>87</v>
      </c>
      <c r="AD45" s="76">
        <f t="shared" ref="AD45" si="323">+AC49</f>
        <v>87</v>
      </c>
      <c r="AE45" s="76">
        <f t="shared" ref="AE45" si="324">+AD49</f>
        <v>87</v>
      </c>
      <c r="AF45" s="76">
        <f t="shared" ref="AF45" si="325">+AE49</f>
        <v>87</v>
      </c>
      <c r="AG45" s="76">
        <f t="shared" ref="AG45" si="326">+AF49</f>
        <v>42</v>
      </c>
      <c r="AH45" s="76">
        <f t="shared" ref="AH45" si="327">+AG49</f>
        <v>0</v>
      </c>
      <c r="AI45" s="76">
        <f t="shared" ref="AI45" si="328">+AH49</f>
        <v>0</v>
      </c>
      <c r="AJ45" s="76">
        <f t="shared" ref="AJ45" si="329">+AI49</f>
        <v>0</v>
      </c>
      <c r="AK45" s="76">
        <f t="shared" ref="AK45" si="330">+AJ49</f>
        <v>0</v>
      </c>
      <c r="AL45" s="76">
        <f t="shared" ref="AL45" si="331">+AK49</f>
        <v>0</v>
      </c>
      <c r="AM45" s="76">
        <f t="shared" ref="AM45" si="332">+AL49</f>
        <v>0</v>
      </c>
      <c r="AN45" s="76">
        <f t="shared" ref="AN45" si="333">+AM49</f>
        <v>0</v>
      </c>
      <c r="AO45" s="76">
        <f t="shared" ref="AO45" si="334">+AN49</f>
        <v>221</v>
      </c>
      <c r="AP45" s="76">
        <f t="shared" ref="AP45" si="335">+AO49</f>
        <v>221</v>
      </c>
      <c r="AQ45" s="76">
        <f t="shared" ref="AQ45" si="336">+AP49</f>
        <v>221</v>
      </c>
      <c r="AR45" s="76">
        <f t="shared" ref="AR45" si="337">+AQ49</f>
        <v>221</v>
      </c>
      <c r="AS45" s="76">
        <f t="shared" ref="AS45" si="338">+AR49</f>
        <v>221</v>
      </c>
      <c r="AT45" s="76">
        <f t="shared" ref="AT45" si="339">+AS49</f>
        <v>0</v>
      </c>
      <c r="AU45" s="76">
        <f t="shared" ref="AU45" si="340">+AT49</f>
        <v>0</v>
      </c>
      <c r="AV45" s="76">
        <f t="shared" ref="AV45" si="341">+AU49</f>
        <v>0</v>
      </c>
      <c r="AW45" s="76">
        <f t="shared" ref="AW45" si="342">+AV49</f>
        <v>0</v>
      </c>
      <c r="AX45" s="76">
        <f t="shared" ref="AX45" si="343">+AW49</f>
        <v>0</v>
      </c>
      <c r="AY45" s="76">
        <f t="shared" ref="AY45:BJ45" si="344">+AX49</f>
        <v>0</v>
      </c>
      <c r="AZ45" s="76">
        <f t="shared" si="344"/>
        <v>0</v>
      </c>
      <c r="BA45" s="76">
        <f t="shared" si="344"/>
        <v>310</v>
      </c>
      <c r="BB45" s="76">
        <f t="shared" si="344"/>
        <v>310</v>
      </c>
      <c r="BC45" s="76">
        <f t="shared" si="344"/>
        <v>310</v>
      </c>
      <c r="BD45" s="76">
        <f t="shared" si="344"/>
        <v>310</v>
      </c>
      <c r="BE45" s="76">
        <f t="shared" si="344"/>
        <v>310</v>
      </c>
      <c r="BF45" s="76">
        <f t="shared" si="344"/>
        <v>0</v>
      </c>
      <c r="BG45" s="76">
        <f t="shared" si="344"/>
        <v>0</v>
      </c>
      <c r="BH45" s="76">
        <f t="shared" si="344"/>
        <v>0</v>
      </c>
      <c r="BI45" s="76">
        <f t="shared" si="344"/>
        <v>0</v>
      </c>
      <c r="BJ45" s="76">
        <f t="shared" si="344"/>
        <v>0</v>
      </c>
    </row>
    <row r="46" spans="2:62" outlineLevel="1">
      <c r="B46" t="s">
        <v>420</v>
      </c>
      <c r="C46" s="76">
        <f t="shared" ref="C46:AA46" si="345">-C41</f>
        <v>0</v>
      </c>
      <c r="D46" s="76">
        <f t="shared" si="345"/>
        <v>0</v>
      </c>
      <c r="E46" s="482">
        <f t="shared" si="345"/>
        <v>84</v>
      </c>
      <c r="F46" s="76">
        <f t="shared" si="345"/>
        <v>0</v>
      </c>
      <c r="G46" s="76">
        <f t="shared" si="345"/>
        <v>0</v>
      </c>
      <c r="H46" s="76">
        <f t="shared" si="345"/>
        <v>0</v>
      </c>
      <c r="I46" s="76">
        <f t="shared" si="345"/>
        <v>0</v>
      </c>
      <c r="J46" s="76">
        <f t="shared" si="345"/>
        <v>0</v>
      </c>
      <c r="K46" s="76">
        <f t="shared" si="345"/>
        <v>0</v>
      </c>
      <c r="L46" s="76">
        <f t="shared" si="345"/>
        <v>0</v>
      </c>
      <c r="M46" s="76">
        <f t="shared" si="345"/>
        <v>0</v>
      </c>
      <c r="N46" s="76">
        <f t="shared" si="345"/>
        <v>0</v>
      </c>
      <c r="O46" s="76">
        <f t="shared" si="345"/>
        <v>0</v>
      </c>
      <c r="P46" s="76">
        <f t="shared" si="345"/>
        <v>0</v>
      </c>
      <c r="Q46" s="482">
        <f>-Q41</f>
        <v>102</v>
      </c>
      <c r="R46" s="76">
        <f t="shared" si="345"/>
        <v>0</v>
      </c>
      <c r="S46" s="76">
        <f t="shared" si="345"/>
        <v>0</v>
      </c>
      <c r="T46" s="76">
        <f t="shared" si="345"/>
        <v>0</v>
      </c>
      <c r="U46" s="76">
        <f t="shared" si="345"/>
        <v>0</v>
      </c>
      <c r="V46" s="76">
        <f t="shared" si="345"/>
        <v>0</v>
      </c>
      <c r="W46" s="76">
        <f t="shared" si="345"/>
        <v>0</v>
      </c>
      <c r="X46" s="76">
        <f t="shared" si="345"/>
        <v>0</v>
      </c>
      <c r="Y46" s="76">
        <f t="shared" si="345"/>
        <v>0</v>
      </c>
      <c r="Z46" s="76">
        <f t="shared" si="345"/>
        <v>0</v>
      </c>
      <c r="AA46" s="76">
        <f t="shared" si="345"/>
        <v>0</v>
      </c>
      <c r="AB46" s="76">
        <f t="shared" ref="AB46:AX46" si="346">-AB41</f>
        <v>87</v>
      </c>
      <c r="AC46" s="76">
        <f t="shared" si="346"/>
        <v>0</v>
      </c>
      <c r="AD46" s="76">
        <f t="shared" si="346"/>
        <v>0</v>
      </c>
      <c r="AE46" s="76">
        <f t="shared" si="346"/>
        <v>0</v>
      </c>
      <c r="AF46" s="76">
        <f>-AF41</f>
        <v>0</v>
      </c>
      <c r="AG46" s="76">
        <f t="shared" si="346"/>
        <v>0</v>
      </c>
      <c r="AH46" s="76">
        <f t="shared" si="346"/>
        <v>0</v>
      </c>
      <c r="AI46" s="76">
        <f t="shared" si="346"/>
        <v>0</v>
      </c>
      <c r="AJ46" s="76">
        <f t="shared" si="346"/>
        <v>0</v>
      </c>
      <c r="AK46" s="76">
        <f t="shared" si="346"/>
        <v>0</v>
      </c>
      <c r="AL46" s="76">
        <f t="shared" si="346"/>
        <v>0</v>
      </c>
      <c r="AM46" s="76">
        <f t="shared" si="346"/>
        <v>0</v>
      </c>
      <c r="AN46" s="76">
        <f t="shared" si="346"/>
        <v>221</v>
      </c>
      <c r="AO46" s="76">
        <f t="shared" si="346"/>
        <v>0</v>
      </c>
      <c r="AP46" s="76">
        <f t="shared" si="346"/>
        <v>0</v>
      </c>
      <c r="AQ46" s="76">
        <f t="shared" si="346"/>
        <v>0</v>
      </c>
      <c r="AR46" s="76">
        <f t="shared" si="346"/>
        <v>0</v>
      </c>
      <c r="AS46" s="76">
        <f t="shared" si="346"/>
        <v>0</v>
      </c>
      <c r="AT46" s="76">
        <f t="shared" si="346"/>
        <v>0</v>
      </c>
      <c r="AU46" s="76">
        <f t="shared" si="346"/>
        <v>0</v>
      </c>
      <c r="AV46" s="76">
        <f t="shared" si="346"/>
        <v>0</v>
      </c>
      <c r="AW46" s="76">
        <f t="shared" si="346"/>
        <v>0</v>
      </c>
      <c r="AX46" s="76">
        <f t="shared" si="346"/>
        <v>0</v>
      </c>
      <c r="AY46" s="76">
        <f t="shared" ref="AY46:BJ46" si="347">-AY41</f>
        <v>0</v>
      </c>
      <c r="AZ46" s="76">
        <f t="shared" si="347"/>
        <v>310</v>
      </c>
      <c r="BA46" s="76">
        <f t="shared" si="347"/>
        <v>0</v>
      </c>
      <c r="BB46" s="76">
        <f t="shared" si="347"/>
        <v>0</v>
      </c>
      <c r="BC46" s="76">
        <f t="shared" si="347"/>
        <v>0</v>
      </c>
      <c r="BD46" s="76">
        <f t="shared" si="347"/>
        <v>0</v>
      </c>
      <c r="BE46" s="76">
        <f t="shared" si="347"/>
        <v>0</v>
      </c>
      <c r="BF46" s="76">
        <f t="shared" si="347"/>
        <v>0</v>
      </c>
      <c r="BG46" s="76">
        <f t="shared" si="347"/>
        <v>0</v>
      </c>
      <c r="BH46" s="76">
        <f t="shared" si="347"/>
        <v>0</v>
      </c>
      <c r="BI46" s="76">
        <f t="shared" si="347"/>
        <v>0</v>
      </c>
      <c r="BJ46" s="76">
        <f t="shared" si="347"/>
        <v>0</v>
      </c>
    </row>
    <row r="47" spans="2:62" outlineLevel="1">
      <c r="B47" t="s">
        <v>253</v>
      </c>
      <c r="C47" s="56"/>
      <c r="D47" s="56"/>
      <c r="E47" s="56"/>
      <c r="F47" s="56"/>
      <c r="G47" s="56"/>
      <c r="H47" s="56"/>
      <c r="I47" s="56"/>
      <c r="J47" s="56"/>
      <c r="K47" s="56"/>
      <c r="L47" s="56"/>
      <c r="M47" s="56"/>
      <c r="N47" s="56"/>
      <c r="O47" s="56"/>
      <c r="P47" s="56"/>
      <c r="Q47" s="56"/>
      <c r="R47" s="56"/>
      <c r="S47" s="123">
        <f>-1-2</f>
        <v>-3</v>
      </c>
      <c r="T47" s="56"/>
      <c r="U47" s="56"/>
      <c r="V47" s="56"/>
      <c r="W47" s="56"/>
      <c r="X47" s="56"/>
      <c r="Y47" s="56"/>
      <c r="Z47" s="56"/>
      <c r="AA47" s="56"/>
      <c r="AB47" s="56"/>
      <c r="AC47" s="56"/>
      <c r="AD47" s="56"/>
      <c r="AE47" s="56"/>
      <c r="AF47" s="125">
        <f>-3</f>
        <v>-3</v>
      </c>
      <c r="AG47" s="123">
        <f>6-1-46</f>
        <v>-41</v>
      </c>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row>
    <row r="48" spans="2:62" outlineLevel="1">
      <c r="B48" t="s">
        <v>421</v>
      </c>
      <c r="C48" s="56"/>
      <c r="D48" s="56"/>
      <c r="E48" s="56"/>
      <c r="F48" s="56"/>
      <c r="G48" s="56"/>
      <c r="H48" s="123">
        <v>-28</v>
      </c>
      <c r="I48" s="123">
        <v>-56</v>
      </c>
      <c r="J48" s="56"/>
      <c r="K48" s="56"/>
      <c r="L48" s="56"/>
      <c r="M48" s="56"/>
      <c r="N48" s="56"/>
      <c r="O48" s="56"/>
      <c r="P48" s="56"/>
      <c r="Q48" s="56"/>
      <c r="R48" s="56"/>
      <c r="S48" s="123">
        <f>-46-3</f>
        <v>-49</v>
      </c>
      <c r="T48" s="56"/>
      <c r="U48" s="463">
        <f>-11-38</f>
        <v>-49</v>
      </c>
      <c r="V48" s="123">
        <v>-1</v>
      </c>
      <c r="W48" s="56"/>
      <c r="X48" s="56"/>
      <c r="Y48" s="56"/>
      <c r="Z48" s="56"/>
      <c r="AA48" s="56"/>
      <c r="AB48" s="56"/>
      <c r="AC48" s="56"/>
      <c r="AD48" s="56"/>
      <c r="AE48" s="56"/>
      <c r="AF48" s="125">
        <f>-40-2</f>
        <v>-42</v>
      </c>
      <c r="AG48" s="463">
        <f>-1</f>
        <v>-1</v>
      </c>
      <c r="AH48" s="56"/>
      <c r="AI48" s="56"/>
      <c r="AJ48" s="56"/>
      <c r="AK48" s="56"/>
      <c r="AL48" s="56"/>
      <c r="AM48" s="56"/>
      <c r="AN48" s="56"/>
      <c r="AO48" s="56"/>
      <c r="AP48" s="56"/>
      <c r="AQ48" s="56"/>
      <c r="AR48" s="56"/>
      <c r="AS48" s="116">
        <f>-AN46</f>
        <v>-221</v>
      </c>
      <c r="AT48" s="56"/>
      <c r="AU48" s="56"/>
      <c r="AV48" s="56"/>
      <c r="AW48" s="56"/>
      <c r="AX48" s="56"/>
      <c r="AY48" s="56"/>
      <c r="AZ48" s="56"/>
      <c r="BA48" s="56"/>
      <c r="BB48" s="56"/>
      <c r="BC48" s="56"/>
      <c r="BD48" s="56"/>
      <c r="BE48" s="116">
        <f>-AZ46</f>
        <v>-310</v>
      </c>
      <c r="BF48" s="56"/>
      <c r="BG48" s="56"/>
      <c r="BH48" s="56"/>
      <c r="BI48" s="56"/>
      <c r="BJ48" s="56"/>
    </row>
    <row r="49" spans="2:62" outlineLevel="1">
      <c r="B49" t="s">
        <v>394</v>
      </c>
      <c r="C49" s="54">
        <f t="shared" ref="C49:AX49" si="348">SUM(C45:C48)</f>
        <v>0</v>
      </c>
      <c r="D49" s="482">
        <f t="shared" si="348"/>
        <v>0</v>
      </c>
      <c r="E49" s="482">
        <f t="shared" si="348"/>
        <v>84</v>
      </c>
      <c r="F49" s="482">
        <f t="shared" si="348"/>
        <v>84</v>
      </c>
      <c r="G49" s="482">
        <f t="shared" si="348"/>
        <v>84</v>
      </c>
      <c r="H49" s="482">
        <f t="shared" si="348"/>
        <v>56</v>
      </c>
      <c r="I49" s="482">
        <f t="shared" si="348"/>
        <v>0</v>
      </c>
      <c r="J49" s="482">
        <f t="shared" si="348"/>
        <v>0</v>
      </c>
      <c r="K49" s="482">
        <f t="shared" si="348"/>
        <v>0</v>
      </c>
      <c r="L49" s="482">
        <f t="shared" si="348"/>
        <v>0</v>
      </c>
      <c r="M49" s="482">
        <f t="shared" si="348"/>
        <v>0</v>
      </c>
      <c r="N49" s="482">
        <f t="shared" si="348"/>
        <v>0</v>
      </c>
      <c r="O49" s="482">
        <f t="shared" si="348"/>
        <v>0</v>
      </c>
      <c r="P49" s="482">
        <f t="shared" si="348"/>
        <v>0</v>
      </c>
      <c r="Q49" s="482">
        <f t="shared" si="348"/>
        <v>102</v>
      </c>
      <c r="R49" s="482">
        <f t="shared" si="348"/>
        <v>102</v>
      </c>
      <c r="S49" s="482">
        <f t="shared" si="348"/>
        <v>50</v>
      </c>
      <c r="T49" s="482">
        <f t="shared" si="348"/>
        <v>50</v>
      </c>
      <c r="U49" s="482">
        <f>SUM(U45:U48)</f>
        <v>1</v>
      </c>
      <c r="V49" s="482">
        <f t="shared" si="348"/>
        <v>0</v>
      </c>
      <c r="W49" s="482">
        <f t="shared" si="348"/>
        <v>0</v>
      </c>
      <c r="X49" s="482">
        <f t="shared" si="348"/>
        <v>0</v>
      </c>
      <c r="Y49" s="482">
        <f t="shared" si="348"/>
        <v>0</v>
      </c>
      <c r="Z49" s="482">
        <f t="shared" si="348"/>
        <v>0</v>
      </c>
      <c r="AA49" s="482">
        <f t="shared" si="348"/>
        <v>0</v>
      </c>
      <c r="AB49" s="482">
        <f t="shared" si="348"/>
        <v>87</v>
      </c>
      <c r="AC49" s="482">
        <f t="shared" si="348"/>
        <v>87</v>
      </c>
      <c r="AD49" s="482">
        <f t="shared" si="348"/>
        <v>87</v>
      </c>
      <c r="AE49" s="482">
        <f t="shared" si="348"/>
        <v>87</v>
      </c>
      <c r="AF49" s="482">
        <f t="shared" si="348"/>
        <v>42</v>
      </c>
      <c r="AG49" s="76">
        <f>SUM(AG45:AG48)</f>
        <v>0</v>
      </c>
      <c r="AH49" s="76">
        <f t="shared" si="348"/>
        <v>0</v>
      </c>
      <c r="AI49" s="76">
        <f t="shared" si="348"/>
        <v>0</v>
      </c>
      <c r="AJ49" s="76">
        <f t="shared" si="348"/>
        <v>0</v>
      </c>
      <c r="AK49" s="76">
        <f t="shared" si="348"/>
        <v>0</v>
      </c>
      <c r="AL49" s="76">
        <f t="shared" si="348"/>
        <v>0</v>
      </c>
      <c r="AM49" s="76">
        <f t="shared" si="348"/>
        <v>0</v>
      </c>
      <c r="AN49" s="76">
        <f t="shared" si="348"/>
        <v>221</v>
      </c>
      <c r="AO49" s="76">
        <f t="shared" si="348"/>
        <v>221</v>
      </c>
      <c r="AP49" s="76">
        <f t="shared" si="348"/>
        <v>221</v>
      </c>
      <c r="AQ49" s="76">
        <f t="shared" si="348"/>
        <v>221</v>
      </c>
      <c r="AR49" s="76">
        <f t="shared" si="348"/>
        <v>221</v>
      </c>
      <c r="AS49" s="76">
        <f t="shared" si="348"/>
        <v>0</v>
      </c>
      <c r="AT49" s="76">
        <f t="shared" si="348"/>
        <v>0</v>
      </c>
      <c r="AU49" s="76">
        <f t="shared" si="348"/>
        <v>0</v>
      </c>
      <c r="AV49" s="76">
        <f t="shared" si="348"/>
        <v>0</v>
      </c>
      <c r="AW49" s="76">
        <f t="shared" si="348"/>
        <v>0</v>
      </c>
      <c r="AX49" s="76">
        <f t="shared" si="348"/>
        <v>0</v>
      </c>
      <c r="AY49" s="76">
        <f t="shared" ref="AY49:BJ49" si="349">SUM(AY45:AY48)</f>
        <v>0</v>
      </c>
      <c r="AZ49" s="76">
        <f t="shared" si="349"/>
        <v>310</v>
      </c>
      <c r="BA49" s="76">
        <f t="shared" si="349"/>
        <v>310</v>
      </c>
      <c r="BB49" s="76">
        <f t="shared" si="349"/>
        <v>310</v>
      </c>
      <c r="BC49" s="76">
        <f t="shared" si="349"/>
        <v>310</v>
      </c>
      <c r="BD49" s="76">
        <f t="shared" si="349"/>
        <v>310</v>
      </c>
      <c r="BE49" s="76">
        <f t="shared" si="349"/>
        <v>0</v>
      </c>
      <c r="BF49" s="76">
        <f t="shared" si="349"/>
        <v>0</v>
      </c>
      <c r="BG49" s="76">
        <f t="shared" si="349"/>
        <v>0</v>
      </c>
      <c r="BH49" s="76">
        <f t="shared" si="349"/>
        <v>0</v>
      </c>
      <c r="BI49" s="76">
        <f t="shared" si="349"/>
        <v>0</v>
      </c>
      <c r="BJ49" s="76">
        <f t="shared" si="349"/>
        <v>0</v>
      </c>
    </row>
    <row r="50" spans="2:62" outlineLevel="1">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row>
    <row r="51" spans="2:62" outlineLevel="1">
      <c r="B51" s="54" t="s">
        <v>239</v>
      </c>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row>
    <row r="52" spans="2:62" outlineLevel="1">
      <c r="B52" t="s">
        <v>390</v>
      </c>
      <c r="C52" s="56">
        <v>0</v>
      </c>
      <c r="D52">
        <f>+C56</f>
        <v>0</v>
      </c>
      <c r="E52">
        <f t="shared" ref="E52:AX52" si="350">+D56</f>
        <v>0</v>
      </c>
      <c r="F52">
        <f t="shared" si="350"/>
        <v>150</v>
      </c>
      <c r="G52">
        <f t="shared" si="350"/>
        <v>150</v>
      </c>
      <c r="H52">
        <f t="shared" si="350"/>
        <v>150</v>
      </c>
      <c r="I52">
        <f t="shared" si="350"/>
        <v>99</v>
      </c>
      <c r="J52">
        <f t="shared" si="350"/>
        <v>0</v>
      </c>
      <c r="K52">
        <f t="shared" si="350"/>
        <v>0</v>
      </c>
      <c r="L52">
        <f t="shared" si="350"/>
        <v>0</v>
      </c>
      <c r="M52">
        <f t="shared" si="350"/>
        <v>0</v>
      </c>
      <c r="N52">
        <f t="shared" si="350"/>
        <v>0</v>
      </c>
      <c r="O52">
        <f t="shared" si="350"/>
        <v>0</v>
      </c>
      <c r="P52">
        <f t="shared" si="350"/>
        <v>0</v>
      </c>
      <c r="Q52">
        <f t="shared" si="350"/>
        <v>150</v>
      </c>
      <c r="R52">
        <f t="shared" si="350"/>
        <v>149</v>
      </c>
      <c r="S52">
        <f t="shared" si="350"/>
        <v>149</v>
      </c>
      <c r="T52">
        <f t="shared" si="350"/>
        <v>149</v>
      </c>
      <c r="U52">
        <f t="shared" si="350"/>
        <v>2</v>
      </c>
      <c r="V52">
        <f t="shared" si="350"/>
        <v>2</v>
      </c>
      <c r="W52">
        <f t="shared" si="350"/>
        <v>2</v>
      </c>
      <c r="X52">
        <f t="shared" si="350"/>
        <v>0</v>
      </c>
      <c r="Y52">
        <f t="shared" si="350"/>
        <v>0</v>
      </c>
      <c r="Z52">
        <f t="shared" si="350"/>
        <v>0</v>
      </c>
      <c r="AA52">
        <f t="shared" si="350"/>
        <v>0</v>
      </c>
      <c r="AB52">
        <f t="shared" si="350"/>
        <v>0</v>
      </c>
      <c r="AC52">
        <f t="shared" si="350"/>
        <v>200</v>
      </c>
      <c r="AD52">
        <f t="shared" si="350"/>
        <v>200</v>
      </c>
      <c r="AE52">
        <f t="shared" si="350"/>
        <v>200</v>
      </c>
      <c r="AF52">
        <f t="shared" si="350"/>
        <v>200</v>
      </c>
      <c r="AG52">
        <f t="shared" si="350"/>
        <v>100</v>
      </c>
      <c r="AH52">
        <f t="shared" si="350"/>
        <v>0</v>
      </c>
      <c r="AI52">
        <f t="shared" si="350"/>
        <v>0</v>
      </c>
      <c r="AJ52">
        <f t="shared" si="350"/>
        <v>0</v>
      </c>
      <c r="AK52">
        <f t="shared" si="350"/>
        <v>0</v>
      </c>
      <c r="AL52">
        <f t="shared" si="350"/>
        <v>0</v>
      </c>
      <c r="AM52">
        <f t="shared" si="350"/>
        <v>0</v>
      </c>
      <c r="AN52">
        <f t="shared" si="350"/>
        <v>0</v>
      </c>
      <c r="AO52">
        <f t="shared" si="350"/>
        <v>80</v>
      </c>
      <c r="AP52">
        <f t="shared" si="350"/>
        <v>80</v>
      </c>
      <c r="AQ52">
        <f t="shared" si="350"/>
        <v>80</v>
      </c>
      <c r="AR52">
        <f t="shared" si="350"/>
        <v>80</v>
      </c>
      <c r="AS52">
        <f t="shared" si="350"/>
        <v>80</v>
      </c>
      <c r="AT52">
        <f t="shared" si="350"/>
        <v>0</v>
      </c>
      <c r="AU52">
        <f t="shared" si="350"/>
        <v>0</v>
      </c>
      <c r="AV52">
        <f t="shared" si="350"/>
        <v>0</v>
      </c>
      <c r="AW52">
        <f t="shared" si="350"/>
        <v>0</v>
      </c>
      <c r="AX52">
        <f t="shared" si="350"/>
        <v>0</v>
      </c>
      <c r="AY52">
        <f t="shared" ref="AY52:BJ52" si="351">+AX56</f>
        <v>0</v>
      </c>
      <c r="AZ52">
        <f t="shared" si="351"/>
        <v>0</v>
      </c>
      <c r="BA52">
        <f t="shared" si="351"/>
        <v>0</v>
      </c>
      <c r="BB52">
        <f t="shared" si="351"/>
        <v>0</v>
      </c>
      <c r="BC52">
        <f t="shared" si="351"/>
        <v>0</v>
      </c>
      <c r="BD52">
        <f t="shared" si="351"/>
        <v>0</v>
      </c>
      <c r="BE52">
        <f t="shared" si="351"/>
        <v>0</v>
      </c>
      <c r="BF52">
        <f t="shared" si="351"/>
        <v>0</v>
      </c>
      <c r="BG52">
        <f t="shared" si="351"/>
        <v>0</v>
      </c>
      <c r="BH52">
        <f t="shared" si="351"/>
        <v>0</v>
      </c>
      <c r="BI52">
        <f t="shared" si="351"/>
        <v>0</v>
      </c>
      <c r="BJ52">
        <f t="shared" si="351"/>
        <v>0</v>
      </c>
    </row>
    <row r="53" spans="2:62" outlineLevel="1">
      <c r="B53" s="58" t="s">
        <v>423</v>
      </c>
      <c r="C53" s="59"/>
      <c r="D53" s="59"/>
      <c r="E53" s="476">
        <v>150</v>
      </c>
      <c r="F53" s="476"/>
      <c r="G53" s="476"/>
      <c r="H53" s="476"/>
      <c r="I53" s="476"/>
      <c r="J53" s="476"/>
      <c r="K53" s="476"/>
      <c r="L53" s="476"/>
      <c r="M53" s="476"/>
      <c r="N53" s="476"/>
      <c r="O53" s="476"/>
      <c r="P53" s="476">
        <v>150</v>
      </c>
      <c r="Q53" s="473"/>
      <c r="R53" s="473"/>
      <c r="S53" s="473"/>
      <c r="T53" s="473"/>
      <c r="U53" s="473"/>
      <c r="V53" s="473"/>
      <c r="W53" s="473"/>
      <c r="X53" s="473"/>
      <c r="Y53" s="473"/>
      <c r="Z53" s="473"/>
      <c r="AA53" s="473"/>
      <c r="AB53" s="527">
        <v>200</v>
      </c>
      <c r="AC53" s="483"/>
      <c r="AD53" s="483"/>
      <c r="AE53" s="483"/>
      <c r="AF53" s="483"/>
      <c r="AG53" s="473"/>
      <c r="AH53" s="473"/>
      <c r="AI53" s="473"/>
      <c r="AJ53" s="473"/>
      <c r="AK53" s="473"/>
      <c r="AL53" s="473"/>
      <c r="AM53" s="473"/>
      <c r="AN53" s="473">
        <v>80</v>
      </c>
      <c r="AO53" s="473"/>
      <c r="AP53" s="473"/>
      <c r="AQ53" s="473"/>
      <c r="AR53" s="473"/>
      <c r="AS53" s="473"/>
      <c r="AT53" s="473"/>
      <c r="AU53" s="473"/>
      <c r="AV53" s="473"/>
      <c r="AW53" s="473"/>
      <c r="AX53" s="473"/>
      <c r="AY53" s="473"/>
      <c r="AZ53" s="473"/>
      <c r="BA53" s="473"/>
      <c r="BB53" s="473"/>
      <c r="BC53" s="473"/>
      <c r="BD53" s="473"/>
      <c r="BE53" s="473"/>
      <c r="BF53" s="473"/>
      <c r="BG53" s="473"/>
      <c r="BH53" s="473"/>
      <c r="BI53" s="473"/>
      <c r="BJ53" s="473"/>
    </row>
    <row r="54" spans="2:62" outlineLevel="1">
      <c r="B54" t="s">
        <v>253</v>
      </c>
      <c r="C54" s="56"/>
      <c r="D54" s="56"/>
      <c r="E54" s="123"/>
      <c r="F54" s="123"/>
      <c r="G54" s="123"/>
      <c r="H54" s="123">
        <v>-1</v>
      </c>
      <c r="I54" s="123"/>
      <c r="J54" s="123"/>
      <c r="K54" s="123"/>
      <c r="L54" s="123"/>
      <c r="M54" s="123"/>
      <c r="N54" s="123"/>
      <c r="O54" s="123"/>
      <c r="P54" s="123"/>
      <c r="Q54" s="125">
        <v>-1</v>
      </c>
      <c r="R54" s="115"/>
      <c r="S54" s="115"/>
      <c r="T54" s="115"/>
      <c r="U54" s="115"/>
      <c r="V54" s="115"/>
      <c r="W54" s="115"/>
      <c r="X54" s="115"/>
      <c r="Y54" s="115"/>
      <c r="Z54" s="115"/>
      <c r="AA54" s="115"/>
      <c r="AB54" s="115"/>
      <c r="AC54" s="475"/>
      <c r="AD54" s="475"/>
      <c r="AE54" s="475"/>
      <c r="AF54" s="475"/>
      <c r="AG54" s="125">
        <v>-6</v>
      </c>
      <c r="AH54" s="47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row>
    <row r="55" spans="2:62" outlineLevel="1">
      <c r="B55" t="s">
        <v>421</v>
      </c>
      <c r="C55" s="56"/>
      <c r="D55" s="56"/>
      <c r="E55" s="123"/>
      <c r="F55" s="123"/>
      <c r="G55" s="123"/>
      <c r="H55" s="123">
        <v>-50</v>
      </c>
      <c r="I55" s="123">
        <v>-99</v>
      </c>
      <c r="J55" s="123"/>
      <c r="K55" s="123"/>
      <c r="L55" s="123"/>
      <c r="M55" s="123"/>
      <c r="N55" s="123"/>
      <c r="O55" s="123"/>
      <c r="P55" s="123"/>
      <c r="Q55" s="125"/>
      <c r="R55" s="115"/>
      <c r="S55" s="115"/>
      <c r="T55" s="125">
        <f>-60-87</f>
        <v>-147</v>
      </c>
      <c r="U55" s="475"/>
      <c r="V55" s="475"/>
      <c r="W55" s="125">
        <v>-2</v>
      </c>
      <c r="X55" s="115"/>
      <c r="Y55" s="115"/>
      <c r="Z55" s="115"/>
      <c r="AA55" s="115"/>
      <c r="AB55" s="115"/>
      <c r="AC55" s="475"/>
      <c r="AD55" s="475"/>
      <c r="AE55" s="475"/>
      <c r="AF55" s="125">
        <v>-100</v>
      </c>
      <c r="AG55" s="125">
        <v>-94</v>
      </c>
      <c r="AH55" s="475"/>
      <c r="AI55" s="115"/>
      <c r="AJ55" s="115"/>
      <c r="AK55" s="115"/>
      <c r="AL55" s="115"/>
      <c r="AM55" s="115"/>
      <c r="AN55" s="115"/>
      <c r="AO55" s="115"/>
      <c r="AP55" s="115"/>
      <c r="AQ55" s="115"/>
      <c r="AR55" s="115"/>
      <c r="AS55" s="115">
        <v>-80</v>
      </c>
      <c r="AT55" s="115"/>
      <c r="AU55" s="115"/>
      <c r="AV55" s="115"/>
      <c r="AW55" s="115"/>
      <c r="AX55" s="115"/>
      <c r="AY55" s="115"/>
      <c r="AZ55" s="115"/>
      <c r="BA55" s="115"/>
      <c r="BB55" s="115"/>
      <c r="BC55" s="115"/>
      <c r="BD55" s="115"/>
      <c r="BE55" s="115"/>
      <c r="BF55" s="115"/>
      <c r="BG55" s="115"/>
      <c r="BH55" s="115"/>
      <c r="BI55" s="115"/>
      <c r="BJ55" s="115"/>
    </row>
    <row r="56" spans="2:62" outlineLevel="1">
      <c r="B56" t="s">
        <v>394</v>
      </c>
      <c r="C56" s="54">
        <f>SUM(C52:C55)</f>
        <v>0</v>
      </c>
      <c r="D56" s="54">
        <f t="shared" ref="D56:AX56" si="352">SUM(D52:D55)</f>
        <v>0</v>
      </c>
      <c r="E56" s="54">
        <f t="shared" si="352"/>
        <v>150</v>
      </c>
      <c r="F56" s="54">
        <f t="shared" si="352"/>
        <v>150</v>
      </c>
      <c r="G56" s="54">
        <f t="shared" si="352"/>
        <v>150</v>
      </c>
      <c r="H56" s="54">
        <f t="shared" si="352"/>
        <v>99</v>
      </c>
      <c r="I56" s="54">
        <f t="shared" si="352"/>
        <v>0</v>
      </c>
      <c r="J56" s="54">
        <f t="shared" si="352"/>
        <v>0</v>
      </c>
      <c r="K56" s="54">
        <f t="shared" si="352"/>
        <v>0</v>
      </c>
      <c r="L56" s="54">
        <f t="shared" si="352"/>
        <v>0</v>
      </c>
      <c r="M56" s="54">
        <f t="shared" si="352"/>
        <v>0</v>
      </c>
      <c r="N56" s="54">
        <f t="shared" si="352"/>
        <v>0</v>
      </c>
      <c r="O56" s="54">
        <f t="shared" si="352"/>
        <v>0</v>
      </c>
      <c r="P56" s="54">
        <f t="shared" si="352"/>
        <v>150</v>
      </c>
      <c r="Q56" s="54">
        <f t="shared" si="352"/>
        <v>149</v>
      </c>
      <c r="R56" s="54">
        <f t="shared" si="352"/>
        <v>149</v>
      </c>
      <c r="S56" s="54">
        <f t="shared" si="352"/>
        <v>149</v>
      </c>
      <c r="T56" s="54">
        <f t="shared" si="352"/>
        <v>2</v>
      </c>
      <c r="U56" s="54">
        <f t="shared" si="352"/>
        <v>2</v>
      </c>
      <c r="V56" s="54">
        <f t="shared" si="352"/>
        <v>2</v>
      </c>
      <c r="W56" s="54">
        <f t="shared" si="352"/>
        <v>0</v>
      </c>
      <c r="X56" s="54">
        <f t="shared" si="352"/>
        <v>0</v>
      </c>
      <c r="Y56" s="54">
        <f t="shared" si="352"/>
        <v>0</v>
      </c>
      <c r="Z56" s="54">
        <f t="shared" si="352"/>
        <v>0</v>
      </c>
      <c r="AA56" s="54">
        <f t="shared" si="352"/>
        <v>0</v>
      </c>
      <c r="AB56" s="54">
        <f t="shared" si="352"/>
        <v>200</v>
      </c>
      <c r="AC56" s="54">
        <f t="shared" si="352"/>
        <v>200</v>
      </c>
      <c r="AD56" s="54">
        <f t="shared" si="352"/>
        <v>200</v>
      </c>
      <c r="AE56" s="54">
        <f t="shared" si="352"/>
        <v>200</v>
      </c>
      <c r="AF56" s="54">
        <f t="shared" si="352"/>
        <v>100</v>
      </c>
      <c r="AG56" s="54">
        <f t="shared" si="352"/>
        <v>0</v>
      </c>
      <c r="AH56">
        <f t="shared" si="352"/>
        <v>0</v>
      </c>
      <c r="AI56">
        <f t="shared" si="352"/>
        <v>0</v>
      </c>
      <c r="AJ56">
        <f t="shared" si="352"/>
        <v>0</v>
      </c>
      <c r="AK56">
        <f t="shared" si="352"/>
        <v>0</v>
      </c>
      <c r="AL56">
        <f t="shared" si="352"/>
        <v>0</v>
      </c>
      <c r="AM56">
        <f t="shared" si="352"/>
        <v>0</v>
      </c>
      <c r="AN56">
        <f t="shared" si="352"/>
        <v>80</v>
      </c>
      <c r="AO56">
        <f t="shared" si="352"/>
        <v>80</v>
      </c>
      <c r="AP56">
        <f t="shared" si="352"/>
        <v>80</v>
      </c>
      <c r="AQ56">
        <f t="shared" si="352"/>
        <v>80</v>
      </c>
      <c r="AR56">
        <f t="shared" si="352"/>
        <v>80</v>
      </c>
      <c r="AS56">
        <f t="shared" si="352"/>
        <v>0</v>
      </c>
      <c r="AT56">
        <f t="shared" si="352"/>
        <v>0</v>
      </c>
      <c r="AU56">
        <f t="shared" si="352"/>
        <v>0</v>
      </c>
      <c r="AV56">
        <f t="shared" si="352"/>
        <v>0</v>
      </c>
      <c r="AW56">
        <f t="shared" si="352"/>
        <v>0</v>
      </c>
      <c r="AX56">
        <f t="shared" si="352"/>
        <v>0</v>
      </c>
      <c r="AY56">
        <f t="shared" ref="AY56:BJ56" si="353">SUM(AY52:AY55)</f>
        <v>0</v>
      </c>
      <c r="AZ56">
        <f t="shared" si="353"/>
        <v>0</v>
      </c>
      <c r="BA56">
        <f t="shared" si="353"/>
        <v>0</v>
      </c>
      <c r="BB56">
        <f t="shared" si="353"/>
        <v>0</v>
      </c>
      <c r="BC56">
        <f t="shared" si="353"/>
        <v>0</v>
      </c>
      <c r="BD56">
        <f t="shared" si="353"/>
        <v>0</v>
      </c>
      <c r="BE56">
        <f t="shared" si="353"/>
        <v>0</v>
      </c>
      <c r="BF56">
        <f t="shared" si="353"/>
        <v>0</v>
      </c>
      <c r="BG56">
        <f t="shared" si="353"/>
        <v>0</v>
      </c>
      <c r="BH56">
        <f t="shared" si="353"/>
        <v>0</v>
      </c>
      <c r="BI56">
        <f t="shared" si="353"/>
        <v>0</v>
      </c>
      <c r="BJ56">
        <f t="shared" si="353"/>
        <v>0</v>
      </c>
    </row>
    <row r="57" spans="2:62" outlineLevel="1"/>
    <row r="58" spans="2:62" outlineLevel="1">
      <c r="B58" s="60" t="s">
        <v>515</v>
      </c>
    </row>
    <row r="59" spans="2:62" outlineLevel="1">
      <c r="B59" t="s">
        <v>256</v>
      </c>
      <c r="C59" s="87">
        <v>1.5</v>
      </c>
      <c r="D59" s="87">
        <v>1.5</v>
      </c>
      <c r="E59" s="87">
        <v>1.5</v>
      </c>
      <c r="F59" s="87">
        <v>1.5</v>
      </c>
      <c r="G59" s="87">
        <v>1.5</v>
      </c>
      <c r="H59" s="87">
        <v>3</v>
      </c>
      <c r="I59" s="87">
        <v>3</v>
      </c>
      <c r="J59" s="87">
        <v>1.5</v>
      </c>
      <c r="K59" s="87">
        <v>1.5</v>
      </c>
      <c r="L59" s="87">
        <v>1.5</v>
      </c>
      <c r="M59" s="87">
        <v>3</v>
      </c>
      <c r="N59" s="87">
        <v>3</v>
      </c>
      <c r="O59" s="87">
        <v>1.5</v>
      </c>
      <c r="P59" s="87">
        <v>1.5</v>
      </c>
      <c r="Q59" s="87">
        <v>1.5</v>
      </c>
      <c r="R59" s="87">
        <v>1.5</v>
      </c>
      <c r="S59" s="87">
        <v>2</v>
      </c>
      <c r="T59" s="87">
        <v>2.6</v>
      </c>
      <c r="U59" s="87">
        <v>3</v>
      </c>
      <c r="V59" s="87">
        <v>1.8</v>
      </c>
      <c r="W59" s="87">
        <v>1.6</v>
      </c>
      <c r="X59" s="87">
        <v>1.6</v>
      </c>
      <c r="Y59" s="87">
        <v>2</v>
      </c>
      <c r="Z59" s="87">
        <v>2.6</v>
      </c>
      <c r="AA59" s="87">
        <v>2.67</v>
      </c>
      <c r="AB59" s="87">
        <v>2.67</v>
      </c>
      <c r="AC59" s="87">
        <v>1.69</v>
      </c>
      <c r="AD59" s="87">
        <v>0.95</v>
      </c>
      <c r="AE59" s="87">
        <v>2</v>
      </c>
      <c r="AF59" s="87">
        <v>2.6</v>
      </c>
      <c r="AG59" s="87">
        <v>2.67</v>
      </c>
      <c r="AH59" s="87">
        <v>2.67</v>
      </c>
      <c r="AI59" s="87">
        <v>1.6</v>
      </c>
      <c r="AJ59" s="87">
        <v>1.6</v>
      </c>
      <c r="AK59" s="87">
        <v>1.8</v>
      </c>
      <c r="AL59" s="87">
        <v>2.6</v>
      </c>
      <c r="AM59" s="87">
        <v>3</v>
      </c>
      <c r="AN59" s="87">
        <v>1.8</v>
      </c>
      <c r="AO59" s="87">
        <v>1.4</v>
      </c>
      <c r="AP59" s="87">
        <v>1.5</v>
      </c>
      <c r="AQ59" s="87">
        <v>2</v>
      </c>
      <c r="AR59" s="87">
        <v>2.6</v>
      </c>
      <c r="AS59" s="87">
        <v>2.67</v>
      </c>
      <c r="AT59" s="87">
        <v>1.8</v>
      </c>
      <c r="AU59" s="87">
        <v>1.6</v>
      </c>
      <c r="AV59" s="87">
        <v>1.6</v>
      </c>
      <c r="AW59" s="87">
        <v>1.8</v>
      </c>
      <c r="AX59" s="87">
        <v>2.6</v>
      </c>
      <c r="AY59" s="87">
        <v>2.67</v>
      </c>
      <c r="AZ59" s="87">
        <v>1.8</v>
      </c>
      <c r="BA59" s="87">
        <v>1.4</v>
      </c>
      <c r="BB59" s="87">
        <v>1.5</v>
      </c>
      <c r="BC59" s="87">
        <v>2</v>
      </c>
      <c r="BD59" s="87">
        <v>2.6</v>
      </c>
      <c r="BE59" s="87">
        <v>3</v>
      </c>
      <c r="BF59" s="87">
        <v>1.8</v>
      </c>
      <c r="BG59" s="87">
        <v>1.6</v>
      </c>
      <c r="BH59" s="87">
        <v>1.6</v>
      </c>
      <c r="BI59" s="87">
        <v>1.8</v>
      </c>
      <c r="BJ59" s="87">
        <v>2.6</v>
      </c>
    </row>
    <row r="60" spans="2:62" outlineLevel="1">
      <c r="B60" s="57" t="s">
        <v>398</v>
      </c>
      <c r="C60" s="574">
        <f t="shared" ref="C60:AH60" si="354">(C14)*C59*C3</f>
        <v>765</v>
      </c>
      <c r="D60" s="574">
        <f t="shared" si="354"/>
        <v>790.5</v>
      </c>
      <c r="E60" s="574">
        <f t="shared" si="354"/>
        <v>765</v>
      </c>
      <c r="F60" s="574">
        <f t="shared" si="354"/>
        <v>1255.5</v>
      </c>
      <c r="G60" s="574">
        <f t="shared" si="354"/>
        <v>1255.5</v>
      </c>
      <c r="H60" s="574">
        <f t="shared" si="354"/>
        <v>2268</v>
      </c>
      <c r="I60" s="574">
        <f t="shared" si="354"/>
        <v>3627</v>
      </c>
      <c r="J60" s="574">
        <f t="shared" si="354"/>
        <v>1755</v>
      </c>
      <c r="K60" s="574">
        <f t="shared" si="354"/>
        <v>1813.5</v>
      </c>
      <c r="L60" s="574">
        <f t="shared" si="354"/>
        <v>1755</v>
      </c>
      <c r="M60" s="574">
        <f t="shared" si="354"/>
        <v>3627</v>
      </c>
      <c r="N60" s="574">
        <f t="shared" si="354"/>
        <v>3441</v>
      </c>
      <c r="O60" s="574">
        <f t="shared" si="354"/>
        <v>1890</v>
      </c>
      <c r="P60" s="574">
        <f t="shared" si="354"/>
        <v>1953</v>
      </c>
      <c r="Q60" s="574">
        <f t="shared" si="354"/>
        <v>1890</v>
      </c>
      <c r="R60" s="574">
        <f t="shared" si="354"/>
        <v>1953</v>
      </c>
      <c r="S60" s="574">
        <f t="shared" si="354"/>
        <v>2170</v>
      </c>
      <c r="T60" s="574">
        <f t="shared" si="354"/>
        <v>2402.4</v>
      </c>
      <c r="U60" s="574">
        <f t="shared" si="354"/>
        <v>3069</v>
      </c>
      <c r="V60" s="574">
        <f t="shared" si="354"/>
        <v>1728</v>
      </c>
      <c r="W60" s="574">
        <f t="shared" si="354"/>
        <v>1587.2</v>
      </c>
      <c r="X60" s="574">
        <f t="shared" si="354"/>
        <v>1536</v>
      </c>
      <c r="Y60" s="574">
        <f t="shared" si="354"/>
        <v>1984</v>
      </c>
      <c r="Z60" s="574">
        <f t="shared" si="354"/>
        <v>2579.2000000000003</v>
      </c>
      <c r="AA60" s="574">
        <f t="shared" si="354"/>
        <v>2563.1999999999998</v>
      </c>
      <c r="AB60" s="574">
        <f t="shared" si="354"/>
        <v>2565.87</v>
      </c>
      <c r="AC60" s="574">
        <f t="shared" si="354"/>
        <v>1571.7</v>
      </c>
      <c r="AD60" s="574">
        <f t="shared" si="354"/>
        <v>912.94999999999993</v>
      </c>
      <c r="AE60" s="574">
        <f t="shared" si="354"/>
        <v>1922</v>
      </c>
      <c r="AF60" s="574">
        <f t="shared" si="354"/>
        <v>2256.8000000000002</v>
      </c>
      <c r="AG60" s="574">
        <f t="shared" si="354"/>
        <v>2565.87</v>
      </c>
      <c r="AH60" s="574">
        <f t="shared" si="354"/>
        <v>2242.7999999999997</v>
      </c>
      <c r="AI60" s="574">
        <f t="shared" ref="AI60:BJ60" si="355">(AI14)*AI59*AI3</f>
        <v>1388.8000000000002</v>
      </c>
      <c r="AJ60" s="574">
        <f t="shared" si="355"/>
        <v>1344.0000000000002</v>
      </c>
      <c r="AK60" s="574">
        <f t="shared" si="355"/>
        <v>1562.3999999999999</v>
      </c>
      <c r="AL60" s="574">
        <f t="shared" si="355"/>
        <v>2256.7999999999997</v>
      </c>
      <c r="AM60" s="574">
        <f t="shared" si="355"/>
        <v>2520</v>
      </c>
      <c r="AN60" s="574">
        <f t="shared" si="355"/>
        <v>1562.3999999999999</v>
      </c>
      <c r="AO60" s="574">
        <f t="shared" si="355"/>
        <v>1175.9999999999998</v>
      </c>
      <c r="AP60" s="574">
        <f t="shared" si="355"/>
        <v>1302</v>
      </c>
      <c r="AQ60" s="574">
        <f t="shared" si="355"/>
        <v>1736</v>
      </c>
      <c r="AR60" s="574">
        <f t="shared" si="355"/>
        <v>2038.3999999999999</v>
      </c>
      <c r="AS60" s="574">
        <f t="shared" si="355"/>
        <v>2317.5599999999995</v>
      </c>
      <c r="AT60" s="574">
        <f t="shared" si="355"/>
        <v>1512</v>
      </c>
      <c r="AU60" s="574">
        <f t="shared" si="355"/>
        <v>1388.8000000000002</v>
      </c>
      <c r="AV60" s="574">
        <f t="shared" si="355"/>
        <v>1344.0000000000002</v>
      </c>
      <c r="AW60" s="574">
        <f t="shared" si="355"/>
        <v>1562.3999999999999</v>
      </c>
      <c r="AX60" s="574">
        <f t="shared" si="355"/>
        <v>2256.7999999999997</v>
      </c>
      <c r="AY60" s="574">
        <f t="shared" si="355"/>
        <v>2242.7999999999997</v>
      </c>
      <c r="AZ60" s="574">
        <f t="shared" si="355"/>
        <v>1562.3999999999999</v>
      </c>
      <c r="BA60" s="574">
        <f t="shared" si="355"/>
        <v>1175.9999999999998</v>
      </c>
      <c r="BB60" s="574">
        <f t="shared" si="355"/>
        <v>1302</v>
      </c>
      <c r="BC60" s="574">
        <f t="shared" si="355"/>
        <v>1736</v>
      </c>
      <c r="BD60" s="574">
        <f t="shared" si="355"/>
        <v>2038.3999999999999</v>
      </c>
      <c r="BE60" s="574">
        <f t="shared" si="355"/>
        <v>2604</v>
      </c>
      <c r="BF60" s="574">
        <f t="shared" si="355"/>
        <v>1512</v>
      </c>
      <c r="BG60" s="574">
        <f t="shared" si="355"/>
        <v>1388.8000000000002</v>
      </c>
      <c r="BH60" s="574">
        <f t="shared" si="355"/>
        <v>1344.0000000000002</v>
      </c>
      <c r="BI60" s="574">
        <f t="shared" si="355"/>
        <v>1562.3999999999999</v>
      </c>
      <c r="BJ60" s="574">
        <f t="shared" si="355"/>
        <v>2256.7999999999997</v>
      </c>
    </row>
    <row r="61" spans="2:62" outlineLevel="1">
      <c r="B61" s="60" t="s">
        <v>514</v>
      </c>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row>
    <row r="62" spans="2:62" outlineLevel="1">
      <c r="B62" t="s">
        <v>256</v>
      </c>
      <c r="C62" s="87"/>
      <c r="D62" s="87"/>
      <c r="E62" s="87"/>
      <c r="F62" s="87"/>
      <c r="G62" s="87"/>
      <c r="H62" s="87"/>
      <c r="I62" s="87"/>
      <c r="J62" s="87"/>
      <c r="K62" s="87"/>
      <c r="L62" s="87"/>
      <c r="M62" s="87"/>
      <c r="N62" s="87"/>
      <c r="O62" s="87"/>
      <c r="P62" s="87"/>
      <c r="Q62" s="87"/>
      <c r="R62" s="87"/>
      <c r="S62" s="87"/>
      <c r="T62" s="87"/>
      <c r="U62" s="87"/>
      <c r="V62" s="87"/>
      <c r="W62" s="87"/>
      <c r="X62" s="87"/>
      <c r="Y62" s="87"/>
      <c r="Z62" s="87"/>
      <c r="AA62" s="87">
        <v>0.43</v>
      </c>
      <c r="AB62" s="87">
        <v>0.43</v>
      </c>
      <c r="AC62" s="87">
        <v>0.43</v>
      </c>
      <c r="AD62" s="87">
        <v>0.43</v>
      </c>
      <c r="AE62" s="87">
        <v>0.43</v>
      </c>
      <c r="AF62" s="87">
        <v>0.43</v>
      </c>
      <c r="AG62" s="87">
        <v>0.43</v>
      </c>
      <c r="AH62" s="87">
        <v>0.43</v>
      </c>
      <c r="AI62" s="87">
        <v>0.43</v>
      </c>
      <c r="AJ62" s="87">
        <v>0.43</v>
      </c>
      <c r="AK62" s="87">
        <v>0.43</v>
      </c>
      <c r="AL62" s="87">
        <v>0.43</v>
      </c>
      <c r="AM62" s="87">
        <v>0.43</v>
      </c>
      <c r="AN62" s="87">
        <v>0.43</v>
      </c>
      <c r="AO62" s="87">
        <v>0.43</v>
      </c>
      <c r="AP62" s="87">
        <v>0.43</v>
      </c>
      <c r="AQ62" s="87">
        <v>0.43</v>
      </c>
      <c r="AR62" s="87">
        <v>0.43</v>
      </c>
      <c r="AS62" s="87">
        <v>0.43</v>
      </c>
      <c r="AT62" s="87">
        <v>0.43</v>
      </c>
      <c r="AU62" s="87">
        <v>0.43</v>
      </c>
      <c r="AV62" s="87">
        <v>0.43</v>
      </c>
      <c r="AW62" s="87">
        <v>0.43</v>
      </c>
      <c r="AX62" s="87">
        <v>0.43</v>
      </c>
      <c r="AY62" s="87">
        <v>0.43</v>
      </c>
      <c r="AZ62" s="87">
        <v>0.43</v>
      </c>
      <c r="BA62" s="87">
        <v>0.43</v>
      </c>
      <c r="BB62" s="87">
        <v>0.43</v>
      </c>
      <c r="BC62" s="87">
        <v>0.43</v>
      </c>
      <c r="BD62" s="87">
        <v>0.43</v>
      </c>
      <c r="BE62" s="87">
        <v>0.43</v>
      </c>
      <c r="BF62" s="87">
        <v>0.43</v>
      </c>
      <c r="BG62" s="87">
        <v>0.43</v>
      </c>
      <c r="BH62" s="87">
        <v>0.43</v>
      </c>
      <c r="BI62" s="87">
        <v>0.43</v>
      </c>
      <c r="BJ62" s="87">
        <v>0.43</v>
      </c>
    </row>
    <row r="63" spans="2:62" outlineLevel="1">
      <c r="B63" s="57" t="s">
        <v>398</v>
      </c>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573"/>
      <c r="BJ63" s="573"/>
    </row>
    <row r="64" spans="2:62" outlineLevel="1">
      <c r="B64" s="60" t="s">
        <v>413</v>
      </c>
    </row>
    <row r="65" spans="2:70" outlineLevel="1">
      <c r="B65" t="s">
        <v>256</v>
      </c>
      <c r="C65" s="87">
        <v>0.1</v>
      </c>
      <c r="D65" s="87">
        <v>0.2</v>
      </c>
      <c r="E65" s="87"/>
      <c r="F65" s="87"/>
      <c r="G65" s="87"/>
      <c r="H65" s="87"/>
      <c r="I65" s="87">
        <v>0.1</v>
      </c>
      <c r="J65" s="87">
        <v>0.2</v>
      </c>
      <c r="K65" s="87"/>
      <c r="L65" s="87"/>
      <c r="M65" s="87"/>
      <c r="N65" s="87"/>
      <c r="O65" s="87">
        <v>0.1</v>
      </c>
      <c r="P65" s="87">
        <v>0.2</v>
      </c>
      <c r="Q65" s="87"/>
      <c r="R65" s="87"/>
      <c r="S65" s="87"/>
      <c r="T65" s="87"/>
      <c r="U65" s="87">
        <v>0.1</v>
      </c>
      <c r="V65" s="87">
        <v>0.2</v>
      </c>
      <c r="W65" s="87"/>
      <c r="X65" s="87"/>
      <c r="Y65" s="87"/>
      <c r="Z65" s="87"/>
      <c r="AA65" s="87">
        <v>0.1</v>
      </c>
      <c r="AB65" s="87">
        <v>0.3</v>
      </c>
      <c r="AC65" s="87"/>
      <c r="AD65" s="87"/>
      <c r="AE65" s="87"/>
      <c r="AF65" s="87"/>
      <c r="AG65" s="87"/>
      <c r="AH65" s="87">
        <v>0.08</v>
      </c>
      <c r="AI65" s="87">
        <v>0.12</v>
      </c>
      <c r="AJ65" s="87"/>
      <c r="AK65" s="87"/>
      <c r="AL65" s="87"/>
      <c r="AM65" s="87">
        <v>0.08</v>
      </c>
      <c r="AN65" s="87">
        <v>0.12</v>
      </c>
      <c r="AO65" s="87"/>
      <c r="AP65" s="87"/>
      <c r="AQ65" s="87"/>
      <c r="AR65" s="87"/>
      <c r="AS65" s="87">
        <v>0.08</v>
      </c>
      <c r="AT65" s="87">
        <v>0.12</v>
      </c>
      <c r="AU65" s="87"/>
      <c r="AV65" s="87"/>
      <c r="AW65" s="87"/>
      <c r="AX65" s="87"/>
      <c r="AY65" s="87">
        <v>0.08</v>
      </c>
      <c r="AZ65" s="87">
        <v>0.12</v>
      </c>
      <c r="BA65" s="87"/>
      <c r="BB65" s="87"/>
      <c r="BC65" s="87"/>
      <c r="BD65" s="87"/>
      <c r="BE65" s="87">
        <v>0.08</v>
      </c>
      <c r="BF65" s="87">
        <v>0.12</v>
      </c>
      <c r="BG65" s="87"/>
      <c r="BH65" s="87"/>
      <c r="BI65" s="87"/>
      <c r="BJ65" s="87"/>
    </row>
    <row r="66" spans="2:70" outlineLevel="1">
      <c r="B66" s="57" t="s">
        <v>398</v>
      </c>
      <c r="C66" s="561">
        <f t="shared" ref="C66:AH66" si="356">(C28)*C65*C3</f>
        <v>0</v>
      </c>
      <c r="D66" s="561">
        <f t="shared" si="356"/>
        <v>0</v>
      </c>
      <c r="E66" s="561">
        <f t="shared" si="356"/>
        <v>0</v>
      </c>
      <c r="F66" s="561">
        <f t="shared" si="356"/>
        <v>0</v>
      </c>
      <c r="G66" s="561">
        <f t="shared" si="356"/>
        <v>0</v>
      </c>
      <c r="H66" s="561">
        <f t="shared" si="356"/>
        <v>0</v>
      </c>
      <c r="I66" s="561">
        <f t="shared" si="356"/>
        <v>148.80000000000001</v>
      </c>
      <c r="J66" s="561">
        <f t="shared" si="356"/>
        <v>192</v>
      </c>
      <c r="K66" s="561">
        <f t="shared" si="356"/>
        <v>0</v>
      </c>
      <c r="L66" s="561">
        <f t="shared" si="356"/>
        <v>0</v>
      </c>
      <c r="M66" s="561">
        <f t="shared" si="356"/>
        <v>0</v>
      </c>
      <c r="N66" s="561">
        <f t="shared" si="356"/>
        <v>0</v>
      </c>
      <c r="O66" s="561">
        <f t="shared" si="356"/>
        <v>90</v>
      </c>
      <c r="P66" s="561">
        <f t="shared" si="356"/>
        <v>0</v>
      </c>
      <c r="Q66" s="561">
        <f t="shared" si="356"/>
        <v>0</v>
      </c>
      <c r="R66" s="561">
        <f t="shared" si="356"/>
        <v>0</v>
      </c>
      <c r="S66" s="561">
        <f t="shared" si="356"/>
        <v>0</v>
      </c>
      <c r="T66" s="561">
        <f t="shared" si="356"/>
        <v>0</v>
      </c>
      <c r="U66" s="561">
        <f t="shared" si="356"/>
        <v>313.10000000000002</v>
      </c>
      <c r="V66" s="561">
        <f t="shared" si="356"/>
        <v>564</v>
      </c>
      <c r="W66" s="561">
        <f t="shared" si="356"/>
        <v>0</v>
      </c>
      <c r="X66" s="561">
        <f t="shared" si="356"/>
        <v>0</v>
      </c>
      <c r="Y66" s="561">
        <f t="shared" si="356"/>
        <v>0</v>
      </c>
      <c r="Z66" s="561">
        <f t="shared" si="356"/>
        <v>0</v>
      </c>
      <c r="AA66" s="561">
        <f t="shared" si="356"/>
        <v>465</v>
      </c>
      <c r="AB66" s="561">
        <f t="shared" si="356"/>
        <v>297.59999999999997</v>
      </c>
      <c r="AC66" s="561">
        <f t="shared" si="356"/>
        <v>0</v>
      </c>
      <c r="AD66" s="561">
        <f t="shared" si="356"/>
        <v>0</v>
      </c>
      <c r="AE66" s="561">
        <f t="shared" si="356"/>
        <v>0</v>
      </c>
      <c r="AF66" s="561">
        <f t="shared" si="356"/>
        <v>0</v>
      </c>
      <c r="AG66" s="561">
        <f t="shared" si="356"/>
        <v>0</v>
      </c>
      <c r="AH66" s="561">
        <f t="shared" si="356"/>
        <v>278.39999999999998</v>
      </c>
      <c r="AI66" s="561">
        <f t="shared" ref="AI66:BJ66" si="357">(AI28)*AI65*AI3</f>
        <v>-14.879999999999999</v>
      </c>
      <c r="AJ66" s="561">
        <f t="shared" si="357"/>
        <v>0</v>
      </c>
      <c r="AK66" s="561">
        <f t="shared" si="357"/>
        <v>0</v>
      </c>
      <c r="AL66" s="561">
        <f t="shared" si="357"/>
        <v>0</v>
      </c>
      <c r="AM66" s="561">
        <f t="shared" si="357"/>
        <v>338.4</v>
      </c>
      <c r="AN66" s="561">
        <f t="shared" si="357"/>
        <v>226.92</v>
      </c>
      <c r="AO66" s="561">
        <f t="shared" si="357"/>
        <v>0</v>
      </c>
      <c r="AP66" s="561">
        <f t="shared" si="357"/>
        <v>0</v>
      </c>
      <c r="AQ66" s="561">
        <f t="shared" si="357"/>
        <v>0</v>
      </c>
      <c r="AR66" s="561">
        <f t="shared" si="357"/>
        <v>0</v>
      </c>
      <c r="AS66" s="561">
        <f t="shared" si="357"/>
        <v>349.68</v>
      </c>
      <c r="AT66" s="561">
        <f t="shared" si="357"/>
        <v>219.6</v>
      </c>
      <c r="AU66" s="561">
        <f t="shared" si="357"/>
        <v>0</v>
      </c>
      <c r="AV66" s="561">
        <f t="shared" si="357"/>
        <v>0</v>
      </c>
      <c r="AW66" s="561">
        <f t="shared" si="357"/>
        <v>0</v>
      </c>
      <c r="AX66" s="561">
        <f t="shared" si="357"/>
        <v>0</v>
      </c>
      <c r="AY66" s="561">
        <f t="shared" si="357"/>
        <v>338.4</v>
      </c>
      <c r="AZ66" s="561">
        <f t="shared" si="357"/>
        <v>226.92</v>
      </c>
      <c r="BA66" s="561">
        <f t="shared" si="357"/>
        <v>0</v>
      </c>
      <c r="BB66" s="561">
        <f t="shared" si="357"/>
        <v>0</v>
      </c>
      <c r="BC66" s="561">
        <f t="shared" si="357"/>
        <v>0</v>
      </c>
      <c r="BD66" s="561">
        <f t="shared" si="357"/>
        <v>0</v>
      </c>
      <c r="BE66" s="561">
        <f t="shared" si="357"/>
        <v>349.68</v>
      </c>
      <c r="BF66" s="561">
        <f t="shared" si="357"/>
        <v>219.6</v>
      </c>
      <c r="BG66" s="561">
        <f t="shared" si="357"/>
        <v>0</v>
      </c>
      <c r="BH66" s="561">
        <f t="shared" si="357"/>
        <v>0</v>
      </c>
      <c r="BI66" s="561">
        <f t="shared" si="357"/>
        <v>0</v>
      </c>
      <c r="BJ66" s="561">
        <f t="shared" si="357"/>
        <v>0</v>
      </c>
    </row>
    <row r="67" spans="2:70" outlineLevel="1">
      <c r="B67" s="60" t="s">
        <v>517</v>
      </c>
    </row>
    <row r="68" spans="2:70" outlineLevel="1">
      <c r="B68" t="s">
        <v>256</v>
      </c>
      <c r="C68" s="87">
        <v>0</v>
      </c>
      <c r="D68" s="87">
        <v>0</v>
      </c>
      <c r="E68" s="87">
        <v>0</v>
      </c>
      <c r="F68" s="87">
        <v>0</v>
      </c>
      <c r="G68" s="87">
        <v>0.5</v>
      </c>
      <c r="H68" s="87">
        <v>0</v>
      </c>
      <c r="I68" s="87">
        <v>0</v>
      </c>
      <c r="J68" s="87">
        <v>0.8</v>
      </c>
      <c r="K68" s="87">
        <v>0.95</v>
      </c>
      <c r="L68" s="87">
        <v>0.95</v>
      </c>
      <c r="M68" s="87">
        <v>0.95</v>
      </c>
      <c r="N68" s="87">
        <v>0.95</v>
      </c>
      <c r="O68" s="87">
        <v>0.95</v>
      </c>
      <c r="P68" s="87">
        <v>0.95</v>
      </c>
      <c r="Q68" s="87">
        <v>0.95</v>
      </c>
      <c r="R68" s="87">
        <v>0.95</v>
      </c>
      <c r="S68" s="87">
        <v>0.95</v>
      </c>
      <c r="T68" s="87">
        <v>0.9</v>
      </c>
      <c r="U68" s="87">
        <v>0.7</v>
      </c>
      <c r="V68" s="87">
        <v>0.85</v>
      </c>
      <c r="W68" s="87">
        <v>0.95</v>
      </c>
      <c r="X68" s="87">
        <v>0.9</v>
      </c>
      <c r="Y68" s="87">
        <v>1.5</v>
      </c>
      <c r="Z68" s="87">
        <v>1.93</v>
      </c>
      <c r="AA68" s="87">
        <v>1</v>
      </c>
      <c r="AB68" s="87">
        <v>0.7</v>
      </c>
      <c r="AC68" s="87">
        <v>0.85</v>
      </c>
      <c r="AD68" s="87">
        <v>1.19</v>
      </c>
      <c r="AE68" s="87">
        <v>1.31</v>
      </c>
      <c r="AF68" s="87">
        <v>0.9</v>
      </c>
      <c r="AG68" s="87">
        <v>0.7</v>
      </c>
      <c r="AH68" s="87">
        <v>0.85</v>
      </c>
      <c r="AI68" s="87">
        <v>0.95</v>
      </c>
      <c r="AJ68" s="87">
        <v>0.89</v>
      </c>
      <c r="AK68" s="87">
        <v>1.07</v>
      </c>
      <c r="AL68" s="87">
        <v>1.93</v>
      </c>
      <c r="AM68" s="87">
        <v>1</v>
      </c>
      <c r="AN68" s="87">
        <v>0.7</v>
      </c>
      <c r="AO68" s="87">
        <v>0.85</v>
      </c>
      <c r="AP68" s="87">
        <v>0.91</v>
      </c>
      <c r="AQ68" s="87">
        <v>1.03</v>
      </c>
      <c r="AR68" s="87">
        <v>0.9</v>
      </c>
      <c r="AS68" s="87">
        <v>0.7</v>
      </c>
      <c r="AT68" s="87">
        <v>0.85</v>
      </c>
      <c r="AU68" s="87">
        <v>0.95</v>
      </c>
      <c r="AV68" s="87">
        <v>0.9</v>
      </c>
      <c r="AW68" s="87">
        <v>1.5</v>
      </c>
      <c r="AX68" s="87">
        <v>1.5</v>
      </c>
      <c r="AY68" s="87">
        <v>1</v>
      </c>
      <c r="AZ68" s="87">
        <v>0.7</v>
      </c>
      <c r="BA68" s="87">
        <v>0.85</v>
      </c>
      <c r="BB68" s="87">
        <v>0.91</v>
      </c>
      <c r="BC68" s="87">
        <v>1.03</v>
      </c>
      <c r="BD68" s="87">
        <v>0.9</v>
      </c>
      <c r="BE68" s="87">
        <v>0.7</v>
      </c>
      <c r="BF68" s="87">
        <v>0.85</v>
      </c>
      <c r="BG68" s="87">
        <v>0.95</v>
      </c>
      <c r="BH68" s="87">
        <v>0.9</v>
      </c>
      <c r="BI68" s="87">
        <v>1.5</v>
      </c>
      <c r="BJ68" s="87">
        <v>1.5</v>
      </c>
    </row>
    <row r="69" spans="2:70" outlineLevel="1">
      <c r="B69" s="57" t="s">
        <v>398</v>
      </c>
      <c r="C69" s="575">
        <f t="shared" ref="C69:AH69" si="358">C68*C35*C3</f>
        <v>0</v>
      </c>
      <c r="D69" s="575">
        <f t="shared" si="358"/>
        <v>0</v>
      </c>
      <c r="E69" s="575">
        <f t="shared" si="358"/>
        <v>0</v>
      </c>
      <c r="F69" s="575">
        <f t="shared" si="358"/>
        <v>0</v>
      </c>
      <c r="G69" s="575">
        <f t="shared" si="358"/>
        <v>0</v>
      </c>
      <c r="H69" s="575">
        <f t="shared" si="358"/>
        <v>0</v>
      </c>
      <c r="I69" s="575">
        <f t="shared" si="358"/>
        <v>0</v>
      </c>
      <c r="J69" s="575">
        <f t="shared" si="358"/>
        <v>1152.0000000000002</v>
      </c>
      <c r="K69" s="575">
        <f t="shared" si="358"/>
        <v>1413.6</v>
      </c>
      <c r="L69" s="575">
        <f t="shared" si="358"/>
        <v>1367.9999999999998</v>
      </c>
      <c r="M69" s="575">
        <f t="shared" si="358"/>
        <v>1914.25</v>
      </c>
      <c r="N69" s="575">
        <f t="shared" si="358"/>
        <v>1914.25</v>
      </c>
      <c r="O69" s="575">
        <f t="shared" si="358"/>
        <v>1852.5</v>
      </c>
      <c r="P69" s="575">
        <f t="shared" si="358"/>
        <v>2797.75</v>
      </c>
      <c r="Q69" s="575">
        <f t="shared" si="358"/>
        <v>2707.5</v>
      </c>
      <c r="R69" s="575">
        <f t="shared" si="358"/>
        <v>2797.75</v>
      </c>
      <c r="S69" s="575">
        <f t="shared" si="358"/>
        <v>883.5</v>
      </c>
      <c r="T69" s="575">
        <f t="shared" si="358"/>
        <v>327.60000000000002</v>
      </c>
      <c r="U69" s="575">
        <f t="shared" si="358"/>
        <v>477.4</v>
      </c>
      <c r="V69" s="575">
        <f t="shared" si="358"/>
        <v>561</v>
      </c>
      <c r="W69" s="575">
        <f t="shared" si="358"/>
        <v>3298.3999999999996</v>
      </c>
      <c r="X69" s="575">
        <f t="shared" si="358"/>
        <v>3483.0000000000005</v>
      </c>
      <c r="Y69" s="575">
        <f t="shared" si="358"/>
        <v>5766</v>
      </c>
      <c r="Z69" s="575">
        <f t="shared" si="358"/>
        <v>7299.2599999999993</v>
      </c>
      <c r="AA69" s="575">
        <f t="shared" si="358"/>
        <v>3210</v>
      </c>
      <c r="AB69" s="575">
        <f t="shared" si="358"/>
        <v>2582.2999999999997</v>
      </c>
      <c r="AC69" s="575">
        <f t="shared" si="358"/>
        <v>3748.5</v>
      </c>
      <c r="AD69" s="575">
        <f t="shared" si="358"/>
        <v>5385.94</v>
      </c>
      <c r="AE69" s="575">
        <f t="shared" si="358"/>
        <v>5929.06</v>
      </c>
      <c r="AF69" s="575">
        <f t="shared" si="358"/>
        <v>3578.4</v>
      </c>
      <c r="AG69" s="575">
        <f t="shared" si="358"/>
        <v>2387</v>
      </c>
      <c r="AH69" s="575">
        <f t="shared" si="358"/>
        <v>0</v>
      </c>
      <c r="AI69" s="575">
        <f t="shared" ref="AI69:BJ69" si="359">AI68*AI35*AI3</f>
        <v>3975.75</v>
      </c>
      <c r="AJ69" s="575">
        <f t="shared" si="359"/>
        <v>4005</v>
      </c>
      <c r="AK69" s="575">
        <f t="shared" si="359"/>
        <v>4975.5</v>
      </c>
      <c r="AL69" s="575">
        <f t="shared" si="359"/>
        <v>8974.5</v>
      </c>
      <c r="AM69" s="575">
        <f t="shared" si="359"/>
        <v>4500</v>
      </c>
      <c r="AN69" s="575">
        <f t="shared" si="359"/>
        <v>4991</v>
      </c>
      <c r="AO69" s="575">
        <f t="shared" si="359"/>
        <v>4080</v>
      </c>
      <c r="AP69" s="575">
        <f t="shared" si="359"/>
        <v>4513.5999999999995</v>
      </c>
      <c r="AQ69" s="575">
        <f t="shared" si="359"/>
        <v>5108.8</v>
      </c>
      <c r="AR69" s="575">
        <f t="shared" si="359"/>
        <v>4032</v>
      </c>
      <c r="AS69" s="575">
        <f t="shared" si="359"/>
        <v>3472</v>
      </c>
      <c r="AT69" s="575">
        <f t="shared" si="359"/>
        <v>2040</v>
      </c>
      <c r="AU69" s="575">
        <f t="shared" si="359"/>
        <v>4712</v>
      </c>
      <c r="AV69" s="575">
        <f t="shared" si="359"/>
        <v>4320</v>
      </c>
      <c r="AW69" s="575">
        <f t="shared" si="359"/>
        <v>7440</v>
      </c>
      <c r="AX69" s="575">
        <f t="shared" si="359"/>
        <v>7440</v>
      </c>
      <c r="AY69" s="575">
        <f t="shared" si="359"/>
        <v>4800</v>
      </c>
      <c r="AZ69" s="575">
        <f t="shared" si="359"/>
        <v>1736</v>
      </c>
      <c r="BA69" s="575">
        <f t="shared" si="359"/>
        <v>4080</v>
      </c>
      <c r="BB69" s="575">
        <f t="shared" si="359"/>
        <v>4513.5999999999995</v>
      </c>
      <c r="BC69" s="575">
        <f t="shared" si="359"/>
        <v>5108.8</v>
      </c>
      <c r="BD69" s="575">
        <f t="shared" si="359"/>
        <v>4032</v>
      </c>
      <c r="BE69" s="575">
        <f t="shared" si="359"/>
        <v>3472</v>
      </c>
      <c r="BF69" s="575">
        <f t="shared" si="359"/>
        <v>2040</v>
      </c>
      <c r="BG69" s="575">
        <f t="shared" si="359"/>
        <v>4712</v>
      </c>
      <c r="BH69" s="575">
        <f t="shared" si="359"/>
        <v>4320</v>
      </c>
      <c r="BI69" s="575">
        <f t="shared" si="359"/>
        <v>7440</v>
      </c>
      <c r="BJ69" s="575">
        <f t="shared" si="359"/>
        <v>7440</v>
      </c>
    </row>
    <row r="70" spans="2:70" outlineLevel="1">
      <c r="B70" s="60" t="s">
        <v>519</v>
      </c>
      <c r="W70" s="54"/>
      <c r="X70" s="54"/>
      <c r="Y70" s="98"/>
      <c r="Z70" s="54"/>
      <c r="AA70" s="54"/>
      <c r="AB70" s="54"/>
      <c r="AC70" s="54"/>
    </row>
    <row r="71" spans="2:70" outlineLevel="1">
      <c r="B71" t="s">
        <v>256</v>
      </c>
      <c r="C71" s="87">
        <f>2.04+0.64</f>
        <v>2.68</v>
      </c>
      <c r="D71" s="87">
        <f>2.04+0.64</f>
        <v>2.68</v>
      </c>
      <c r="E71" s="87">
        <v>1.238429172510519</v>
      </c>
      <c r="F71" s="87">
        <v>1.4090301003344479</v>
      </c>
      <c r="G71" s="87">
        <v>1.0391961079762884</v>
      </c>
      <c r="H71" s="87">
        <v>0.29227105434076628</v>
      </c>
      <c r="I71" s="87">
        <v>0.16179290508149569</v>
      </c>
      <c r="J71" s="87">
        <v>0.66072429571022306</v>
      </c>
      <c r="K71" s="87">
        <v>0.94276094276094213</v>
      </c>
      <c r="L71" s="87">
        <v>1.87</v>
      </c>
      <c r="M71" s="87">
        <v>1.87</v>
      </c>
      <c r="N71" s="87">
        <v>1.87</v>
      </c>
      <c r="O71" s="87">
        <v>1.87</v>
      </c>
      <c r="P71" s="87">
        <v>1.87</v>
      </c>
      <c r="Q71" s="87">
        <v>1.87</v>
      </c>
      <c r="R71" s="87">
        <v>1.87</v>
      </c>
      <c r="S71" s="87">
        <v>1.8</v>
      </c>
      <c r="T71" s="87">
        <v>1.87</v>
      </c>
      <c r="U71" s="87">
        <v>1.8</v>
      </c>
      <c r="V71" s="87">
        <v>1</v>
      </c>
      <c r="W71" s="87">
        <v>1.1299999999999999</v>
      </c>
      <c r="X71" s="87">
        <v>1.02</v>
      </c>
      <c r="Y71" s="87">
        <v>1.78</v>
      </c>
      <c r="Z71" s="87">
        <v>2.4900000000000002</v>
      </c>
      <c r="AA71" s="87">
        <v>1.6</v>
      </c>
      <c r="AB71" s="87">
        <v>0.6</v>
      </c>
      <c r="AC71" s="87">
        <v>0.6</v>
      </c>
      <c r="AD71" s="87">
        <v>0.6</v>
      </c>
      <c r="AE71" s="87">
        <v>0.6</v>
      </c>
      <c r="AF71" s="87">
        <v>0.9</v>
      </c>
      <c r="AG71" s="87">
        <v>0.9</v>
      </c>
      <c r="AH71" s="87">
        <v>0.9</v>
      </c>
      <c r="AI71" s="87">
        <v>1.25</v>
      </c>
      <c r="AJ71" s="87">
        <v>1.6</v>
      </c>
      <c r="AK71" s="87">
        <v>1</v>
      </c>
      <c r="AL71" s="87">
        <v>0.9</v>
      </c>
      <c r="AM71" s="87">
        <v>1.6</v>
      </c>
      <c r="AN71" s="87">
        <v>0.6</v>
      </c>
      <c r="AO71" s="87">
        <v>0.6</v>
      </c>
      <c r="AP71" s="87">
        <v>0.6</v>
      </c>
      <c r="AQ71" s="87">
        <v>0.6</v>
      </c>
      <c r="AR71" s="87">
        <v>0.9</v>
      </c>
      <c r="AS71" s="87">
        <v>0.9</v>
      </c>
      <c r="AT71" s="87">
        <v>0.9</v>
      </c>
      <c r="AU71" s="87">
        <v>1.25</v>
      </c>
      <c r="AV71" s="87">
        <v>1.6</v>
      </c>
      <c r="AW71" s="87">
        <v>1</v>
      </c>
      <c r="AX71" s="87">
        <v>0.9</v>
      </c>
      <c r="AY71" s="87">
        <v>1.6</v>
      </c>
      <c r="AZ71" s="87">
        <v>0.6</v>
      </c>
      <c r="BA71" s="87">
        <v>0.6</v>
      </c>
      <c r="BB71" s="87">
        <v>0.6</v>
      </c>
      <c r="BC71" s="87">
        <v>0.6</v>
      </c>
      <c r="BD71" s="87">
        <v>0.9</v>
      </c>
      <c r="BE71" s="87">
        <v>0.9</v>
      </c>
      <c r="BF71" s="87">
        <v>0.9</v>
      </c>
      <c r="BG71" s="87">
        <v>1.25</v>
      </c>
      <c r="BH71" s="87">
        <v>1.6</v>
      </c>
      <c r="BI71" s="87">
        <v>1</v>
      </c>
      <c r="BJ71" s="87">
        <v>0.9</v>
      </c>
      <c r="BK71" s="87"/>
      <c r="BL71" s="87"/>
      <c r="BM71" s="98"/>
      <c r="BN71" s="98"/>
      <c r="BO71" s="98"/>
      <c r="BP71" s="98"/>
      <c r="BQ71" s="98"/>
      <c r="BR71" s="98"/>
    </row>
    <row r="72" spans="2:70" outlineLevel="1">
      <c r="B72" s="57" t="s">
        <v>398</v>
      </c>
      <c r="C72" s="575">
        <f t="shared" ref="C72:AH72" si="360">C71*C42*C3</f>
        <v>6753.6</v>
      </c>
      <c r="D72" s="575">
        <f t="shared" si="360"/>
        <v>6978.72</v>
      </c>
      <c r="E72" s="575">
        <f t="shared" si="360"/>
        <v>0</v>
      </c>
      <c r="F72" s="575">
        <f t="shared" si="360"/>
        <v>3800.1541806020059</v>
      </c>
      <c r="G72" s="575">
        <f t="shared" si="360"/>
        <v>2802.7119032120495</v>
      </c>
      <c r="H72" s="575">
        <f t="shared" si="360"/>
        <v>711.9722883741066</v>
      </c>
      <c r="I72" s="575">
        <f t="shared" si="360"/>
        <v>436.35546500479387</v>
      </c>
      <c r="J72" s="575">
        <f t="shared" si="360"/>
        <v>1724.4904118036823</v>
      </c>
      <c r="K72" s="575">
        <f t="shared" si="360"/>
        <v>2542.626262626261</v>
      </c>
      <c r="L72" s="575">
        <f t="shared" si="360"/>
        <v>4880.7</v>
      </c>
      <c r="M72" s="575">
        <f t="shared" si="360"/>
        <v>5912.9400000000005</v>
      </c>
      <c r="N72" s="575">
        <f t="shared" si="360"/>
        <v>5912.9400000000005</v>
      </c>
      <c r="O72" s="575">
        <f t="shared" si="360"/>
        <v>5722.2000000000007</v>
      </c>
      <c r="P72" s="575">
        <f t="shared" si="360"/>
        <v>5912.9400000000005</v>
      </c>
      <c r="Q72" s="575">
        <f t="shared" si="360"/>
        <v>0</v>
      </c>
      <c r="R72" s="575">
        <f t="shared" si="360"/>
        <v>0</v>
      </c>
      <c r="S72" s="575">
        <f t="shared" si="360"/>
        <v>3571.2000000000003</v>
      </c>
      <c r="T72" s="575">
        <f t="shared" si="360"/>
        <v>4241.16</v>
      </c>
      <c r="U72" s="575">
        <f t="shared" si="360"/>
        <v>5245.2000000000007</v>
      </c>
      <c r="V72" s="575">
        <f t="shared" si="360"/>
        <v>2820</v>
      </c>
      <c r="W72" s="575">
        <f t="shared" si="360"/>
        <v>3257.7899999999995</v>
      </c>
      <c r="X72" s="575">
        <f t="shared" si="360"/>
        <v>2815.2000000000003</v>
      </c>
      <c r="Y72" s="575">
        <f t="shared" si="360"/>
        <v>5076.5599999999995</v>
      </c>
      <c r="Z72" s="575">
        <f t="shared" si="360"/>
        <v>7101.4800000000005</v>
      </c>
      <c r="AA72" s="575">
        <f t="shared" si="360"/>
        <v>4416.0000000000009</v>
      </c>
      <c r="AB72" s="575">
        <f t="shared" si="360"/>
        <v>2083.2000000000003</v>
      </c>
      <c r="AC72" s="575">
        <f t="shared" si="360"/>
        <v>2016</v>
      </c>
      <c r="AD72" s="575">
        <f t="shared" si="360"/>
        <v>2064.6</v>
      </c>
      <c r="AE72" s="575">
        <f t="shared" si="360"/>
        <v>2064.6</v>
      </c>
      <c r="AF72" s="575">
        <f t="shared" si="360"/>
        <v>2797.2000000000003</v>
      </c>
      <c r="AG72" s="575">
        <f t="shared" si="360"/>
        <v>3096.9</v>
      </c>
      <c r="AH72" s="575">
        <f t="shared" si="360"/>
        <v>5967</v>
      </c>
      <c r="AI72" s="575">
        <f t="shared" ref="AI72:BJ72" si="361">AI71*AI42*AI3</f>
        <v>8563.75</v>
      </c>
      <c r="AJ72" s="575">
        <f t="shared" si="361"/>
        <v>10608</v>
      </c>
      <c r="AK72" s="575">
        <f t="shared" si="361"/>
        <v>6851</v>
      </c>
      <c r="AL72" s="575">
        <f t="shared" si="361"/>
        <v>6165.9000000000005</v>
      </c>
      <c r="AM72" s="575">
        <f t="shared" si="361"/>
        <v>10608</v>
      </c>
      <c r="AN72" s="575">
        <f t="shared" si="361"/>
        <v>0</v>
      </c>
      <c r="AO72" s="575">
        <f t="shared" si="361"/>
        <v>2700</v>
      </c>
      <c r="AP72" s="575">
        <f t="shared" si="361"/>
        <v>2790</v>
      </c>
      <c r="AQ72" s="575">
        <f t="shared" si="361"/>
        <v>2790</v>
      </c>
      <c r="AR72" s="575">
        <f t="shared" si="361"/>
        <v>3780</v>
      </c>
      <c r="AS72" s="575">
        <f t="shared" si="361"/>
        <v>4185</v>
      </c>
      <c r="AT72" s="575">
        <f t="shared" si="361"/>
        <v>8370</v>
      </c>
      <c r="AU72" s="575">
        <f t="shared" si="361"/>
        <v>12012.5</v>
      </c>
      <c r="AV72" s="575">
        <f t="shared" si="361"/>
        <v>14880</v>
      </c>
      <c r="AW72" s="575">
        <f t="shared" si="361"/>
        <v>9610</v>
      </c>
      <c r="AX72" s="575">
        <f t="shared" si="361"/>
        <v>8649</v>
      </c>
      <c r="AY72" s="575">
        <f t="shared" si="361"/>
        <v>14880</v>
      </c>
      <c r="AZ72" s="575">
        <f t="shared" si="361"/>
        <v>2976</v>
      </c>
      <c r="BA72" s="575">
        <f t="shared" si="361"/>
        <v>2880</v>
      </c>
      <c r="BB72" s="575">
        <f t="shared" si="361"/>
        <v>2976</v>
      </c>
      <c r="BC72" s="575">
        <f t="shared" si="361"/>
        <v>2976</v>
      </c>
      <c r="BD72" s="575">
        <f t="shared" si="361"/>
        <v>4032</v>
      </c>
      <c r="BE72" s="575">
        <f t="shared" si="361"/>
        <v>4464</v>
      </c>
      <c r="BF72" s="575">
        <f t="shared" si="361"/>
        <v>8640</v>
      </c>
      <c r="BG72" s="575">
        <f t="shared" si="361"/>
        <v>12400</v>
      </c>
      <c r="BH72" s="575">
        <f t="shared" si="361"/>
        <v>15360</v>
      </c>
      <c r="BI72" s="575">
        <f t="shared" si="361"/>
        <v>9920</v>
      </c>
      <c r="BJ72" s="575">
        <f t="shared" si="361"/>
        <v>8928</v>
      </c>
    </row>
    <row r="73" spans="2:70" outlineLevel="1">
      <c r="B73" s="60" t="s">
        <v>518</v>
      </c>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row>
    <row r="74" spans="2:70" outlineLevel="1">
      <c r="B74" t="s">
        <v>256</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v>1.6</v>
      </c>
      <c r="AB74" s="87">
        <v>0.57999999999999996</v>
      </c>
      <c r="AC74" s="87">
        <v>0.6</v>
      </c>
      <c r="AD74" s="87">
        <v>0.6</v>
      </c>
      <c r="AE74" s="87">
        <v>0.6</v>
      </c>
      <c r="AF74" s="87">
        <v>0.9</v>
      </c>
      <c r="AG74" s="87">
        <v>0.9</v>
      </c>
      <c r="AH74" s="87">
        <v>0.9</v>
      </c>
      <c r="AI74" s="87">
        <v>1.25</v>
      </c>
      <c r="AJ74" s="87">
        <v>1.6</v>
      </c>
      <c r="AK74" s="87">
        <v>1</v>
      </c>
      <c r="AL74" s="87">
        <v>0.9</v>
      </c>
      <c r="AM74" s="87">
        <v>1.6</v>
      </c>
      <c r="AN74" s="87">
        <v>0.57999999999999996</v>
      </c>
      <c r="AO74" s="87">
        <v>0.6</v>
      </c>
      <c r="AP74" s="87">
        <v>0.6</v>
      </c>
      <c r="AQ74" s="87">
        <v>0.6</v>
      </c>
      <c r="AR74" s="87">
        <v>0.9</v>
      </c>
      <c r="AS74" s="87">
        <v>0.9</v>
      </c>
      <c r="AT74" s="87">
        <v>0.9</v>
      </c>
      <c r="AU74" s="87">
        <v>1.25</v>
      </c>
      <c r="AV74" s="87">
        <v>1.6</v>
      </c>
      <c r="AW74" s="87">
        <v>1</v>
      </c>
      <c r="AX74" s="87">
        <v>0.9</v>
      </c>
      <c r="AY74" s="87">
        <v>1.6</v>
      </c>
      <c r="AZ74" s="87">
        <v>0.57999999999999996</v>
      </c>
      <c r="BA74" s="87">
        <v>0.6</v>
      </c>
      <c r="BB74" s="87">
        <v>0.6</v>
      </c>
      <c r="BC74" s="87">
        <v>0.6</v>
      </c>
      <c r="BD74" s="87">
        <v>0.9</v>
      </c>
      <c r="BE74" s="87">
        <v>0.9</v>
      </c>
      <c r="BF74" s="87">
        <v>0.9</v>
      </c>
      <c r="BG74" s="87">
        <v>1.25</v>
      </c>
      <c r="BH74" s="87">
        <v>1.6</v>
      </c>
      <c r="BI74" s="87">
        <v>1</v>
      </c>
      <c r="BJ74" s="87">
        <v>0.9</v>
      </c>
      <c r="BK74" s="98"/>
      <c r="BL74" s="98"/>
    </row>
    <row r="75" spans="2:70" outlineLevel="1">
      <c r="B75" s="57" t="s">
        <v>398</v>
      </c>
      <c r="C75" s="573">
        <f t="shared" ref="C75:AF75" si="362">C74*C42*C3</f>
        <v>0</v>
      </c>
      <c r="D75" s="573">
        <f t="shared" si="362"/>
        <v>0</v>
      </c>
      <c r="E75" s="573">
        <f t="shared" si="362"/>
        <v>0</v>
      </c>
      <c r="F75" s="573">
        <f t="shared" si="362"/>
        <v>0</v>
      </c>
      <c r="G75" s="573">
        <f t="shared" si="362"/>
        <v>0</v>
      </c>
      <c r="H75" s="573">
        <f t="shared" si="362"/>
        <v>0</v>
      </c>
      <c r="I75" s="573">
        <f t="shared" si="362"/>
        <v>0</v>
      </c>
      <c r="J75" s="573">
        <f t="shared" si="362"/>
        <v>0</v>
      </c>
      <c r="K75" s="573">
        <f t="shared" si="362"/>
        <v>0</v>
      </c>
      <c r="L75" s="573">
        <f t="shared" si="362"/>
        <v>0</v>
      </c>
      <c r="M75" s="573">
        <f t="shared" si="362"/>
        <v>0</v>
      </c>
      <c r="N75" s="573">
        <f t="shared" si="362"/>
        <v>0</v>
      </c>
      <c r="O75" s="573">
        <f t="shared" si="362"/>
        <v>0</v>
      </c>
      <c r="P75" s="573">
        <f t="shared" si="362"/>
        <v>0</v>
      </c>
      <c r="Q75" s="573">
        <f t="shared" si="362"/>
        <v>0</v>
      </c>
      <c r="R75" s="573">
        <f t="shared" si="362"/>
        <v>0</v>
      </c>
      <c r="S75" s="573">
        <f t="shared" si="362"/>
        <v>0</v>
      </c>
      <c r="T75" s="573">
        <f t="shared" si="362"/>
        <v>0</v>
      </c>
      <c r="U75" s="573">
        <f t="shared" si="362"/>
        <v>0</v>
      </c>
      <c r="V75" s="573">
        <f t="shared" si="362"/>
        <v>0</v>
      </c>
      <c r="W75" s="573">
        <f t="shared" si="362"/>
        <v>0</v>
      </c>
      <c r="X75" s="573">
        <f t="shared" si="362"/>
        <v>0</v>
      </c>
      <c r="Y75" s="573">
        <f t="shared" si="362"/>
        <v>0</v>
      </c>
      <c r="Z75" s="573">
        <f t="shared" si="362"/>
        <v>0</v>
      </c>
      <c r="AA75" s="573">
        <f t="shared" si="362"/>
        <v>4416.0000000000009</v>
      </c>
      <c r="AB75" s="573">
        <f t="shared" si="362"/>
        <v>2013.7599999999998</v>
      </c>
      <c r="AC75" s="573">
        <f t="shared" si="362"/>
        <v>2016</v>
      </c>
      <c r="AD75" s="573">
        <f t="shared" si="362"/>
        <v>2064.6</v>
      </c>
      <c r="AE75" s="573">
        <f t="shared" si="362"/>
        <v>2064.6</v>
      </c>
      <c r="AF75" s="573">
        <f t="shared" si="362"/>
        <v>2797.2000000000003</v>
      </c>
      <c r="AG75" s="573">
        <f>AG74*AG42*AG3</f>
        <v>3096.9</v>
      </c>
      <c r="AH75" s="573">
        <f>AH74*AH42*AH3</f>
        <v>5967</v>
      </c>
      <c r="AI75" s="573">
        <f>AI74*AI42*AI3</f>
        <v>8563.75</v>
      </c>
      <c r="AJ75" s="573">
        <f t="shared" ref="AJ75:BJ75" si="363">AJ74*AJ42*AJ3</f>
        <v>10608</v>
      </c>
      <c r="AK75" s="573">
        <f t="shared" si="363"/>
        <v>6851</v>
      </c>
      <c r="AL75" s="573">
        <f t="shared" si="363"/>
        <v>6165.9000000000005</v>
      </c>
      <c r="AM75" s="573">
        <f t="shared" si="363"/>
        <v>10608</v>
      </c>
      <c r="AN75" s="573">
        <f t="shared" si="363"/>
        <v>0</v>
      </c>
      <c r="AO75" s="573">
        <f t="shared" si="363"/>
        <v>2700</v>
      </c>
      <c r="AP75" s="573">
        <f t="shared" si="363"/>
        <v>2790</v>
      </c>
      <c r="AQ75" s="573">
        <f t="shared" si="363"/>
        <v>2790</v>
      </c>
      <c r="AR75" s="573">
        <f t="shared" si="363"/>
        <v>3780</v>
      </c>
      <c r="AS75" s="573">
        <f t="shared" si="363"/>
        <v>4185</v>
      </c>
      <c r="AT75" s="573">
        <f t="shared" si="363"/>
        <v>8370</v>
      </c>
      <c r="AU75" s="573">
        <f t="shared" si="363"/>
        <v>12012.5</v>
      </c>
      <c r="AV75" s="573">
        <f t="shared" si="363"/>
        <v>14880</v>
      </c>
      <c r="AW75" s="573">
        <f t="shared" si="363"/>
        <v>9610</v>
      </c>
      <c r="AX75" s="573">
        <f t="shared" si="363"/>
        <v>8649</v>
      </c>
      <c r="AY75" s="573">
        <f t="shared" si="363"/>
        <v>14880</v>
      </c>
      <c r="AZ75" s="573">
        <f t="shared" si="363"/>
        <v>2876.7999999999997</v>
      </c>
      <c r="BA75" s="573">
        <f t="shared" si="363"/>
        <v>2880</v>
      </c>
      <c r="BB75" s="573">
        <f t="shared" si="363"/>
        <v>2976</v>
      </c>
      <c r="BC75" s="573">
        <f t="shared" si="363"/>
        <v>2976</v>
      </c>
      <c r="BD75" s="573">
        <f t="shared" si="363"/>
        <v>4032</v>
      </c>
      <c r="BE75" s="573">
        <f t="shared" si="363"/>
        <v>4464</v>
      </c>
      <c r="BF75" s="573">
        <f t="shared" si="363"/>
        <v>8640</v>
      </c>
      <c r="BG75" s="573">
        <f t="shared" si="363"/>
        <v>12400</v>
      </c>
      <c r="BH75" s="573">
        <f t="shared" si="363"/>
        <v>15360</v>
      </c>
      <c r="BI75" s="573">
        <f t="shared" si="363"/>
        <v>9920</v>
      </c>
      <c r="BJ75" s="573">
        <f t="shared" si="363"/>
        <v>8928</v>
      </c>
    </row>
    <row r="76" spans="2:70" outlineLevel="1">
      <c r="B76" s="60" t="s">
        <v>516</v>
      </c>
    </row>
    <row r="77" spans="2:70" outlineLevel="1">
      <c r="B77" t="s">
        <v>256</v>
      </c>
      <c r="C77" s="87"/>
      <c r="D77" s="87"/>
      <c r="E77" s="87">
        <v>2</v>
      </c>
      <c r="F77" s="87">
        <v>1.5</v>
      </c>
      <c r="G77" s="87">
        <v>0.6</v>
      </c>
      <c r="H77" s="87">
        <v>0.6</v>
      </c>
      <c r="I77" s="87"/>
      <c r="J77" s="87"/>
      <c r="K77" s="87"/>
      <c r="L77" s="87"/>
      <c r="M77" s="87"/>
      <c r="N77" s="87"/>
      <c r="O77" s="87"/>
      <c r="P77" s="87">
        <v>1.6</v>
      </c>
      <c r="Q77" s="87">
        <v>1.25</v>
      </c>
      <c r="R77" s="87">
        <v>2.7</v>
      </c>
      <c r="S77" s="87">
        <v>3.95</v>
      </c>
      <c r="T77" s="87">
        <v>3.95</v>
      </c>
      <c r="U77" s="87">
        <v>3.95</v>
      </c>
      <c r="V77" s="87"/>
      <c r="W77" s="87"/>
      <c r="X77" s="87"/>
      <c r="Y77" s="87"/>
      <c r="Z77" s="87"/>
      <c r="AA77" s="87"/>
      <c r="AB77" s="87">
        <v>1.79</v>
      </c>
      <c r="AC77" s="87">
        <v>2.82</v>
      </c>
      <c r="AD77" s="87">
        <v>1.28</v>
      </c>
      <c r="AE77" s="87">
        <v>1.5</v>
      </c>
      <c r="AF77" s="87">
        <v>5</v>
      </c>
      <c r="AG77" s="87"/>
      <c r="AH77" s="87"/>
      <c r="AI77" s="87"/>
      <c r="AJ77" s="87"/>
      <c r="AK77" s="87"/>
      <c r="AL77" s="87"/>
      <c r="AM77" s="87"/>
      <c r="AN77" s="87">
        <v>1.8</v>
      </c>
      <c r="AO77" s="87">
        <v>2.8</v>
      </c>
      <c r="AP77" s="87">
        <v>1.3</v>
      </c>
      <c r="AQ77" s="87">
        <v>1.5</v>
      </c>
      <c r="AR77" s="87">
        <v>5</v>
      </c>
      <c r="AS77" s="87"/>
      <c r="AT77" s="87"/>
      <c r="AU77" s="87"/>
      <c r="AV77" s="87"/>
      <c r="AW77" s="87"/>
      <c r="AX77" s="87"/>
      <c r="AY77" s="87"/>
      <c r="AZ77" s="87">
        <v>1.8</v>
      </c>
      <c r="BA77" s="87">
        <v>2.8</v>
      </c>
      <c r="BB77" s="87">
        <v>1.3</v>
      </c>
      <c r="BC77" s="87">
        <v>1.5</v>
      </c>
      <c r="BD77" s="87">
        <v>5</v>
      </c>
      <c r="BE77" s="87"/>
      <c r="BF77" s="87"/>
      <c r="BG77" s="87"/>
      <c r="BH77" s="87"/>
      <c r="BI77" s="87"/>
      <c r="BJ77" s="87"/>
    </row>
    <row r="78" spans="2:70" outlineLevel="1">
      <c r="B78" s="57" t="s">
        <v>398</v>
      </c>
      <c r="C78" s="575">
        <f t="shared" ref="C78:AH78" si="364">C77*(C56+C49)*C3</f>
        <v>0</v>
      </c>
      <c r="D78" s="575">
        <f t="shared" si="364"/>
        <v>0</v>
      </c>
      <c r="E78" s="575">
        <f t="shared" si="364"/>
        <v>14040</v>
      </c>
      <c r="F78" s="575">
        <f t="shared" si="364"/>
        <v>10881</v>
      </c>
      <c r="G78" s="575">
        <f t="shared" si="364"/>
        <v>4352.4000000000005</v>
      </c>
      <c r="H78" s="575">
        <f t="shared" si="364"/>
        <v>2604</v>
      </c>
      <c r="I78" s="575">
        <f t="shared" si="364"/>
        <v>0</v>
      </c>
      <c r="J78" s="575">
        <f t="shared" si="364"/>
        <v>0</v>
      </c>
      <c r="K78" s="575">
        <f t="shared" si="364"/>
        <v>0</v>
      </c>
      <c r="L78" s="575">
        <f t="shared" si="364"/>
        <v>0</v>
      </c>
      <c r="M78" s="575">
        <f t="shared" si="364"/>
        <v>0</v>
      </c>
      <c r="N78" s="575">
        <f t="shared" si="364"/>
        <v>0</v>
      </c>
      <c r="O78" s="575">
        <f t="shared" si="364"/>
        <v>0</v>
      </c>
      <c r="P78" s="575">
        <f t="shared" si="364"/>
        <v>7440</v>
      </c>
      <c r="Q78" s="575">
        <f t="shared" si="364"/>
        <v>9412.5</v>
      </c>
      <c r="R78" s="575">
        <f t="shared" si="364"/>
        <v>21008.7</v>
      </c>
      <c r="S78" s="575">
        <f t="shared" si="364"/>
        <v>24367.550000000003</v>
      </c>
      <c r="T78" s="575">
        <f t="shared" si="364"/>
        <v>5751.2</v>
      </c>
      <c r="U78" s="575">
        <f t="shared" si="364"/>
        <v>367.35</v>
      </c>
      <c r="V78" s="575">
        <f t="shared" si="364"/>
        <v>0</v>
      </c>
      <c r="W78" s="575">
        <f t="shared" si="364"/>
        <v>0</v>
      </c>
      <c r="X78" s="575">
        <f t="shared" si="364"/>
        <v>0</v>
      </c>
      <c r="Y78" s="575">
        <f t="shared" si="364"/>
        <v>0</v>
      </c>
      <c r="Z78" s="575">
        <f t="shared" si="364"/>
        <v>0</v>
      </c>
      <c r="AA78" s="575">
        <f t="shared" si="364"/>
        <v>0</v>
      </c>
      <c r="AB78" s="575">
        <f t="shared" si="364"/>
        <v>15925.630000000001</v>
      </c>
      <c r="AC78" s="575">
        <f t="shared" si="364"/>
        <v>24280.199999999997</v>
      </c>
      <c r="AD78" s="575">
        <f t="shared" si="364"/>
        <v>11388.16</v>
      </c>
      <c r="AE78" s="575">
        <f t="shared" si="364"/>
        <v>13345.5</v>
      </c>
      <c r="AF78" s="575">
        <f t="shared" si="364"/>
        <v>19880</v>
      </c>
      <c r="AG78" s="575">
        <f t="shared" si="364"/>
        <v>0</v>
      </c>
      <c r="AH78" s="575">
        <f t="shared" si="364"/>
        <v>0</v>
      </c>
      <c r="AI78" s="575">
        <f t="shared" ref="AI78:BJ78" si="365">AI77*(AI56+AI49)*AI3</f>
        <v>0</v>
      </c>
      <c r="AJ78" s="575">
        <f t="shared" si="365"/>
        <v>0</v>
      </c>
      <c r="AK78" s="575">
        <f t="shared" si="365"/>
        <v>0</v>
      </c>
      <c r="AL78" s="575">
        <f t="shared" si="365"/>
        <v>0</v>
      </c>
      <c r="AM78" s="575">
        <f t="shared" si="365"/>
        <v>0</v>
      </c>
      <c r="AN78" s="575">
        <f t="shared" si="365"/>
        <v>16795.800000000003</v>
      </c>
      <c r="AO78" s="575">
        <f t="shared" si="365"/>
        <v>25284</v>
      </c>
      <c r="AP78" s="575">
        <f t="shared" si="365"/>
        <v>12130.300000000001</v>
      </c>
      <c r="AQ78" s="575">
        <f t="shared" si="365"/>
        <v>13996.5</v>
      </c>
      <c r="AR78" s="575">
        <f t="shared" si="365"/>
        <v>42140</v>
      </c>
      <c r="AS78" s="575">
        <f t="shared" si="365"/>
        <v>0</v>
      </c>
      <c r="AT78" s="575">
        <f t="shared" si="365"/>
        <v>0</v>
      </c>
      <c r="AU78" s="575">
        <f t="shared" si="365"/>
        <v>0</v>
      </c>
      <c r="AV78" s="575">
        <f t="shared" si="365"/>
        <v>0</v>
      </c>
      <c r="AW78" s="575">
        <f t="shared" si="365"/>
        <v>0</v>
      </c>
      <c r="AX78" s="575">
        <f t="shared" si="365"/>
        <v>0</v>
      </c>
      <c r="AY78" s="575">
        <f t="shared" si="365"/>
        <v>0</v>
      </c>
      <c r="AZ78" s="575">
        <f t="shared" si="365"/>
        <v>17298</v>
      </c>
      <c r="BA78" s="575">
        <f t="shared" si="365"/>
        <v>26040</v>
      </c>
      <c r="BB78" s="575">
        <f t="shared" si="365"/>
        <v>12493</v>
      </c>
      <c r="BC78" s="575">
        <f t="shared" si="365"/>
        <v>14415</v>
      </c>
      <c r="BD78" s="575">
        <f t="shared" si="365"/>
        <v>43400</v>
      </c>
      <c r="BE78" s="575">
        <f t="shared" si="365"/>
        <v>0</v>
      </c>
      <c r="BF78" s="575">
        <f t="shared" si="365"/>
        <v>0</v>
      </c>
      <c r="BG78" s="575">
        <f t="shared" si="365"/>
        <v>0</v>
      </c>
      <c r="BH78" s="575">
        <f t="shared" si="365"/>
        <v>0</v>
      </c>
      <c r="BI78" s="575">
        <f t="shared" si="365"/>
        <v>0</v>
      </c>
      <c r="BJ78" s="575">
        <f t="shared" si="365"/>
        <v>0</v>
      </c>
    </row>
    <row r="79" spans="2:70" outlineLevel="1"/>
    <row r="80" spans="2:70" outlineLevel="1">
      <c r="B80" s="54" t="s">
        <v>520</v>
      </c>
    </row>
    <row r="81" spans="2:62" outlineLevel="1">
      <c r="B81" t="s">
        <v>241</v>
      </c>
      <c r="C81" s="62">
        <f>C72+C60</f>
        <v>7518.6</v>
      </c>
      <c r="D81" s="62">
        <f t="shared" ref="D81:BJ81" si="366">D72+D60</f>
        <v>7769.22</v>
      </c>
      <c r="E81" s="62">
        <f t="shared" si="366"/>
        <v>765</v>
      </c>
      <c r="F81" s="62">
        <f t="shared" si="366"/>
        <v>5055.6541806020059</v>
      </c>
      <c r="G81" s="62">
        <f t="shared" si="366"/>
        <v>4058.2119032120495</v>
      </c>
      <c r="H81" s="62">
        <f t="shared" si="366"/>
        <v>2979.9722883741065</v>
      </c>
      <c r="I81" s="62">
        <f t="shared" si="366"/>
        <v>4063.355465004794</v>
      </c>
      <c r="J81" s="62">
        <f t="shared" si="366"/>
        <v>3479.490411803682</v>
      </c>
      <c r="K81" s="62">
        <f t="shared" si="366"/>
        <v>4356.1262626262615</v>
      </c>
      <c r="L81" s="62">
        <f t="shared" si="366"/>
        <v>6635.7</v>
      </c>
      <c r="M81" s="62">
        <f t="shared" si="366"/>
        <v>9539.94</v>
      </c>
      <c r="N81" s="62">
        <f t="shared" si="366"/>
        <v>9353.94</v>
      </c>
      <c r="O81" s="62">
        <f t="shared" si="366"/>
        <v>7612.2000000000007</v>
      </c>
      <c r="P81" s="62">
        <f t="shared" si="366"/>
        <v>7865.9400000000005</v>
      </c>
      <c r="Q81" s="62">
        <f t="shared" si="366"/>
        <v>1890</v>
      </c>
      <c r="R81" s="62">
        <f t="shared" si="366"/>
        <v>1953</v>
      </c>
      <c r="S81" s="62">
        <f t="shared" si="366"/>
        <v>5741.2000000000007</v>
      </c>
      <c r="T81" s="62">
        <f t="shared" si="366"/>
        <v>6643.5599999999995</v>
      </c>
      <c r="U81" s="62">
        <f t="shared" si="366"/>
        <v>8314.2000000000007</v>
      </c>
      <c r="V81" s="62">
        <f t="shared" si="366"/>
        <v>4548</v>
      </c>
      <c r="W81" s="62">
        <f t="shared" si="366"/>
        <v>4844.99</v>
      </c>
      <c r="X81" s="62">
        <f t="shared" si="366"/>
        <v>4351.2000000000007</v>
      </c>
      <c r="Y81" s="62">
        <f t="shared" si="366"/>
        <v>7060.5599999999995</v>
      </c>
      <c r="Z81" s="62">
        <f t="shared" si="366"/>
        <v>9680.68</v>
      </c>
      <c r="AA81" s="62">
        <f t="shared" si="366"/>
        <v>6979.2000000000007</v>
      </c>
      <c r="AB81" s="62">
        <f t="shared" si="366"/>
        <v>4649.07</v>
      </c>
      <c r="AC81" s="62">
        <f t="shared" si="366"/>
        <v>3587.7</v>
      </c>
      <c r="AD81" s="62">
        <f t="shared" si="366"/>
        <v>2977.5499999999997</v>
      </c>
      <c r="AE81" s="62">
        <f t="shared" si="366"/>
        <v>3986.6</v>
      </c>
      <c r="AF81" s="62">
        <f t="shared" si="366"/>
        <v>5054</v>
      </c>
      <c r="AG81" s="62">
        <f t="shared" si="366"/>
        <v>5662.77</v>
      </c>
      <c r="AH81" s="62">
        <f t="shared" si="366"/>
        <v>8209.7999999999993</v>
      </c>
      <c r="AI81" s="62">
        <f t="shared" si="366"/>
        <v>9952.5499999999993</v>
      </c>
      <c r="AJ81" s="62">
        <f t="shared" si="366"/>
        <v>11952</v>
      </c>
      <c r="AK81" s="62">
        <f t="shared" si="366"/>
        <v>8413.4</v>
      </c>
      <c r="AL81" s="62">
        <f t="shared" si="366"/>
        <v>8422.7000000000007</v>
      </c>
      <c r="AM81" s="62">
        <f t="shared" si="366"/>
        <v>13128</v>
      </c>
      <c r="AN81" s="62">
        <f t="shared" si="366"/>
        <v>1562.3999999999999</v>
      </c>
      <c r="AO81" s="62">
        <f t="shared" si="366"/>
        <v>3876</v>
      </c>
      <c r="AP81" s="62">
        <f t="shared" si="366"/>
        <v>4092</v>
      </c>
      <c r="AQ81" s="62">
        <f t="shared" si="366"/>
        <v>4526</v>
      </c>
      <c r="AR81" s="62">
        <f t="shared" si="366"/>
        <v>5818.4</v>
      </c>
      <c r="AS81" s="62">
        <f t="shared" si="366"/>
        <v>6502.5599999999995</v>
      </c>
      <c r="AT81" s="62">
        <f t="shared" si="366"/>
        <v>9882</v>
      </c>
      <c r="AU81" s="62">
        <f t="shared" si="366"/>
        <v>13401.3</v>
      </c>
      <c r="AV81" s="62">
        <f t="shared" si="366"/>
        <v>16224</v>
      </c>
      <c r="AW81" s="62">
        <f t="shared" si="366"/>
        <v>11172.4</v>
      </c>
      <c r="AX81" s="62">
        <f t="shared" si="366"/>
        <v>10905.8</v>
      </c>
      <c r="AY81" s="62">
        <f t="shared" si="366"/>
        <v>17122.8</v>
      </c>
      <c r="AZ81" s="62">
        <f t="shared" si="366"/>
        <v>4538.3999999999996</v>
      </c>
      <c r="BA81" s="62">
        <f t="shared" si="366"/>
        <v>4056</v>
      </c>
      <c r="BB81" s="62">
        <f t="shared" si="366"/>
        <v>4278</v>
      </c>
      <c r="BC81" s="62">
        <f t="shared" si="366"/>
        <v>4712</v>
      </c>
      <c r="BD81" s="62">
        <f t="shared" si="366"/>
        <v>6070.4</v>
      </c>
      <c r="BE81" s="62">
        <f t="shared" si="366"/>
        <v>7068</v>
      </c>
      <c r="BF81" s="62">
        <f t="shared" si="366"/>
        <v>10152</v>
      </c>
      <c r="BG81" s="62">
        <f t="shared" si="366"/>
        <v>13788.8</v>
      </c>
      <c r="BH81" s="62">
        <f t="shared" si="366"/>
        <v>16704</v>
      </c>
      <c r="BI81" s="62">
        <f t="shared" si="366"/>
        <v>11482.4</v>
      </c>
      <c r="BJ81" s="62">
        <f t="shared" si="366"/>
        <v>11184.8</v>
      </c>
    </row>
    <row r="82" spans="2:62" outlineLevel="1">
      <c r="B82" t="s">
        <v>242</v>
      </c>
      <c r="C82" s="62">
        <f>C63+C75</f>
        <v>0</v>
      </c>
      <c r="D82" s="62">
        <f t="shared" ref="D82:BJ82" si="367">D63+D75</f>
        <v>0</v>
      </c>
      <c r="E82" s="62">
        <f t="shared" si="367"/>
        <v>0</v>
      </c>
      <c r="F82" s="62">
        <f t="shared" si="367"/>
        <v>0</v>
      </c>
      <c r="G82" s="62">
        <f t="shared" si="367"/>
        <v>0</v>
      </c>
      <c r="H82" s="62">
        <f t="shared" si="367"/>
        <v>0</v>
      </c>
      <c r="I82" s="62">
        <f t="shared" si="367"/>
        <v>0</v>
      </c>
      <c r="J82" s="62">
        <f t="shared" si="367"/>
        <v>0</v>
      </c>
      <c r="K82" s="62">
        <f t="shared" si="367"/>
        <v>0</v>
      </c>
      <c r="L82" s="62">
        <f t="shared" si="367"/>
        <v>0</v>
      </c>
      <c r="M82" s="62">
        <f t="shared" si="367"/>
        <v>0</v>
      </c>
      <c r="N82" s="62">
        <f t="shared" si="367"/>
        <v>0</v>
      </c>
      <c r="O82" s="62">
        <f t="shared" si="367"/>
        <v>0</v>
      </c>
      <c r="P82" s="62">
        <f t="shared" si="367"/>
        <v>0</v>
      </c>
      <c r="Q82" s="62">
        <f t="shared" si="367"/>
        <v>0</v>
      </c>
      <c r="R82" s="62">
        <f t="shared" si="367"/>
        <v>0</v>
      </c>
      <c r="S82" s="62">
        <f t="shared" si="367"/>
        <v>0</v>
      </c>
      <c r="T82" s="62">
        <f t="shared" si="367"/>
        <v>0</v>
      </c>
      <c r="U82" s="62">
        <f t="shared" si="367"/>
        <v>0</v>
      </c>
      <c r="V82" s="62">
        <f t="shared" si="367"/>
        <v>0</v>
      </c>
      <c r="W82" s="62">
        <f t="shared" si="367"/>
        <v>0</v>
      </c>
      <c r="X82" s="62">
        <f t="shared" si="367"/>
        <v>0</v>
      </c>
      <c r="Y82" s="62">
        <f t="shared" si="367"/>
        <v>0</v>
      </c>
      <c r="Z82" s="62">
        <f t="shared" si="367"/>
        <v>0</v>
      </c>
      <c r="AA82" s="62">
        <f t="shared" si="367"/>
        <v>4416.0000000000009</v>
      </c>
      <c r="AB82" s="62">
        <f t="shared" si="367"/>
        <v>2013.7599999999998</v>
      </c>
      <c r="AC82" s="62">
        <f t="shared" si="367"/>
        <v>2016</v>
      </c>
      <c r="AD82" s="62">
        <f t="shared" si="367"/>
        <v>2064.6</v>
      </c>
      <c r="AE82" s="62">
        <f t="shared" si="367"/>
        <v>2064.6</v>
      </c>
      <c r="AF82" s="62">
        <f t="shared" si="367"/>
        <v>2797.2000000000003</v>
      </c>
      <c r="AG82" s="62">
        <f t="shared" si="367"/>
        <v>3096.9</v>
      </c>
      <c r="AH82" s="62">
        <f t="shared" si="367"/>
        <v>5967</v>
      </c>
      <c r="AI82" s="62">
        <f t="shared" si="367"/>
        <v>8563.75</v>
      </c>
      <c r="AJ82" s="62">
        <f t="shared" si="367"/>
        <v>10608</v>
      </c>
      <c r="AK82" s="62">
        <f t="shared" si="367"/>
        <v>6851</v>
      </c>
      <c r="AL82" s="62">
        <f t="shared" si="367"/>
        <v>6165.9000000000005</v>
      </c>
      <c r="AM82" s="62">
        <f t="shared" si="367"/>
        <v>10608</v>
      </c>
      <c r="AN82" s="62">
        <f t="shared" si="367"/>
        <v>0</v>
      </c>
      <c r="AO82" s="62">
        <f t="shared" si="367"/>
        <v>2700</v>
      </c>
      <c r="AP82" s="62">
        <f t="shared" si="367"/>
        <v>2790</v>
      </c>
      <c r="AQ82" s="62">
        <f t="shared" si="367"/>
        <v>2790</v>
      </c>
      <c r="AR82" s="62">
        <f t="shared" si="367"/>
        <v>3780</v>
      </c>
      <c r="AS82" s="62">
        <f t="shared" si="367"/>
        <v>4185</v>
      </c>
      <c r="AT82" s="62">
        <f t="shared" si="367"/>
        <v>8370</v>
      </c>
      <c r="AU82" s="62">
        <f t="shared" si="367"/>
        <v>12012.5</v>
      </c>
      <c r="AV82" s="62">
        <f t="shared" si="367"/>
        <v>14880</v>
      </c>
      <c r="AW82" s="62">
        <f t="shared" si="367"/>
        <v>9610</v>
      </c>
      <c r="AX82" s="62">
        <f t="shared" si="367"/>
        <v>8649</v>
      </c>
      <c r="AY82" s="62">
        <f t="shared" si="367"/>
        <v>14880</v>
      </c>
      <c r="AZ82" s="62">
        <f t="shared" si="367"/>
        <v>2876.7999999999997</v>
      </c>
      <c r="BA82" s="62">
        <f t="shared" si="367"/>
        <v>2880</v>
      </c>
      <c r="BB82" s="62">
        <f t="shared" si="367"/>
        <v>2976</v>
      </c>
      <c r="BC82" s="62">
        <f t="shared" si="367"/>
        <v>2976</v>
      </c>
      <c r="BD82" s="62">
        <f t="shared" si="367"/>
        <v>4032</v>
      </c>
      <c r="BE82" s="62">
        <f t="shared" si="367"/>
        <v>4464</v>
      </c>
      <c r="BF82" s="62">
        <f t="shared" si="367"/>
        <v>8640</v>
      </c>
      <c r="BG82" s="62">
        <f t="shared" si="367"/>
        <v>12400</v>
      </c>
      <c r="BH82" s="62">
        <f t="shared" si="367"/>
        <v>15360</v>
      </c>
      <c r="BI82" s="62">
        <f t="shared" si="367"/>
        <v>9920</v>
      </c>
      <c r="BJ82" s="62">
        <f t="shared" si="367"/>
        <v>8928</v>
      </c>
    </row>
    <row r="83" spans="2:62" outlineLevel="1">
      <c r="B83" t="s">
        <v>243</v>
      </c>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row>
    <row r="84" spans="2:62" outlineLevel="1">
      <c r="B84" t="s">
        <v>244</v>
      </c>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row>
    <row r="85" spans="2:62" outlineLevel="1">
      <c r="B85" t="s">
        <v>424</v>
      </c>
      <c r="C85" s="62">
        <f t="shared" ref="C85:AH85" si="368">C66</f>
        <v>0</v>
      </c>
      <c r="D85" s="62">
        <f t="shared" si="368"/>
        <v>0</v>
      </c>
      <c r="E85" s="62">
        <f t="shared" si="368"/>
        <v>0</v>
      </c>
      <c r="F85" s="62">
        <f t="shared" si="368"/>
        <v>0</v>
      </c>
      <c r="G85" s="62">
        <f t="shared" si="368"/>
        <v>0</v>
      </c>
      <c r="H85" s="62">
        <f t="shared" si="368"/>
        <v>0</v>
      </c>
      <c r="I85" s="62">
        <f t="shared" si="368"/>
        <v>148.80000000000001</v>
      </c>
      <c r="J85" s="62">
        <f t="shared" si="368"/>
        <v>192</v>
      </c>
      <c r="K85" s="62">
        <f t="shared" si="368"/>
        <v>0</v>
      </c>
      <c r="L85" s="62">
        <f t="shared" si="368"/>
        <v>0</v>
      </c>
      <c r="M85" s="62">
        <f t="shared" si="368"/>
        <v>0</v>
      </c>
      <c r="N85" s="62">
        <f t="shared" si="368"/>
        <v>0</v>
      </c>
      <c r="O85" s="62">
        <f t="shared" si="368"/>
        <v>90</v>
      </c>
      <c r="P85" s="62">
        <f t="shared" si="368"/>
        <v>0</v>
      </c>
      <c r="Q85" s="62">
        <f t="shared" si="368"/>
        <v>0</v>
      </c>
      <c r="R85" s="62">
        <f t="shared" si="368"/>
        <v>0</v>
      </c>
      <c r="S85" s="62">
        <f t="shared" si="368"/>
        <v>0</v>
      </c>
      <c r="T85" s="62">
        <f t="shared" si="368"/>
        <v>0</v>
      </c>
      <c r="U85" s="62">
        <f t="shared" si="368"/>
        <v>313.10000000000002</v>
      </c>
      <c r="V85" s="62">
        <f t="shared" si="368"/>
        <v>564</v>
      </c>
      <c r="W85" s="62">
        <f t="shared" si="368"/>
        <v>0</v>
      </c>
      <c r="X85" s="62">
        <f t="shared" si="368"/>
        <v>0</v>
      </c>
      <c r="Y85" s="62">
        <f t="shared" si="368"/>
        <v>0</v>
      </c>
      <c r="Z85" s="62">
        <f t="shared" si="368"/>
        <v>0</v>
      </c>
      <c r="AA85" s="62">
        <f t="shared" si="368"/>
        <v>465</v>
      </c>
      <c r="AB85" s="62">
        <f t="shared" si="368"/>
        <v>297.59999999999997</v>
      </c>
      <c r="AC85" s="62">
        <f t="shared" si="368"/>
        <v>0</v>
      </c>
      <c r="AD85" s="62">
        <f t="shared" si="368"/>
        <v>0</v>
      </c>
      <c r="AE85" s="62">
        <f t="shared" si="368"/>
        <v>0</v>
      </c>
      <c r="AF85" s="62">
        <f t="shared" si="368"/>
        <v>0</v>
      </c>
      <c r="AG85" s="62">
        <f t="shared" si="368"/>
        <v>0</v>
      </c>
      <c r="AH85" s="62">
        <f t="shared" si="368"/>
        <v>278.39999999999998</v>
      </c>
      <c r="AI85" s="62">
        <f t="shared" ref="AI85:BJ85" si="369">AI66</f>
        <v>-14.879999999999999</v>
      </c>
      <c r="AJ85" s="62">
        <f t="shared" si="369"/>
        <v>0</v>
      </c>
      <c r="AK85" s="62">
        <f t="shared" si="369"/>
        <v>0</v>
      </c>
      <c r="AL85" s="62">
        <f t="shared" si="369"/>
        <v>0</v>
      </c>
      <c r="AM85" s="62">
        <f t="shared" si="369"/>
        <v>338.4</v>
      </c>
      <c r="AN85" s="62">
        <f t="shared" si="369"/>
        <v>226.92</v>
      </c>
      <c r="AO85" s="62">
        <f t="shared" si="369"/>
        <v>0</v>
      </c>
      <c r="AP85" s="62">
        <f t="shared" si="369"/>
        <v>0</v>
      </c>
      <c r="AQ85" s="62">
        <f t="shared" si="369"/>
        <v>0</v>
      </c>
      <c r="AR85" s="62">
        <f t="shared" si="369"/>
        <v>0</v>
      </c>
      <c r="AS85" s="62">
        <f t="shared" si="369"/>
        <v>349.68</v>
      </c>
      <c r="AT85" s="62">
        <f t="shared" si="369"/>
        <v>219.6</v>
      </c>
      <c r="AU85" s="62">
        <f t="shared" si="369"/>
        <v>0</v>
      </c>
      <c r="AV85" s="62">
        <f t="shared" si="369"/>
        <v>0</v>
      </c>
      <c r="AW85" s="62">
        <f t="shared" si="369"/>
        <v>0</v>
      </c>
      <c r="AX85" s="62">
        <f t="shared" si="369"/>
        <v>0</v>
      </c>
      <c r="AY85" s="62">
        <f t="shared" si="369"/>
        <v>338.4</v>
      </c>
      <c r="AZ85" s="62">
        <f t="shared" si="369"/>
        <v>226.92</v>
      </c>
      <c r="BA85" s="62">
        <f t="shared" si="369"/>
        <v>0</v>
      </c>
      <c r="BB85" s="62">
        <f t="shared" si="369"/>
        <v>0</v>
      </c>
      <c r="BC85" s="62">
        <f t="shared" si="369"/>
        <v>0</v>
      </c>
      <c r="BD85" s="62">
        <f t="shared" si="369"/>
        <v>0</v>
      </c>
      <c r="BE85" s="62">
        <f t="shared" si="369"/>
        <v>349.68</v>
      </c>
      <c r="BF85" s="62">
        <f t="shared" si="369"/>
        <v>219.6</v>
      </c>
      <c r="BG85" s="62">
        <f t="shared" si="369"/>
        <v>0</v>
      </c>
      <c r="BH85" s="62">
        <f t="shared" si="369"/>
        <v>0</v>
      </c>
      <c r="BI85" s="62">
        <f t="shared" si="369"/>
        <v>0</v>
      </c>
      <c r="BJ85" s="62">
        <f t="shared" si="369"/>
        <v>0</v>
      </c>
    </row>
    <row r="86" spans="2:62" outlineLevel="1">
      <c r="B86" t="s">
        <v>389</v>
      </c>
      <c r="C86" s="62">
        <f>C69</f>
        <v>0</v>
      </c>
      <c r="D86" s="62">
        <f t="shared" ref="D86:BJ86" si="370">D69</f>
        <v>0</v>
      </c>
      <c r="E86" s="62">
        <f t="shared" si="370"/>
        <v>0</v>
      </c>
      <c r="F86" s="62">
        <f t="shared" si="370"/>
        <v>0</v>
      </c>
      <c r="G86" s="62">
        <f t="shared" si="370"/>
        <v>0</v>
      </c>
      <c r="H86" s="62">
        <f t="shared" si="370"/>
        <v>0</v>
      </c>
      <c r="I86" s="62">
        <f t="shared" si="370"/>
        <v>0</v>
      </c>
      <c r="J86" s="62">
        <f t="shared" si="370"/>
        <v>1152.0000000000002</v>
      </c>
      <c r="K86" s="62">
        <f t="shared" si="370"/>
        <v>1413.6</v>
      </c>
      <c r="L86" s="62">
        <f t="shared" si="370"/>
        <v>1367.9999999999998</v>
      </c>
      <c r="M86" s="62">
        <f t="shared" si="370"/>
        <v>1914.25</v>
      </c>
      <c r="N86" s="62">
        <f t="shared" si="370"/>
        <v>1914.25</v>
      </c>
      <c r="O86" s="62">
        <f t="shared" si="370"/>
        <v>1852.5</v>
      </c>
      <c r="P86" s="62">
        <f t="shared" si="370"/>
        <v>2797.75</v>
      </c>
      <c r="Q86" s="62">
        <f t="shared" si="370"/>
        <v>2707.5</v>
      </c>
      <c r="R86" s="62">
        <f t="shared" si="370"/>
        <v>2797.75</v>
      </c>
      <c r="S86" s="62">
        <f t="shared" si="370"/>
        <v>883.5</v>
      </c>
      <c r="T86" s="62">
        <f t="shared" si="370"/>
        <v>327.60000000000002</v>
      </c>
      <c r="U86" s="62">
        <f t="shared" si="370"/>
        <v>477.4</v>
      </c>
      <c r="V86" s="62">
        <f t="shared" si="370"/>
        <v>561</v>
      </c>
      <c r="W86" s="62">
        <f t="shared" si="370"/>
        <v>3298.3999999999996</v>
      </c>
      <c r="X86" s="62">
        <f t="shared" si="370"/>
        <v>3483.0000000000005</v>
      </c>
      <c r="Y86" s="62">
        <f t="shared" si="370"/>
        <v>5766</v>
      </c>
      <c r="Z86" s="62">
        <f t="shared" si="370"/>
        <v>7299.2599999999993</v>
      </c>
      <c r="AA86" s="62">
        <f t="shared" si="370"/>
        <v>3210</v>
      </c>
      <c r="AB86" s="62">
        <f t="shared" si="370"/>
        <v>2582.2999999999997</v>
      </c>
      <c r="AC86" s="62">
        <f t="shared" si="370"/>
        <v>3748.5</v>
      </c>
      <c r="AD86" s="62">
        <f t="shared" si="370"/>
        <v>5385.94</v>
      </c>
      <c r="AE86" s="62">
        <f t="shared" si="370"/>
        <v>5929.06</v>
      </c>
      <c r="AF86" s="62">
        <f t="shared" si="370"/>
        <v>3578.4</v>
      </c>
      <c r="AG86" s="62">
        <f t="shared" si="370"/>
        <v>2387</v>
      </c>
      <c r="AH86" s="62">
        <f t="shared" si="370"/>
        <v>0</v>
      </c>
      <c r="AI86" s="62">
        <f t="shared" si="370"/>
        <v>3975.75</v>
      </c>
      <c r="AJ86" s="62">
        <f t="shared" si="370"/>
        <v>4005</v>
      </c>
      <c r="AK86" s="62">
        <f t="shared" si="370"/>
        <v>4975.5</v>
      </c>
      <c r="AL86" s="62">
        <f t="shared" si="370"/>
        <v>8974.5</v>
      </c>
      <c r="AM86" s="62">
        <f t="shared" si="370"/>
        <v>4500</v>
      </c>
      <c r="AN86" s="62">
        <f t="shared" si="370"/>
        <v>4991</v>
      </c>
      <c r="AO86" s="62">
        <f t="shared" si="370"/>
        <v>4080</v>
      </c>
      <c r="AP86" s="62">
        <f t="shared" si="370"/>
        <v>4513.5999999999995</v>
      </c>
      <c r="AQ86" s="62">
        <f t="shared" si="370"/>
        <v>5108.8</v>
      </c>
      <c r="AR86" s="62">
        <f t="shared" si="370"/>
        <v>4032</v>
      </c>
      <c r="AS86" s="62">
        <f t="shared" si="370"/>
        <v>3472</v>
      </c>
      <c r="AT86" s="62">
        <f t="shared" si="370"/>
        <v>2040</v>
      </c>
      <c r="AU86" s="62">
        <f t="shared" si="370"/>
        <v>4712</v>
      </c>
      <c r="AV86" s="62">
        <f t="shared" si="370"/>
        <v>4320</v>
      </c>
      <c r="AW86" s="62">
        <f t="shared" si="370"/>
        <v>7440</v>
      </c>
      <c r="AX86" s="62">
        <f t="shared" si="370"/>
        <v>7440</v>
      </c>
      <c r="AY86" s="62">
        <f t="shared" si="370"/>
        <v>4800</v>
      </c>
      <c r="AZ86" s="62">
        <f t="shared" si="370"/>
        <v>1736</v>
      </c>
      <c r="BA86" s="62">
        <f t="shared" si="370"/>
        <v>4080</v>
      </c>
      <c r="BB86" s="62">
        <f t="shared" si="370"/>
        <v>4513.5999999999995</v>
      </c>
      <c r="BC86" s="62">
        <f t="shared" si="370"/>
        <v>5108.8</v>
      </c>
      <c r="BD86" s="62">
        <f t="shared" si="370"/>
        <v>4032</v>
      </c>
      <c r="BE86" s="62">
        <f t="shared" si="370"/>
        <v>3472</v>
      </c>
      <c r="BF86" s="62">
        <f t="shared" si="370"/>
        <v>2040</v>
      </c>
      <c r="BG86" s="62">
        <f t="shared" si="370"/>
        <v>4712</v>
      </c>
      <c r="BH86" s="62">
        <f t="shared" si="370"/>
        <v>4320</v>
      </c>
      <c r="BI86" s="62">
        <f t="shared" si="370"/>
        <v>7440</v>
      </c>
      <c r="BJ86" s="62">
        <f t="shared" si="370"/>
        <v>7440</v>
      </c>
    </row>
    <row r="87" spans="2:62" outlineLevel="1">
      <c r="B87" t="s">
        <v>245</v>
      </c>
      <c r="C87" s="62">
        <f t="shared" ref="C87:AH87" si="371">C78</f>
        <v>0</v>
      </c>
      <c r="D87" s="62">
        <f t="shared" si="371"/>
        <v>0</v>
      </c>
      <c r="E87" s="62">
        <f t="shared" si="371"/>
        <v>14040</v>
      </c>
      <c r="F87" s="62">
        <f t="shared" si="371"/>
        <v>10881</v>
      </c>
      <c r="G87" s="62">
        <f t="shared" si="371"/>
        <v>4352.4000000000005</v>
      </c>
      <c r="H87" s="62">
        <f t="shared" si="371"/>
        <v>2604</v>
      </c>
      <c r="I87" s="62">
        <f t="shared" si="371"/>
        <v>0</v>
      </c>
      <c r="J87" s="62">
        <f t="shared" si="371"/>
        <v>0</v>
      </c>
      <c r="K87" s="62">
        <f t="shared" si="371"/>
        <v>0</v>
      </c>
      <c r="L87" s="62">
        <f t="shared" si="371"/>
        <v>0</v>
      </c>
      <c r="M87" s="62">
        <f t="shared" si="371"/>
        <v>0</v>
      </c>
      <c r="N87" s="62">
        <f t="shared" si="371"/>
        <v>0</v>
      </c>
      <c r="O87" s="62">
        <f t="shared" si="371"/>
        <v>0</v>
      </c>
      <c r="P87" s="62">
        <f t="shared" si="371"/>
        <v>7440</v>
      </c>
      <c r="Q87" s="62">
        <f t="shared" si="371"/>
        <v>9412.5</v>
      </c>
      <c r="R87" s="62">
        <f t="shared" si="371"/>
        <v>21008.7</v>
      </c>
      <c r="S87" s="62">
        <f t="shared" si="371"/>
        <v>24367.550000000003</v>
      </c>
      <c r="T87" s="62">
        <f t="shared" si="371"/>
        <v>5751.2</v>
      </c>
      <c r="U87" s="62">
        <f t="shared" si="371"/>
        <v>367.35</v>
      </c>
      <c r="V87" s="62">
        <f t="shared" si="371"/>
        <v>0</v>
      </c>
      <c r="W87" s="62">
        <f t="shared" si="371"/>
        <v>0</v>
      </c>
      <c r="X87" s="62">
        <f t="shared" si="371"/>
        <v>0</v>
      </c>
      <c r="Y87" s="62">
        <f t="shared" si="371"/>
        <v>0</v>
      </c>
      <c r="Z87" s="62">
        <f t="shared" si="371"/>
        <v>0</v>
      </c>
      <c r="AA87" s="62">
        <f t="shared" si="371"/>
        <v>0</v>
      </c>
      <c r="AB87" s="62">
        <f t="shared" si="371"/>
        <v>15925.630000000001</v>
      </c>
      <c r="AC87" s="62">
        <f t="shared" si="371"/>
        <v>24280.199999999997</v>
      </c>
      <c r="AD87" s="62">
        <f t="shared" si="371"/>
        <v>11388.16</v>
      </c>
      <c r="AE87" s="62">
        <f t="shared" si="371"/>
        <v>13345.5</v>
      </c>
      <c r="AF87" s="62">
        <f t="shared" si="371"/>
        <v>19880</v>
      </c>
      <c r="AG87" s="62">
        <f t="shared" si="371"/>
        <v>0</v>
      </c>
      <c r="AH87" s="62">
        <f t="shared" si="371"/>
        <v>0</v>
      </c>
      <c r="AI87" s="62">
        <f t="shared" ref="AI87:BJ87" si="372">AI78</f>
        <v>0</v>
      </c>
      <c r="AJ87" s="62">
        <f t="shared" si="372"/>
        <v>0</v>
      </c>
      <c r="AK87" s="62">
        <f t="shared" si="372"/>
        <v>0</v>
      </c>
      <c r="AL87" s="62">
        <f t="shared" si="372"/>
        <v>0</v>
      </c>
      <c r="AM87" s="62">
        <f t="shared" si="372"/>
        <v>0</v>
      </c>
      <c r="AN87" s="62">
        <f t="shared" si="372"/>
        <v>16795.800000000003</v>
      </c>
      <c r="AO87" s="62">
        <f t="shared" si="372"/>
        <v>25284</v>
      </c>
      <c r="AP87" s="62">
        <f t="shared" si="372"/>
        <v>12130.300000000001</v>
      </c>
      <c r="AQ87" s="62">
        <f t="shared" si="372"/>
        <v>13996.5</v>
      </c>
      <c r="AR87" s="62">
        <f t="shared" si="372"/>
        <v>42140</v>
      </c>
      <c r="AS87" s="62">
        <f t="shared" si="372"/>
        <v>0</v>
      </c>
      <c r="AT87" s="62">
        <f t="shared" si="372"/>
        <v>0</v>
      </c>
      <c r="AU87" s="62">
        <f t="shared" si="372"/>
        <v>0</v>
      </c>
      <c r="AV87" s="62">
        <f t="shared" si="372"/>
        <v>0</v>
      </c>
      <c r="AW87" s="62">
        <f t="shared" si="372"/>
        <v>0</v>
      </c>
      <c r="AX87" s="62">
        <f t="shared" si="372"/>
        <v>0</v>
      </c>
      <c r="AY87" s="62">
        <f t="shared" si="372"/>
        <v>0</v>
      </c>
      <c r="AZ87" s="62">
        <f t="shared" si="372"/>
        <v>17298</v>
      </c>
      <c r="BA87" s="62">
        <f t="shared" si="372"/>
        <v>26040</v>
      </c>
      <c r="BB87" s="62">
        <f t="shared" si="372"/>
        <v>12493</v>
      </c>
      <c r="BC87" s="62">
        <f t="shared" si="372"/>
        <v>14415</v>
      </c>
      <c r="BD87" s="62">
        <f t="shared" si="372"/>
        <v>43400</v>
      </c>
      <c r="BE87" s="62">
        <f t="shared" si="372"/>
        <v>0</v>
      </c>
      <c r="BF87" s="62">
        <f t="shared" si="372"/>
        <v>0</v>
      </c>
      <c r="BG87" s="62">
        <f t="shared" si="372"/>
        <v>0</v>
      </c>
      <c r="BH87" s="62">
        <f t="shared" si="372"/>
        <v>0</v>
      </c>
      <c r="BI87" s="62">
        <f t="shared" si="372"/>
        <v>0</v>
      </c>
      <c r="BJ87" s="62">
        <f t="shared" si="372"/>
        <v>0</v>
      </c>
    </row>
    <row r="88" spans="2:62" outlineLevel="1"/>
    <row r="89" spans="2:62" outlineLevel="1"/>
    <row r="90" spans="2:62">
      <c r="B90" s="54" t="s">
        <v>246</v>
      </c>
    </row>
    <row r="91" spans="2:62" outlineLevel="1">
      <c r="B91" t="s">
        <v>247</v>
      </c>
      <c r="C91" s="56">
        <v>172</v>
      </c>
      <c r="D91">
        <f>+C98</f>
        <v>172</v>
      </c>
      <c r="E91">
        <f t="shared" ref="E91:AX91" si="373">+D98</f>
        <v>172</v>
      </c>
      <c r="F91">
        <f t="shared" si="373"/>
        <v>171</v>
      </c>
      <c r="G91">
        <f t="shared" si="373"/>
        <v>177</v>
      </c>
      <c r="H91">
        <f t="shared" si="373"/>
        <v>177</v>
      </c>
      <c r="I91">
        <f t="shared" si="373"/>
        <v>177</v>
      </c>
      <c r="J91">
        <f t="shared" si="373"/>
        <v>177</v>
      </c>
      <c r="K91">
        <f t="shared" si="373"/>
        <v>174</v>
      </c>
      <c r="L91">
        <f t="shared" si="373"/>
        <v>174</v>
      </c>
      <c r="M91">
        <f t="shared" si="373"/>
        <v>174</v>
      </c>
      <c r="N91">
        <f t="shared" si="373"/>
        <v>174</v>
      </c>
      <c r="O91">
        <f t="shared" si="373"/>
        <v>178</v>
      </c>
      <c r="P91">
        <f t="shared" si="373"/>
        <v>177</v>
      </c>
      <c r="Q91">
        <f t="shared" si="373"/>
        <v>176</v>
      </c>
      <c r="R91">
        <f t="shared" si="373"/>
        <v>172</v>
      </c>
      <c r="S91">
        <f>+R98</f>
        <v>169</v>
      </c>
      <c r="T91">
        <f t="shared" si="373"/>
        <v>168</v>
      </c>
      <c r="U91">
        <f t="shared" si="373"/>
        <v>167</v>
      </c>
      <c r="V91">
        <f t="shared" si="373"/>
        <v>167</v>
      </c>
      <c r="W91">
        <f t="shared" si="373"/>
        <v>165</v>
      </c>
      <c r="X91">
        <f t="shared" si="373"/>
        <v>165</v>
      </c>
      <c r="Y91">
        <f t="shared" si="373"/>
        <v>165</v>
      </c>
      <c r="Z91">
        <f t="shared" si="373"/>
        <v>164</v>
      </c>
      <c r="AA91">
        <f t="shared" si="373"/>
        <v>164</v>
      </c>
      <c r="AB91">
        <f>+AA98</f>
        <v>164</v>
      </c>
      <c r="AC91">
        <f t="shared" si="373"/>
        <v>163</v>
      </c>
      <c r="AD91">
        <f t="shared" si="373"/>
        <v>163</v>
      </c>
      <c r="AE91">
        <f t="shared" si="373"/>
        <v>160</v>
      </c>
      <c r="AF91">
        <f t="shared" si="373"/>
        <v>158</v>
      </c>
      <c r="AG91">
        <f t="shared" si="373"/>
        <v>158</v>
      </c>
      <c r="AH91">
        <f t="shared" si="373"/>
        <v>157</v>
      </c>
      <c r="AI91">
        <f t="shared" si="373"/>
        <v>156</v>
      </c>
      <c r="AJ91">
        <f t="shared" si="373"/>
        <v>164</v>
      </c>
      <c r="AK91">
        <f t="shared" si="373"/>
        <v>171</v>
      </c>
      <c r="AL91">
        <f t="shared" si="373"/>
        <v>182</v>
      </c>
      <c r="AM91">
        <f t="shared" si="373"/>
        <v>196</v>
      </c>
      <c r="AN91">
        <f t="shared" si="373"/>
        <v>196</v>
      </c>
      <c r="AO91">
        <f t="shared" si="373"/>
        <v>196</v>
      </c>
      <c r="AP91">
        <f t="shared" si="373"/>
        <v>214</v>
      </c>
      <c r="AQ91">
        <f t="shared" si="373"/>
        <v>217</v>
      </c>
      <c r="AR91">
        <f t="shared" si="373"/>
        <v>217</v>
      </c>
      <c r="AS91">
        <f t="shared" si="373"/>
        <v>221</v>
      </c>
      <c r="AT91">
        <f t="shared" si="373"/>
        <v>228</v>
      </c>
      <c r="AU91">
        <f t="shared" si="373"/>
        <v>234</v>
      </c>
      <c r="AV91">
        <f t="shared" si="373"/>
        <v>240</v>
      </c>
      <c r="AW91">
        <f t="shared" si="373"/>
        <v>240</v>
      </c>
      <c r="AX91">
        <f t="shared" si="373"/>
        <v>240</v>
      </c>
      <c r="AY91">
        <f t="shared" ref="AY91:BJ91" si="374">+AX98</f>
        <v>246</v>
      </c>
      <c r="AZ91">
        <f t="shared" si="374"/>
        <v>251</v>
      </c>
      <c r="BA91">
        <f t="shared" si="374"/>
        <v>266</v>
      </c>
      <c r="BB91">
        <f t="shared" si="374"/>
        <v>269</v>
      </c>
      <c r="BC91">
        <f t="shared" si="374"/>
        <v>269</v>
      </c>
      <c r="BD91">
        <f t="shared" si="374"/>
        <v>269</v>
      </c>
      <c r="BE91">
        <f t="shared" si="374"/>
        <v>269</v>
      </c>
      <c r="BF91">
        <f t="shared" si="374"/>
        <v>269</v>
      </c>
      <c r="BG91">
        <f t="shared" si="374"/>
        <v>269</v>
      </c>
      <c r="BH91">
        <f t="shared" si="374"/>
        <v>269</v>
      </c>
      <c r="BI91">
        <f t="shared" si="374"/>
        <v>269</v>
      </c>
      <c r="BJ91">
        <f t="shared" si="374"/>
        <v>269</v>
      </c>
    </row>
    <row r="92" spans="2:62" outlineLevel="1">
      <c r="B92" t="s">
        <v>248</v>
      </c>
      <c r="C92">
        <f>SUM(C93:C94)</f>
        <v>0</v>
      </c>
      <c r="D92">
        <f>SUM(D93:D94)</f>
        <v>0</v>
      </c>
      <c r="E92">
        <f t="shared" ref="E92:AX92" si="375">SUM(E93:E94)</f>
        <v>0</v>
      </c>
      <c r="F92">
        <f t="shared" si="375"/>
        <v>6</v>
      </c>
      <c r="G92">
        <f t="shared" si="375"/>
        <v>0</v>
      </c>
      <c r="H92">
        <f t="shared" si="375"/>
        <v>0</v>
      </c>
      <c r="I92">
        <f t="shared" si="375"/>
        <v>0</v>
      </c>
      <c r="J92">
        <f t="shared" si="375"/>
        <v>0</v>
      </c>
      <c r="K92">
        <f t="shared" si="375"/>
        <v>0</v>
      </c>
      <c r="L92">
        <f t="shared" si="375"/>
        <v>0</v>
      </c>
      <c r="M92">
        <f t="shared" si="375"/>
        <v>0</v>
      </c>
      <c r="N92">
        <f t="shared" si="375"/>
        <v>4</v>
      </c>
      <c r="O92">
        <f t="shared" si="375"/>
        <v>0</v>
      </c>
      <c r="P92">
        <f t="shared" si="375"/>
        <v>0</v>
      </c>
      <c r="Q92">
        <f t="shared" si="375"/>
        <v>0</v>
      </c>
      <c r="R92">
        <f t="shared" si="375"/>
        <v>0</v>
      </c>
      <c r="S92">
        <f t="shared" si="375"/>
        <v>0</v>
      </c>
      <c r="T92">
        <f t="shared" si="375"/>
        <v>0</v>
      </c>
      <c r="U92">
        <f t="shared" si="375"/>
        <v>0</v>
      </c>
      <c r="V92">
        <f t="shared" si="375"/>
        <v>0</v>
      </c>
      <c r="W92">
        <f t="shared" si="375"/>
        <v>0</v>
      </c>
      <c r="X92">
        <f t="shared" si="375"/>
        <v>0</v>
      </c>
      <c r="Y92">
        <f t="shared" si="375"/>
        <v>0</v>
      </c>
      <c r="Z92">
        <f t="shared" si="375"/>
        <v>0</v>
      </c>
      <c r="AA92">
        <f t="shared" si="375"/>
        <v>0</v>
      </c>
      <c r="AB92">
        <f t="shared" si="375"/>
        <v>0</v>
      </c>
      <c r="AC92">
        <f t="shared" si="375"/>
        <v>0</v>
      </c>
      <c r="AD92">
        <f t="shared" si="375"/>
        <v>0</v>
      </c>
      <c r="AE92">
        <f t="shared" si="375"/>
        <v>0</v>
      </c>
      <c r="AF92">
        <f t="shared" si="375"/>
        <v>0</v>
      </c>
      <c r="AG92">
        <f t="shared" si="375"/>
        <v>0</v>
      </c>
      <c r="AH92">
        <f t="shared" si="375"/>
        <v>0</v>
      </c>
      <c r="AI92">
        <f t="shared" si="375"/>
        <v>9</v>
      </c>
      <c r="AJ92">
        <f t="shared" si="375"/>
        <v>7</v>
      </c>
      <c r="AK92">
        <f t="shared" si="375"/>
        <v>11</v>
      </c>
      <c r="AL92">
        <f t="shared" si="375"/>
        <v>14</v>
      </c>
      <c r="AM92">
        <f t="shared" si="375"/>
        <v>0</v>
      </c>
      <c r="AN92">
        <f t="shared" si="375"/>
        <v>0</v>
      </c>
      <c r="AO92">
        <f t="shared" si="375"/>
        <v>18</v>
      </c>
      <c r="AP92">
        <f t="shared" si="375"/>
        <v>3</v>
      </c>
      <c r="AQ92">
        <f t="shared" si="375"/>
        <v>0</v>
      </c>
      <c r="AR92">
        <f t="shared" si="375"/>
        <v>4</v>
      </c>
      <c r="AS92">
        <f t="shared" si="375"/>
        <v>7</v>
      </c>
      <c r="AT92">
        <f t="shared" si="375"/>
        <v>6</v>
      </c>
      <c r="AU92">
        <f t="shared" si="375"/>
        <v>6</v>
      </c>
      <c r="AV92">
        <f t="shared" si="375"/>
        <v>0</v>
      </c>
      <c r="AW92">
        <f t="shared" si="375"/>
        <v>0</v>
      </c>
      <c r="AX92">
        <f t="shared" si="375"/>
        <v>6</v>
      </c>
      <c r="AY92">
        <f t="shared" ref="AY92:BJ92" si="376">SUM(AY93:AY94)</f>
        <v>5</v>
      </c>
      <c r="AZ92">
        <f t="shared" si="376"/>
        <v>15</v>
      </c>
      <c r="BA92">
        <f t="shared" si="376"/>
        <v>3</v>
      </c>
      <c r="BB92">
        <f t="shared" si="376"/>
        <v>0</v>
      </c>
      <c r="BC92">
        <f t="shared" si="376"/>
        <v>0</v>
      </c>
      <c r="BD92">
        <f t="shared" si="376"/>
        <v>0</v>
      </c>
      <c r="BE92">
        <f t="shared" si="376"/>
        <v>0</v>
      </c>
      <c r="BF92">
        <f t="shared" si="376"/>
        <v>0</v>
      </c>
      <c r="BG92">
        <f t="shared" si="376"/>
        <v>0</v>
      </c>
      <c r="BH92">
        <f t="shared" si="376"/>
        <v>0</v>
      </c>
      <c r="BI92">
        <f t="shared" si="376"/>
        <v>0</v>
      </c>
      <c r="BJ92">
        <f t="shared" si="376"/>
        <v>0</v>
      </c>
    </row>
    <row r="93" spans="2:62" outlineLevel="1">
      <c r="B93" s="66" t="s">
        <v>249</v>
      </c>
      <c r="C93" s="67"/>
      <c r="D93" s="67"/>
      <c r="E93" s="67"/>
      <c r="F93" s="67"/>
      <c r="G93" s="67"/>
      <c r="H93" s="67"/>
      <c r="I93" s="67"/>
      <c r="J93" s="67"/>
      <c r="K93" s="67"/>
      <c r="L93" s="67"/>
      <c r="M93" s="67"/>
      <c r="N93" s="126">
        <v>4</v>
      </c>
      <c r="O93" s="67"/>
      <c r="P93" s="67"/>
      <c r="Q93" s="67"/>
      <c r="R93" s="67"/>
      <c r="S93" s="67"/>
      <c r="T93" s="67"/>
      <c r="U93" s="67"/>
      <c r="V93" s="67"/>
      <c r="W93" s="67"/>
      <c r="X93" s="67"/>
      <c r="Y93" s="126"/>
      <c r="Z93" s="126"/>
      <c r="AA93" s="126"/>
      <c r="AB93" s="67"/>
      <c r="AC93" s="67"/>
      <c r="AD93" s="67"/>
      <c r="AE93" s="67"/>
      <c r="AF93" s="67"/>
      <c r="AG93" s="67"/>
      <c r="AH93" s="67"/>
      <c r="AI93" s="67">
        <v>9</v>
      </c>
      <c r="AJ93" s="67">
        <v>7</v>
      </c>
      <c r="AK93" s="67">
        <f>7+4</f>
        <v>11</v>
      </c>
      <c r="AL93" s="67">
        <f>7+7</f>
        <v>14</v>
      </c>
      <c r="AM93" s="67"/>
      <c r="AN93" s="67"/>
      <c r="AO93" s="67">
        <f>13+1+4</f>
        <v>18</v>
      </c>
      <c r="AP93" s="67">
        <f>2+1</f>
        <v>3</v>
      </c>
      <c r="AQ93" s="67"/>
      <c r="AR93" s="67">
        <v>4</v>
      </c>
      <c r="AS93" s="67">
        <v>7</v>
      </c>
      <c r="AT93" s="67">
        <v>6</v>
      </c>
      <c r="AU93" s="67">
        <v>6</v>
      </c>
      <c r="AV93" s="67"/>
      <c r="AW93" s="67"/>
      <c r="AX93" s="67">
        <v>6</v>
      </c>
      <c r="AY93" s="67">
        <v>5</v>
      </c>
      <c r="AZ93" s="67">
        <v>15</v>
      </c>
      <c r="BA93" s="67">
        <v>3</v>
      </c>
      <c r="BB93" s="56"/>
      <c r="BC93" s="67"/>
      <c r="BD93" s="67"/>
      <c r="BE93" s="67"/>
      <c r="BF93" s="67"/>
      <c r="BG93" s="67"/>
      <c r="BH93" s="67"/>
      <c r="BI93" s="67"/>
      <c r="BJ93" s="67"/>
    </row>
    <row r="94" spans="2:62" outlineLevel="1">
      <c r="B94" s="66" t="s">
        <v>250</v>
      </c>
      <c r="C94" s="67"/>
      <c r="D94" s="67"/>
      <c r="E94" s="67"/>
      <c r="F94" s="126">
        <v>6</v>
      </c>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row>
    <row r="95" spans="2:62" outlineLevel="1">
      <c r="B95" t="s">
        <v>251</v>
      </c>
      <c r="C95">
        <f>SUM(C96:C97)</f>
        <v>0</v>
      </c>
      <c r="D95">
        <f>SUM(D96:D97)</f>
        <v>0</v>
      </c>
      <c r="E95">
        <f t="shared" ref="E95:AX95" si="377">SUM(E96:E97)</f>
        <v>-1</v>
      </c>
      <c r="F95">
        <f t="shared" si="377"/>
        <v>0</v>
      </c>
      <c r="G95">
        <f t="shared" si="377"/>
        <v>0</v>
      </c>
      <c r="H95">
        <f t="shared" si="377"/>
        <v>0</v>
      </c>
      <c r="I95">
        <f t="shared" si="377"/>
        <v>0</v>
      </c>
      <c r="J95">
        <f t="shared" si="377"/>
        <v>-3</v>
      </c>
      <c r="K95">
        <f t="shared" si="377"/>
        <v>0</v>
      </c>
      <c r="L95">
        <f t="shared" si="377"/>
        <v>0</v>
      </c>
      <c r="M95">
        <f t="shared" si="377"/>
        <v>0</v>
      </c>
      <c r="N95">
        <f t="shared" si="377"/>
        <v>0</v>
      </c>
      <c r="O95">
        <f t="shared" si="377"/>
        <v>-1</v>
      </c>
      <c r="P95">
        <f t="shared" si="377"/>
        <v>-1</v>
      </c>
      <c r="Q95">
        <f t="shared" si="377"/>
        <v>-4</v>
      </c>
      <c r="R95">
        <f t="shared" si="377"/>
        <v>-3</v>
      </c>
      <c r="S95">
        <f t="shared" si="377"/>
        <v>-1</v>
      </c>
      <c r="T95">
        <f t="shared" si="377"/>
        <v>-1</v>
      </c>
      <c r="U95">
        <f t="shared" si="377"/>
        <v>0</v>
      </c>
      <c r="V95">
        <f t="shared" si="377"/>
        <v>-2</v>
      </c>
      <c r="W95">
        <f t="shared" si="377"/>
        <v>0</v>
      </c>
      <c r="X95">
        <f t="shared" si="377"/>
        <v>0</v>
      </c>
      <c r="Y95">
        <f>SUM(Y96:Y97)</f>
        <v>-1</v>
      </c>
      <c r="Z95">
        <f>SUM(Z96:Z97)</f>
        <v>0</v>
      </c>
      <c r="AA95">
        <f t="shared" si="377"/>
        <v>0</v>
      </c>
      <c r="AB95">
        <f t="shared" si="377"/>
        <v>-1</v>
      </c>
      <c r="AC95">
        <f t="shared" si="377"/>
        <v>0</v>
      </c>
      <c r="AD95">
        <f t="shared" si="377"/>
        <v>-3</v>
      </c>
      <c r="AE95">
        <f t="shared" si="377"/>
        <v>-2</v>
      </c>
      <c r="AF95">
        <f t="shared" si="377"/>
        <v>0</v>
      </c>
      <c r="AG95">
        <f t="shared" si="377"/>
        <v>-1</v>
      </c>
      <c r="AH95">
        <f t="shared" si="377"/>
        <v>-1</v>
      </c>
      <c r="AI95">
        <f t="shared" si="377"/>
        <v>-1</v>
      </c>
      <c r="AJ95">
        <f t="shared" si="377"/>
        <v>0</v>
      </c>
      <c r="AK95">
        <f t="shared" si="377"/>
        <v>0</v>
      </c>
      <c r="AL95">
        <f t="shared" si="377"/>
        <v>0</v>
      </c>
      <c r="AM95">
        <f t="shared" si="377"/>
        <v>0</v>
      </c>
      <c r="AN95">
        <f t="shared" si="377"/>
        <v>0</v>
      </c>
      <c r="AO95">
        <f t="shared" si="377"/>
        <v>0</v>
      </c>
      <c r="AP95">
        <f t="shared" si="377"/>
        <v>0</v>
      </c>
      <c r="AQ95">
        <f t="shared" si="377"/>
        <v>0</v>
      </c>
      <c r="AR95">
        <f t="shared" si="377"/>
        <v>0</v>
      </c>
      <c r="AS95">
        <f t="shared" si="377"/>
        <v>0</v>
      </c>
      <c r="AT95">
        <f t="shared" si="377"/>
        <v>0</v>
      </c>
      <c r="AU95">
        <f t="shared" si="377"/>
        <v>0</v>
      </c>
      <c r="AV95">
        <f t="shared" si="377"/>
        <v>0</v>
      </c>
      <c r="AW95">
        <f t="shared" si="377"/>
        <v>0</v>
      </c>
      <c r="AX95">
        <f t="shared" si="377"/>
        <v>0</v>
      </c>
      <c r="AY95">
        <f t="shared" ref="AY95:BJ95" si="378">SUM(AY96:AY97)</f>
        <v>0</v>
      </c>
      <c r="AZ95">
        <f t="shared" si="378"/>
        <v>0</v>
      </c>
      <c r="BA95">
        <f t="shared" si="378"/>
        <v>0</v>
      </c>
      <c r="BB95">
        <f t="shared" si="378"/>
        <v>0</v>
      </c>
      <c r="BC95">
        <f t="shared" si="378"/>
        <v>0</v>
      </c>
      <c r="BD95">
        <f t="shared" si="378"/>
        <v>0</v>
      </c>
      <c r="BE95">
        <f t="shared" si="378"/>
        <v>0</v>
      </c>
      <c r="BF95">
        <f t="shared" si="378"/>
        <v>0</v>
      </c>
      <c r="BG95">
        <f t="shared" si="378"/>
        <v>0</v>
      </c>
      <c r="BH95">
        <f t="shared" si="378"/>
        <v>0</v>
      </c>
      <c r="BI95">
        <f t="shared" si="378"/>
        <v>0</v>
      </c>
      <c r="BJ95">
        <f t="shared" si="378"/>
        <v>0</v>
      </c>
    </row>
    <row r="96" spans="2:62" outlineLevel="1">
      <c r="B96" s="66" t="s">
        <v>252</v>
      </c>
      <c r="C96" s="67"/>
      <c r="D96" s="67"/>
      <c r="E96" s="126">
        <v>-1</v>
      </c>
      <c r="F96" s="67"/>
      <c r="G96" s="67"/>
      <c r="H96" s="67"/>
      <c r="I96" s="67"/>
      <c r="J96" s="126">
        <f>-2-1</f>
        <v>-3</v>
      </c>
      <c r="K96" s="67"/>
      <c r="L96" s="67"/>
      <c r="M96" s="67"/>
      <c r="N96" s="67"/>
      <c r="O96" s="67"/>
      <c r="P96" s="67"/>
      <c r="Q96" s="126">
        <f>-1-1-1</f>
        <v>-3</v>
      </c>
      <c r="R96" s="126">
        <f>-1-1</f>
        <v>-2</v>
      </c>
      <c r="S96" s="67"/>
      <c r="T96" s="67"/>
      <c r="U96" s="67"/>
      <c r="V96" s="67"/>
      <c r="W96" s="67"/>
      <c r="X96" s="67"/>
      <c r="Y96" s="67"/>
      <c r="Z96" s="67"/>
      <c r="AA96" s="67"/>
      <c r="AB96" s="126">
        <f>-1</f>
        <v>-1</v>
      </c>
      <c r="AC96" s="67"/>
      <c r="AD96" s="126">
        <v>-3</v>
      </c>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row>
    <row r="97" spans="2:62" outlineLevel="1">
      <c r="B97" s="66" t="s">
        <v>253</v>
      </c>
      <c r="C97" s="67">
        <v>0</v>
      </c>
      <c r="D97" s="67"/>
      <c r="E97" s="67"/>
      <c r="F97" s="67"/>
      <c r="G97" s="67"/>
      <c r="H97" s="67"/>
      <c r="I97" s="67"/>
      <c r="J97" s="67"/>
      <c r="K97" s="126"/>
      <c r="L97" s="126"/>
      <c r="M97" s="126"/>
      <c r="N97" s="126"/>
      <c r="O97" s="126">
        <v>-1</v>
      </c>
      <c r="P97" s="126">
        <v>-1</v>
      </c>
      <c r="Q97" s="126">
        <v>-1</v>
      </c>
      <c r="R97" s="126">
        <v>-1</v>
      </c>
      <c r="S97" s="126">
        <v>-1</v>
      </c>
      <c r="T97" s="126">
        <v>-1</v>
      </c>
      <c r="U97" s="126"/>
      <c r="V97" s="126">
        <v>-2</v>
      </c>
      <c r="W97" s="126"/>
      <c r="X97" s="126"/>
      <c r="Y97" s="126">
        <v>-1</v>
      </c>
      <c r="Z97" s="67"/>
      <c r="AA97" s="67"/>
      <c r="AB97" s="67"/>
      <c r="AC97" s="67"/>
      <c r="AD97" s="67"/>
      <c r="AE97" s="126">
        <v>-2</v>
      </c>
      <c r="AF97" s="67"/>
      <c r="AG97" s="126">
        <v>-1</v>
      </c>
      <c r="AH97" s="126">
        <v>-1</v>
      </c>
      <c r="AI97" s="126">
        <v>-1</v>
      </c>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row>
    <row r="98" spans="2:62" outlineLevel="1">
      <c r="B98" s="57" t="s">
        <v>254</v>
      </c>
      <c r="C98" s="517">
        <f>SUM(C91,C92,C95)</f>
        <v>172</v>
      </c>
      <c r="D98" s="517">
        <f>SUM(D91,D92,D95)</f>
        <v>172</v>
      </c>
      <c r="E98" s="517">
        <f t="shared" ref="E98:AX98" si="379">SUM(E91,E92,E95)</f>
        <v>171</v>
      </c>
      <c r="F98" s="517">
        <f t="shared" si="379"/>
        <v>177</v>
      </c>
      <c r="G98" s="517">
        <f t="shared" si="379"/>
        <v>177</v>
      </c>
      <c r="H98" s="517">
        <f t="shared" si="379"/>
        <v>177</v>
      </c>
      <c r="I98" s="517">
        <f t="shared" si="379"/>
        <v>177</v>
      </c>
      <c r="J98" s="517">
        <f t="shared" si="379"/>
        <v>174</v>
      </c>
      <c r="K98" s="517">
        <f t="shared" si="379"/>
        <v>174</v>
      </c>
      <c r="L98" s="517">
        <f t="shared" si="379"/>
        <v>174</v>
      </c>
      <c r="M98" s="517">
        <f t="shared" si="379"/>
        <v>174</v>
      </c>
      <c r="N98" s="517">
        <f t="shared" si="379"/>
        <v>178</v>
      </c>
      <c r="O98" s="517">
        <f t="shared" si="379"/>
        <v>177</v>
      </c>
      <c r="P98" s="517">
        <f t="shared" si="379"/>
        <v>176</v>
      </c>
      <c r="Q98" s="517">
        <f t="shared" si="379"/>
        <v>172</v>
      </c>
      <c r="R98" s="517">
        <f t="shared" si="379"/>
        <v>169</v>
      </c>
      <c r="S98" s="517">
        <f t="shared" si="379"/>
        <v>168</v>
      </c>
      <c r="T98" s="517">
        <f>SUM(T91,T92,T95)</f>
        <v>167</v>
      </c>
      <c r="U98" s="517">
        <f t="shared" si="379"/>
        <v>167</v>
      </c>
      <c r="V98" s="517">
        <f t="shared" si="379"/>
        <v>165</v>
      </c>
      <c r="W98" s="517">
        <f t="shared" si="379"/>
        <v>165</v>
      </c>
      <c r="X98" s="517">
        <f t="shared" si="379"/>
        <v>165</v>
      </c>
      <c r="Y98" s="517">
        <f>SUM(Y91,Y92,Y95)</f>
        <v>164</v>
      </c>
      <c r="Z98" s="517">
        <f>SUM(Z91,Z92,Z95)</f>
        <v>164</v>
      </c>
      <c r="AA98" s="517">
        <f t="shared" si="379"/>
        <v>164</v>
      </c>
      <c r="AB98" s="517">
        <f t="shared" si="379"/>
        <v>163</v>
      </c>
      <c r="AC98" s="517">
        <f t="shared" si="379"/>
        <v>163</v>
      </c>
      <c r="AD98" s="517">
        <f t="shared" si="379"/>
        <v>160</v>
      </c>
      <c r="AE98" s="517">
        <f t="shared" si="379"/>
        <v>158</v>
      </c>
      <c r="AF98" s="57">
        <f t="shared" si="379"/>
        <v>158</v>
      </c>
      <c r="AG98" s="57">
        <f t="shared" si="379"/>
        <v>157</v>
      </c>
      <c r="AH98" s="57">
        <f t="shared" si="379"/>
        <v>156</v>
      </c>
      <c r="AI98" s="57">
        <f t="shared" si="379"/>
        <v>164</v>
      </c>
      <c r="AJ98" s="57">
        <f t="shared" si="379"/>
        <v>171</v>
      </c>
      <c r="AK98" s="57">
        <f t="shared" si="379"/>
        <v>182</v>
      </c>
      <c r="AL98" s="57">
        <f t="shared" si="379"/>
        <v>196</v>
      </c>
      <c r="AM98" s="57">
        <f t="shared" si="379"/>
        <v>196</v>
      </c>
      <c r="AN98" s="57">
        <f t="shared" si="379"/>
        <v>196</v>
      </c>
      <c r="AO98" s="57">
        <f t="shared" si="379"/>
        <v>214</v>
      </c>
      <c r="AP98" s="57">
        <f t="shared" si="379"/>
        <v>217</v>
      </c>
      <c r="AQ98" s="57">
        <f t="shared" si="379"/>
        <v>217</v>
      </c>
      <c r="AR98" s="57">
        <f t="shared" si="379"/>
        <v>221</v>
      </c>
      <c r="AS98" s="57">
        <f t="shared" si="379"/>
        <v>228</v>
      </c>
      <c r="AT98" s="57">
        <f t="shared" si="379"/>
        <v>234</v>
      </c>
      <c r="AU98" s="57">
        <f t="shared" si="379"/>
        <v>240</v>
      </c>
      <c r="AV98" s="57">
        <f t="shared" si="379"/>
        <v>240</v>
      </c>
      <c r="AW98" s="57">
        <f t="shared" si="379"/>
        <v>240</v>
      </c>
      <c r="AX98" s="57">
        <f t="shared" si="379"/>
        <v>246</v>
      </c>
      <c r="AY98" s="57">
        <f t="shared" ref="AY98:BJ98" si="380">SUM(AY91,AY92,AY95)</f>
        <v>251</v>
      </c>
      <c r="AZ98" s="57">
        <f t="shared" si="380"/>
        <v>266</v>
      </c>
      <c r="BA98" s="57">
        <f t="shared" si="380"/>
        <v>269</v>
      </c>
      <c r="BB98" s="57">
        <f t="shared" si="380"/>
        <v>269</v>
      </c>
      <c r="BC98" s="57">
        <f t="shared" si="380"/>
        <v>269</v>
      </c>
      <c r="BD98" s="57">
        <f t="shared" si="380"/>
        <v>269</v>
      </c>
      <c r="BE98" s="57">
        <f t="shared" si="380"/>
        <v>269</v>
      </c>
      <c r="BF98" s="57">
        <f t="shared" si="380"/>
        <v>269</v>
      </c>
      <c r="BG98" s="57">
        <f t="shared" si="380"/>
        <v>269</v>
      </c>
      <c r="BH98" s="57">
        <f t="shared" si="380"/>
        <v>269</v>
      </c>
      <c r="BI98" s="57">
        <f t="shared" si="380"/>
        <v>269</v>
      </c>
      <c r="BJ98" s="57">
        <f t="shared" si="380"/>
        <v>269</v>
      </c>
    </row>
    <row r="99" spans="2:62" outlineLevel="1">
      <c r="B99" s="60" t="s">
        <v>255</v>
      </c>
    </row>
    <row r="100" spans="2:62" outlineLevel="1">
      <c r="B100" t="s">
        <v>256</v>
      </c>
      <c r="C100" s="56">
        <v>11</v>
      </c>
      <c r="D100" s="56">
        <v>13</v>
      </c>
      <c r="E100" s="56">
        <v>13</v>
      </c>
      <c r="F100" s="56">
        <v>13</v>
      </c>
      <c r="G100" s="56">
        <v>13</v>
      </c>
      <c r="H100" s="56">
        <v>10</v>
      </c>
      <c r="I100" s="56">
        <v>10</v>
      </c>
      <c r="J100" s="56">
        <v>10</v>
      </c>
      <c r="K100" s="56">
        <v>10</v>
      </c>
      <c r="L100" s="56">
        <v>10</v>
      </c>
      <c r="M100" s="56">
        <v>10</v>
      </c>
      <c r="N100" s="56">
        <v>10</v>
      </c>
      <c r="O100" s="56">
        <v>10</v>
      </c>
      <c r="P100" s="56">
        <v>9</v>
      </c>
      <c r="Q100" s="56">
        <v>9</v>
      </c>
      <c r="R100" s="56">
        <v>9</v>
      </c>
      <c r="S100" s="56">
        <v>9</v>
      </c>
      <c r="T100" s="56">
        <v>10</v>
      </c>
      <c r="U100" s="56">
        <v>10</v>
      </c>
      <c r="V100" s="56">
        <v>10</v>
      </c>
      <c r="W100" s="56">
        <v>10</v>
      </c>
      <c r="X100" s="56">
        <v>10</v>
      </c>
      <c r="Y100" s="56">
        <v>10</v>
      </c>
      <c r="Z100" s="56">
        <v>10</v>
      </c>
      <c r="AA100" s="56">
        <v>9</v>
      </c>
      <c r="AB100" s="56">
        <v>9</v>
      </c>
      <c r="AC100" s="56">
        <v>9</v>
      </c>
      <c r="AD100" s="56">
        <v>9</v>
      </c>
      <c r="AE100" s="56">
        <v>10</v>
      </c>
      <c r="AF100" s="56">
        <v>10</v>
      </c>
      <c r="AG100" s="56">
        <v>10</v>
      </c>
      <c r="AH100" s="56">
        <v>10</v>
      </c>
      <c r="AI100" s="56">
        <v>10</v>
      </c>
      <c r="AJ100" s="56">
        <v>10</v>
      </c>
      <c r="AK100" s="56">
        <v>10</v>
      </c>
      <c r="AL100" s="56">
        <v>10</v>
      </c>
      <c r="AM100" s="56">
        <v>9</v>
      </c>
      <c r="AN100" s="56">
        <v>9</v>
      </c>
      <c r="AO100" s="56">
        <v>9</v>
      </c>
      <c r="AP100" s="56">
        <v>9</v>
      </c>
      <c r="AQ100" s="56">
        <v>10</v>
      </c>
      <c r="AR100" s="56">
        <v>10</v>
      </c>
      <c r="AS100" s="56">
        <v>10</v>
      </c>
      <c r="AT100" s="56">
        <v>10</v>
      </c>
      <c r="AU100" s="56">
        <v>10</v>
      </c>
      <c r="AV100" s="56">
        <v>10</v>
      </c>
      <c r="AW100" s="56">
        <v>10</v>
      </c>
      <c r="AX100" s="56">
        <v>10</v>
      </c>
      <c r="AY100" s="56">
        <v>9</v>
      </c>
      <c r="AZ100" s="56">
        <v>9</v>
      </c>
      <c r="BA100" s="56">
        <v>9</v>
      </c>
      <c r="BB100" s="56">
        <v>9</v>
      </c>
      <c r="BC100" s="56">
        <v>10</v>
      </c>
      <c r="BD100" s="56">
        <v>10</v>
      </c>
      <c r="BE100" s="56">
        <v>10</v>
      </c>
      <c r="BF100" s="56">
        <v>10</v>
      </c>
      <c r="BG100" s="56">
        <v>10</v>
      </c>
      <c r="BH100" s="56">
        <v>10</v>
      </c>
      <c r="BI100" s="56">
        <v>10</v>
      </c>
      <c r="BJ100" s="56">
        <v>10</v>
      </c>
    </row>
    <row r="101" spans="2:62" outlineLevel="1">
      <c r="B101" s="57" t="s">
        <v>398</v>
      </c>
      <c r="C101" s="68">
        <f t="shared" ref="C101:AH101" si="381">+C100*C98*C3</f>
        <v>56760</v>
      </c>
      <c r="D101" s="68">
        <f t="shared" si="381"/>
        <v>69316</v>
      </c>
      <c r="E101" s="68">
        <f t="shared" si="381"/>
        <v>66690</v>
      </c>
      <c r="F101" s="68">
        <f t="shared" si="381"/>
        <v>71331</v>
      </c>
      <c r="G101" s="68">
        <f t="shared" si="381"/>
        <v>71331</v>
      </c>
      <c r="H101" s="68">
        <f t="shared" si="381"/>
        <v>49560</v>
      </c>
      <c r="I101" s="68">
        <f t="shared" si="381"/>
        <v>54870</v>
      </c>
      <c r="J101" s="68">
        <f t="shared" si="381"/>
        <v>52200</v>
      </c>
      <c r="K101" s="68">
        <f t="shared" si="381"/>
        <v>53940</v>
      </c>
      <c r="L101" s="68">
        <f t="shared" si="381"/>
        <v>52200</v>
      </c>
      <c r="M101" s="68">
        <f t="shared" si="381"/>
        <v>53940</v>
      </c>
      <c r="N101" s="68">
        <f t="shared" si="381"/>
        <v>55180</v>
      </c>
      <c r="O101" s="68">
        <f t="shared" si="381"/>
        <v>53100</v>
      </c>
      <c r="P101" s="68">
        <f t="shared" si="381"/>
        <v>49104</v>
      </c>
      <c r="Q101" s="68">
        <f t="shared" si="381"/>
        <v>46440</v>
      </c>
      <c r="R101" s="68">
        <f t="shared" si="381"/>
        <v>47151</v>
      </c>
      <c r="S101" s="68">
        <f t="shared" si="381"/>
        <v>46872</v>
      </c>
      <c r="T101" s="68">
        <f t="shared" si="381"/>
        <v>46760</v>
      </c>
      <c r="U101" s="68">
        <f t="shared" si="381"/>
        <v>51770</v>
      </c>
      <c r="V101" s="68">
        <f t="shared" si="381"/>
        <v>49500</v>
      </c>
      <c r="W101" s="68">
        <f t="shared" si="381"/>
        <v>51150</v>
      </c>
      <c r="X101" s="68">
        <f t="shared" si="381"/>
        <v>49500</v>
      </c>
      <c r="Y101" s="68">
        <f t="shared" si="381"/>
        <v>50840</v>
      </c>
      <c r="Z101" s="68">
        <f t="shared" si="381"/>
        <v>50840</v>
      </c>
      <c r="AA101" s="68">
        <f t="shared" si="381"/>
        <v>44280</v>
      </c>
      <c r="AB101" s="68">
        <f t="shared" si="381"/>
        <v>45477</v>
      </c>
      <c r="AC101" s="68">
        <f t="shared" si="381"/>
        <v>44010</v>
      </c>
      <c r="AD101" s="68">
        <f t="shared" si="381"/>
        <v>44640</v>
      </c>
      <c r="AE101" s="68">
        <f t="shared" si="381"/>
        <v>48980</v>
      </c>
      <c r="AF101" s="68">
        <f t="shared" si="381"/>
        <v>44240</v>
      </c>
      <c r="AG101" s="68">
        <f t="shared" si="381"/>
        <v>48670</v>
      </c>
      <c r="AH101" s="68">
        <f t="shared" si="381"/>
        <v>46800</v>
      </c>
      <c r="AI101" s="68">
        <f t="shared" ref="AI101:BJ101" si="382">+AI100*AI98*AI3</f>
        <v>50840</v>
      </c>
      <c r="AJ101" s="68">
        <f t="shared" si="382"/>
        <v>51300</v>
      </c>
      <c r="AK101" s="68">
        <f t="shared" si="382"/>
        <v>56420</v>
      </c>
      <c r="AL101" s="68">
        <f t="shared" si="382"/>
        <v>60760</v>
      </c>
      <c r="AM101" s="68">
        <f t="shared" si="382"/>
        <v>52920</v>
      </c>
      <c r="AN101" s="68">
        <f t="shared" si="382"/>
        <v>54684</v>
      </c>
      <c r="AO101" s="68">
        <f t="shared" si="382"/>
        <v>57780</v>
      </c>
      <c r="AP101" s="68">
        <f t="shared" si="382"/>
        <v>60543</v>
      </c>
      <c r="AQ101" s="68">
        <f t="shared" si="382"/>
        <v>67270</v>
      </c>
      <c r="AR101" s="68">
        <f t="shared" si="382"/>
        <v>61880</v>
      </c>
      <c r="AS101" s="68">
        <f t="shared" si="382"/>
        <v>70680</v>
      </c>
      <c r="AT101" s="68">
        <f t="shared" si="382"/>
        <v>70200</v>
      </c>
      <c r="AU101" s="68">
        <f t="shared" si="382"/>
        <v>74400</v>
      </c>
      <c r="AV101" s="68">
        <f t="shared" si="382"/>
        <v>72000</v>
      </c>
      <c r="AW101" s="68">
        <f t="shared" si="382"/>
        <v>74400</v>
      </c>
      <c r="AX101" s="68">
        <f t="shared" si="382"/>
        <v>76260</v>
      </c>
      <c r="AY101" s="68">
        <f t="shared" si="382"/>
        <v>67770</v>
      </c>
      <c r="AZ101" s="68">
        <f t="shared" si="382"/>
        <v>74214</v>
      </c>
      <c r="BA101" s="68">
        <f t="shared" si="382"/>
        <v>72630</v>
      </c>
      <c r="BB101" s="68">
        <f t="shared" si="382"/>
        <v>75051</v>
      </c>
      <c r="BC101" s="68">
        <f t="shared" si="382"/>
        <v>83390</v>
      </c>
      <c r="BD101" s="68">
        <f t="shared" si="382"/>
        <v>75320</v>
      </c>
      <c r="BE101" s="68">
        <f t="shared" si="382"/>
        <v>83390</v>
      </c>
      <c r="BF101" s="68">
        <f t="shared" si="382"/>
        <v>80700</v>
      </c>
      <c r="BG101" s="68">
        <f t="shared" si="382"/>
        <v>83390</v>
      </c>
      <c r="BH101" s="68">
        <f t="shared" si="382"/>
        <v>80700</v>
      </c>
      <c r="BI101" s="68">
        <f t="shared" si="382"/>
        <v>83390</v>
      </c>
      <c r="BJ101" s="68">
        <f t="shared" si="382"/>
        <v>83390</v>
      </c>
    </row>
    <row r="102" spans="2:62" outlineLevel="1">
      <c r="B102" s="60" t="s">
        <v>257</v>
      </c>
      <c r="C102" s="69">
        <f>C107/(C107+C106)</f>
        <v>0.81021897810218979</v>
      </c>
      <c r="D102" s="69">
        <f t="shared" ref="D102:AX102" si="383">D107/(D107+D106)</f>
        <v>0.81021897810218979</v>
      </c>
      <c r="E102" s="69">
        <f t="shared" si="383"/>
        <v>0.68518518518518523</v>
      </c>
      <c r="F102" s="69">
        <f t="shared" si="383"/>
        <v>0.68518518518518523</v>
      </c>
      <c r="G102" s="69">
        <f t="shared" si="383"/>
        <v>0.68518518518518523</v>
      </c>
      <c r="H102" s="69">
        <f t="shared" si="383"/>
        <v>0.68518518518518523</v>
      </c>
      <c r="I102" s="69">
        <f t="shared" si="383"/>
        <v>0.68518518518518523</v>
      </c>
      <c r="J102" s="69">
        <f t="shared" si="383"/>
        <v>0.66867469879518071</v>
      </c>
      <c r="K102" s="459">
        <f t="shared" si="383"/>
        <v>0.83734939759036142</v>
      </c>
      <c r="L102" s="459">
        <f t="shared" si="383"/>
        <v>0.83734939759036142</v>
      </c>
      <c r="M102" s="69">
        <f t="shared" si="383"/>
        <v>0.83734939759036142</v>
      </c>
      <c r="N102" s="69">
        <f>N107/(N107+N106)</f>
        <v>0.83734939759036142</v>
      </c>
      <c r="O102" s="69">
        <f>O107/(O107+O106)</f>
        <v>0.9</v>
      </c>
      <c r="P102" s="69">
        <f t="shared" si="383"/>
        <v>0.89999999999999991</v>
      </c>
      <c r="Q102" s="69">
        <f t="shared" si="383"/>
        <v>0.9</v>
      </c>
      <c r="R102" s="69">
        <f t="shared" si="383"/>
        <v>0.89999999999999991</v>
      </c>
      <c r="S102" s="69">
        <f t="shared" si="383"/>
        <v>0.89999999999999991</v>
      </c>
      <c r="T102" s="69">
        <f t="shared" si="383"/>
        <v>0.9</v>
      </c>
      <c r="U102" s="69">
        <f t="shared" si="383"/>
        <v>0.9</v>
      </c>
      <c r="V102" s="69">
        <f t="shared" si="383"/>
        <v>0.9</v>
      </c>
      <c r="W102" s="69">
        <f t="shared" si="383"/>
        <v>0.9</v>
      </c>
      <c r="X102" s="69">
        <f t="shared" si="383"/>
        <v>0.89999999999999991</v>
      </c>
      <c r="Y102" s="69">
        <f t="shared" si="383"/>
        <v>0.68354430379746833</v>
      </c>
      <c r="Z102" s="69">
        <f t="shared" si="383"/>
        <v>0.68354430379746833</v>
      </c>
      <c r="AA102" s="69">
        <f t="shared" si="383"/>
        <v>0.68354430379746833</v>
      </c>
      <c r="AB102" s="69">
        <f t="shared" si="383"/>
        <v>0.68354430379746833</v>
      </c>
      <c r="AC102" s="69">
        <f t="shared" si="383"/>
        <v>0.68354430379746833</v>
      </c>
      <c r="AD102" s="69">
        <f t="shared" si="383"/>
        <v>0.67741935483870963</v>
      </c>
      <c r="AE102" s="69">
        <f t="shared" si="383"/>
        <v>0.67320261437908502</v>
      </c>
      <c r="AF102" s="69">
        <f t="shared" si="383"/>
        <v>0.67320261437908502</v>
      </c>
      <c r="AG102" s="69">
        <f t="shared" si="383"/>
        <v>0.67105263157894735</v>
      </c>
      <c r="AH102" s="69">
        <f t="shared" si="383"/>
        <v>0.66887417218543044</v>
      </c>
      <c r="AI102" s="69">
        <f t="shared" si="383"/>
        <v>0.68354430379746833</v>
      </c>
      <c r="AJ102" s="69">
        <f t="shared" si="383"/>
        <v>0.69696969696969702</v>
      </c>
      <c r="AK102" s="69">
        <f t="shared" si="383"/>
        <v>0.71590909090909094</v>
      </c>
      <c r="AL102" s="69">
        <f t="shared" si="383"/>
        <v>0.73684210526315785</v>
      </c>
      <c r="AM102" s="69">
        <f t="shared" si="383"/>
        <v>0.73684210526315785</v>
      </c>
      <c r="AN102" s="69">
        <f t="shared" si="383"/>
        <v>0.73684210526315785</v>
      </c>
      <c r="AO102" s="69">
        <f t="shared" si="383"/>
        <v>0.75845410628019327</v>
      </c>
      <c r="AP102" s="69">
        <f t="shared" si="383"/>
        <v>0.76190476190476186</v>
      </c>
      <c r="AQ102" s="69">
        <f t="shared" si="383"/>
        <v>0.76190476190476186</v>
      </c>
      <c r="AR102" s="69">
        <f t="shared" si="383"/>
        <v>0.76635514018691586</v>
      </c>
      <c r="AS102" s="69">
        <f t="shared" si="383"/>
        <v>0.77375565610859731</v>
      </c>
      <c r="AT102" s="69">
        <f t="shared" si="383"/>
        <v>0.77973568281938321</v>
      </c>
      <c r="AU102" s="69">
        <f t="shared" si="383"/>
        <v>0.78540772532188841</v>
      </c>
      <c r="AV102" s="69">
        <f t="shared" si="383"/>
        <v>0.78540772532188841</v>
      </c>
      <c r="AW102" s="69">
        <f t="shared" si="383"/>
        <v>0.78540772532188841</v>
      </c>
      <c r="AX102" s="69">
        <f t="shared" si="383"/>
        <v>0.79079497907949792</v>
      </c>
      <c r="AY102" s="69">
        <f t="shared" ref="AY102:BJ102" si="384">AY107/(AY107+AY106)</f>
        <v>0.79508196721311475</v>
      </c>
      <c r="AZ102" s="69">
        <f t="shared" si="384"/>
        <v>0.806949806949807</v>
      </c>
      <c r="BA102" s="69">
        <f t="shared" si="384"/>
        <v>0.80916030534351147</v>
      </c>
      <c r="BB102" s="69">
        <f t="shared" si="384"/>
        <v>0.80916030534351147</v>
      </c>
      <c r="BC102" s="69">
        <f t="shared" si="384"/>
        <v>0.80916030534351147</v>
      </c>
      <c r="BD102" s="69">
        <f t="shared" si="384"/>
        <v>0.80916030534351147</v>
      </c>
      <c r="BE102" s="69">
        <f t="shared" si="384"/>
        <v>0.80916030534351147</v>
      </c>
      <c r="BF102" s="69">
        <f t="shared" si="384"/>
        <v>0.80916030534351147</v>
      </c>
      <c r="BG102" s="69">
        <f t="shared" si="384"/>
        <v>0.80916030534351147</v>
      </c>
      <c r="BH102" s="69">
        <f t="shared" si="384"/>
        <v>0.80916030534351147</v>
      </c>
      <c r="BI102" s="69">
        <f t="shared" si="384"/>
        <v>0.80916030534351147</v>
      </c>
      <c r="BJ102" s="69">
        <f t="shared" si="384"/>
        <v>0.80916030534351147</v>
      </c>
    </row>
    <row r="103" spans="2:62" outlineLevel="1">
      <c r="B103" t="s">
        <v>258</v>
      </c>
      <c r="C103">
        <f>SUM(C104:C106)</f>
        <v>61</v>
      </c>
      <c r="D103">
        <f>SUM(D104:D106)</f>
        <v>61</v>
      </c>
      <c r="E103">
        <f>SUM(E104:E106)</f>
        <v>60</v>
      </c>
      <c r="F103">
        <f t="shared" ref="F103:AX103" si="385">SUM(F104:F106)</f>
        <v>66</v>
      </c>
      <c r="G103">
        <f>SUM(G104:G106)</f>
        <v>66</v>
      </c>
      <c r="H103">
        <f t="shared" si="385"/>
        <v>66</v>
      </c>
      <c r="I103">
        <f>SUM(I104:I106)</f>
        <v>66</v>
      </c>
      <c r="J103">
        <f t="shared" si="385"/>
        <v>63</v>
      </c>
      <c r="K103">
        <f t="shared" si="385"/>
        <v>35</v>
      </c>
      <c r="L103">
        <f t="shared" si="385"/>
        <v>35</v>
      </c>
      <c r="M103">
        <f t="shared" si="385"/>
        <v>35</v>
      </c>
      <c r="N103">
        <f t="shared" si="385"/>
        <v>39</v>
      </c>
      <c r="O103">
        <f t="shared" si="385"/>
        <v>28.5</v>
      </c>
      <c r="P103">
        <f t="shared" si="385"/>
        <v>28.400000000000002</v>
      </c>
      <c r="Q103">
        <f t="shared" si="385"/>
        <v>26.2</v>
      </c>
      <c r="R103">
        <f t="shared" si="385"/>
        <v>25.9</v>
      </c>
      <c r="S103">
        <f t="shared" si="385"/>
        <v>25.8</v>
      </c>
      <c r="T103">
        <f>SUM(T104:T106)</f>
        <v>25.700000000000003</v>
      </c>
      <c r="U103">
        <f t="shared" si="385"/>
        <v>25.700000000000003</v>
      </c>
      <c r="V103">
        <f t="shared" si="385"/>
        <v>25.5</v>
      </c>
      <c r="W103">
        <f t="shared" si="385"/>
        <v>25.5</v>
      </c>
      <c r="X103">
        <f>SUM(X104:X106)</f>
        <v>22.8</v>
      </c>
      <c r="Y103">
        <f t="shared" si="385"/>
        <v>56</v>
      </c>
      <c r="Z103">
        <f t="shared" si="385"/>
        <v>56</v>
      </c>
      <c r="AA103">
        <f>SUM(AA104:AA106)</f>
        <v>56</v>
      </c>
      <c r="AB103">
        <f>SUM(AB104:AB106)</f>
        <v>55</v>
      </c>
      <c r="AC103">
        <f t="shared" si="385"/>
        <v>55</v>
      </c>
      <c r="AD103">
        <f>SUM(AD104:AD106)</f>
        <v>55</v>
      </c>
      <c r="AE103">
        <f t="shared" si="385"/>
        <v>55</v>
      </c>
      <c r="AF103">
        <f t="shared" si="385"/>
        <v>55</v>
      </c>
      <c r="AG103">
        <f t="shared" si="385"/>
        <v>55</v>
      </c>
      <c r="AH103">
        <f t="shared" si="385"/>
        <v>55</v>
      </c>
      <c r="AI103">
        <f t="shared" si="385"/>
        <v>56</v>
      </c>
      <c r="AJ103">
        <f t="shared" si="385"/>
        <v>56</v>
      </c>
      <c r="AK103">
        <f t="shared" si="385"/>
        <v>56</v>
      </c>
      <c r="AL103">
        <f t="shared" si="385"/>
        <v>56</v>
      </c>
      <c r="AM103">
        <f t="shared" si="385"/>
        <v>56</v>
      </c>
      <c r="AN103">
        <f t="shared" si="385"/>
        <v>56</v>
      </c>
      <c r="AO103">
        <f>SUM(AO104:AO106)</f>
        <v>57</v>
      </c>
      <c r="AP103">
        <f t="shared" si="385"/>
        <v>57</v>
      </c>
      <c r="AQ103">
        <f t="shared" si="385"/>
        <v>57</v>
      </c>
      <c r="AR103">
        <f t="shared" si="385"/>
        <v>57</v>
      </c>
      <c r="AS103">
        <f t="shared" si="385"/>
        <v>57</v>
      </c>
      <c r="AT103">
        <f t="shared" si="385"/>
        <v>57</v>
      </c>
      <c r="AU103">
        <f t="shared" si="385"/>
        <v>57</v>
      </c>
      <c r="AV103">
        <f t="shared" si="385"/>
        <v>57</v>
      </c>
      <c r="AW103">
        <f t="shared" si="385"/>
        <v>57</v>
      </c>
      <c r="AX103">
        <f t="shared" si="385"/>
        <v>57</v>
      </c>
      <c r="AY103">
        <f t="shared" ref="AY103:BJ103" si="386">SUM(AY104:AY106)</f>
        <v>57</v>
      </c>
      <c r="AZ103">
        <f t="shared" si="386"/>
        <v>57</v>
      </c>
      <c r="BA103">
        <f t="shared" si="386"/>
        <v>57</v>
      </c>
      <c r="BB103">
        <f t="shared" si="386"/>
        <v>57</v>
      </c>
      <c r="BC103">
        <f t="shared" si="386"/>
        <v>57</v>
      </c>
      <c r="BD103">
        <f t="shared" si="386"/>
        <v>57</v>
      </c>
      <c r="BE103">
        <f t="shared" si="386"/>
        <v>57</v>
      </c>
      <c r="BF103">
        <f t="shared" si="386"/>
        <v>57</v>
      </c>
      <c r="BG103">
        <f t="shared" si="386"/>
        <v>57</v>
      </c>
      <c r="BH103">
        <f t="shared" si="386"/>
        <v>57</v>
      </c>
      <c r="BI103">
        <f t="shared" si="386"/>
        <v>57</v>
      </c>
      <c r="BJ103">
        <f t="shared" si="386"/>
        <v>57</v>
      </c>
    </row>
    <row r="104" spans="2:62" outlineLevel="1">
      <c r="B104" s="66" t="s">
        <v>259</v>
      </c>
      <c r="C104" s="126">
        <v>26</v>
      </c>
      <c r="D104" s="126">
        <f>26</f>
        <v>26</v>
      </c>
      <c r="E104" s="126">
        <v>0</v>
      </c>
      <c r="F104" s="126">
        <v>6</v>
      </c>
      <c r="G104" s="126">
        <f t="shared" ref="G104:I104" si="387">+F104</f>
        <v>6</v>
      </c>
      <c r="H104" s="126">
        <f t="shared" si="387"/>
        <v>6</v>
      </c>
      <c r="I104" s="126">
        <f t="shared" si="387"/>
        <v>6</v>
      </c>
      <c r="J104" s="126">
        <v>0</v>
      </c>
      <c r="K104" s="126">
        <f t="shared" ref="K104:W104" si="388">+J104</f>
        <v>0</v>
      </c>
      <c r="L104" s="126">
        <f t="shared" si="388"/>
        <v>0</v>
      </c>
      <c r="M104" s="126">
        <f t="shared" si="388"/>
        <v>0</v>
      </c>
      <c r="N104" s="126">
        <v>4</v>
      </c>
      <c r="O104" s="126">
        <f t="shared" si="388"/>
        <v>4</v>
      </c>
      <c r="P104" s="126">
        <f t="shared" si="388"/>
        <v>4</v>
      </c>
      <c r="Q104" s="126">
        <f t="shared" si="388"/>
        <v>4</v>
      </c>
      <c r="R104" s="126">
        <f t="shared" si="388"/>
        <v>4</v>
      </c>
      <c r="S104" s="126">
        <f t="shared" si="388"/>
        <v>4</v>
      </c>
      <c r="T104" s="126">
        <f t="shared" si="388"/>
        <v>4</v>
      </c>
      <c r="U104" s="126">
        <f t="shared" si="388"/>
        <v>4</v>
      </c>
      <c r="V104" s="126">
        <f t="shared" si="388"/>
        <v>4</v>
      </c>
      <c r="W104" s="126">
        <f t="shared" si="388"/>
        <v>4</v>
      </c>
      <c r="X104" s="126">
        <v>0</v>
      </c>
      <c r="Y104" s="126">
        <v>0</v>
      </c>
      <c r="Z104" s="126">
        <f>+Y104</f>
        <v>0</v>
      </c>
      <c r="AA104" s="126">
        <f>+Z104</f>
        <v>0</v>
      </c>
      <c r="AB104" s="126">
        <f>AA104</f>
        <v>0</v>
      </c>
      <c r="AC104" s="126">
        <f>+AB104</f>
        <v>0</v>
      </c>
      <c r="AD104" s="126">
        <f>+AC104</f>
        <v>0</v>
      </c>
      <c r="AE104" s="126">
        <f>+AD104</f>
        <v>0</v>
      </c>
      <c r="AF104" s="126">
        <f>AE104</f>
        <v>0</v>
      </c>
      <c r="AG104" s="67">
        <f t="shared" ref="AG104:AI104" si="389">AF104</f>
        <v>0</v>
      </c>
      <c r="AH104" s="67">
        <f t="shared" si="389"/>
        <v>0</v>
      </c>
      <c r="AI104" s="67">
        <f t="shared" si="389"/>
        <v>0</v>
      </c>
      <c r="AJ104" s="67">
        <f t="shared" ref="AJ104:AO104" si="390">+AI104</f>
        <v>0</v>
      </c>
      <c r="AK104" s="67">
        <f t="shared" si="390"/>
        <v>0</v>
      </c>
      <c r="AL104" s="67">
        <f t="shared" si="390"/>
        <v>0</v>
      </c>
      <c r="AM104" s="67">
        <f t="shared" si="390"/>
        <v>0</v>
      </c>
      <c r="AN104" s="67">
        <f t="shared" si="390"/>
        <v>0</v>
      </c>
      <c r="AO104" s="67">
        <f t="shared" si="390"/>
        <v>0</v>
      </c>
      <c r="AP104" s="67">
        <f t="shared" ref="AP104:AS104" si="391">+AO104</f>
        <v>0</v>
      </c>
      <c r="AQ104" s="67">
        <f t="shared" si="391"/>
        <v>0</v>
      </c>
      <c r="AR104" s="67">
        <f t="shared" si="391"/>
        <v>0</v>
      </c>
      <c r="AS104" s="67">
        <f t="shared" si="391"/>
        <v>0</v>
      </c>
      <c r="AT104" s="67">
        <f t="shared" ref="AT104" si="392">+AS104</f>
        <v>0</v>
      </c>
      <c r="AU104" s="67">
        <f t="shared" ref="AU104" si="393">+AT104</f>
        <v>0</v>
      </c>
      <c r="AV104" s="67">
        <f t="shared" ref="AV104" si="394">+AU104</f>
        <v>0</v>
      </c>
      <c r="AW104" s="67">
        <f t="shared" ref="AW104" si="395">+AV104</f>
        <v>0</v>
      </c>
      <c r="AX104" s="67">
        <f t="shared" ref="AX104" si="396">+AW104</f>
        <v>0</v>
      </c>
      <c r="AY104" s="67">
        <f t="shared" ref="AY104" si="397">+AX104</f>
        <v>0</v>
      </c>
      <c r="AZ104" s="67">
        <f t="shared" ref="AZ104" si="398">+AY104</f>
        <v>0</v>
      </c>
      <c r="BA104" s="67">
        <f t="shared" ref="BA104" si="399">+AZ104</f>
        <v>0</v>
      </c>
      <c r="BB104" s="67">
        <f t="shared" ref="BB104" si="400">+BA104</f>
        <v>0</v>
      </c>
      <c r="BC104" s="67">
        <f t="shared" ref="BC104" si="401">+BB104</f>
        <v>0</v>
      </c>
      <c r="BD104" s="67">
        <f t="shared" ref="BD104" si="402">+BC104</f>
        <v>0</v>
      </c>
      <c r="BE104" s="67">
        <f t="shared" ref="BE104" si="403">+BD104</f>
        <v>0</v>
      </c>
      <c r="BF104" s="67">
        <f t="shared" ref="BF104" si="404">+BE104</f>
        <v>0</v>
      </c>
      <c r="BG104" s="67">
        <f t="shared" ref="BG104" si="405">+BF104</f>
        <v>0</v>
      </c>
      <c r="BH104" s="67">
        <f t="shared" ref="BH104" si="406">+BG104</f>
        <v>0</v>
      </c>
      <c r="BI104" s="67">
        <f t="shared" ref="BI104" si="407">+BH104</f>
        <v>0</v>
      </c>
      <c r="BJ104" s="67">
        <f t="shared" ref="BJ104" si="408">+BI104</f>
        <v>0</v>
      </c>
    </row>
    <row r="105" spans="2:62" outlineLevel="1">
      <c r="B105" s="66" t="s">
        <v>260</v>
      </c>
      <c r="C105" s="126">
        <v>9</v>
      </c>
      <c r="D105" s="126">
        <f>C105</f>
        <v>9</v>
      </c>
      <c r="E105" s="126">
        <f>D105</f>
        <v>9</v>
      </c>
      <c r="F105" s="126">
        <f t="shared" ref="F105:AX105" si="409">E105</f>
        <v>9</v>
      </c>
      <c r="G105" s="126">
        <f t="shared" si="409"/>
        <v>9</v>
      </c>
      <c r="H105" s="126">
        <f t="shared" si="409"/>
        <v>9</v>
      </c>
      <c r="I105" s="126">
        <f t="shared" si="409"/>
        <v>9</v>
      </c>
      <c r="J105" s="126">
        <f>I105-1</f>
        <v>8</v>
      </c>
      <c r="K105" s="126">
        <f t="shared" si="409"/>
        <v>8</v>
      </c>
      <c r="L105" s="126">
        <f t="shared" si="409"/>
        <v>8</v>
      </c>
      <c r="M105" s="126">
        <f t="shared" si="409"/>
        <v>8</v>
      </c>
      <c r="N105" s="126">
        <v>8</v>
      </c>
      <c r="O105" s="126">
        <f t="shared" si="409"/>
        <v>8</v>
      </c>
      <c r="P105" s="126">
        <f t="shared" si="409"/>
        <v>8</v>
      </c>
      <c r="Q105" s="126">
        <v>6</v>
      </c>
      <c r="R105" s="126">
        <f t="shared" si="409"/>
        <v>6</v>
      </c>
      <c r="S105" s="126">
        <f t="shared" si="409"/>
        <v>6</v>
      </c>
      <c r="T105" s="126">
        <f t="shared" si="409"/>
        <v>6</v>
      </c>
      <c r="U105" s="126">
        <f t="shared" si="409"/>
        <v>6</v>
      </c>
      <c r="V105" s="126">
        <f t="shared" si="409"/>
        <v>6</v>
      </c>
      <c r="W105" s="126">
        <f>V105</f>
        <v>6</v>
      </c>
      <c r="X105" s="126">
        <v>7</v>
      </c>
      <c r="Y105" s="126">
        <v>6</v>
      </c>
      <c r="Z105" s="126">
        <f t="shared" si="409"/>
        <v>6</v>
      </c>
      <c r="AA105" s="126">
        <f t="shared" si="409"/>
        <v>6</v>
      </c>
      <c r="AB105" s="126">
        <f>AA105-1</f>
        <v>5</v>
      </c>
      <c r="AC105" s="126">
        <f t="shared" si="409"/>
        <v>5</v>
      </c>
      <c r="AD105" s="126">
        <f t="shared" si="409"/>
        <v>5</v>
      </c>
      <c r="AE105" s="126">
        <f t="shared" si="409"/>
        <v>5</v>
      </c>
      <c r="AF105" s="126">
        <f t="shared" si="409"/>
        <v>5</v>
      </c>
      <c r="AG105" s="126">
        <f t="shared" si="409"/>
        <v>5</v>
      </c>
      <c r="AH105" s="126">
        <f t="shared" si="409"/>
        <v>5</v>
      </c>
      <c r="AI105" s="126">
        <v>6</v>
      </c>
      <c r="AJ105" s="67">
        <v>6</v>
      </c>
      <c r="AK105" s="67">
        <f t="shared" si="409"/>
        <v>6</v>
      </c>
      <c r="AL105" s="67">
        <f t="shared" si="409"/>
        <v>6</v>
      </c>
      <c r="AM105" s="67">
        <f t="shared" si="409"/>
        <v>6</v>
      </c>
      <c r="AN105" s="67">
        <f t="shared" si="409"/>
        <v>6</v>
      </c>
      <c r="AO105" s="67">
        <f>AN105+1</f>
        <v>7</v>
      </c>
      <c r="AP105" s="67">
        <f t="shared" si="409"/>
        <v>7</v>
      </c>
      <c r="AQ105" s="67">
        <f t="shared" si="409"/>
        <v>7</v>
      </c>
      <c r="AR105" s="67">
        <f t="shared" si="409"/>
        <v>7</v>
      </c>
      <c r="AS105" s="67">
        <f t="shared" si="409"/>
        <v>7</v>
      </c>
      <c r="AT105" s="67">
        <f t="shared" si="409"/>
        <v>7</v>
      </c>
      <c r="AU105" s="67">
        <f t="shared" si="409"/>
        <v>7</v>
      </c>
      <c r="AV105" s="67">
        <f t="shared" si="409"/>
        <v>7</v>
      </c>
      <c r="AW105" s="67">
        <f t="shared" si="409"/>
        <v>7</v>
      </c>
      <c r="AX105" s="67">
        <f t="shared" si="409"/>
        <v>7</v>
      </c>
      <c r="AY105" s="67">
        <f t="shared" ref="AY105:BJ105" si="410">AX105</f>
        <v>7</v>
      </c>
      <c r="AZ105" s="67">
        <f t="shared" si="410"/>
        <v>7</v>
      </c>
      <c r="BA105" s="67">
        <f t="shared" si="410"/>
        <v>7</v>
      </c>
      <c r="BB105" s="67">
        <f t="shared" si="410"/>
        <v>7</v>
      </c>
      <c r="BC105" s="67">
        <f t="shared" si="410"/>
        <v>7</v>
      </c>
      <c r="BD105" s="67">
        <f t="shared" si="410"/>
        <v>7</v>
      </c>
      <c r="BE105" s="67">
        <f t="shared" si="410"/>
        <v>7</v>
      </c>
      <c r="BF105" s="67">
        <f t="shared" si="410"/>
        <v>7</v>
      </c>
      <c r="BG105" s="67">
        <f t="shared" si="410"/>
        <v>7</v>
      </c>
      <c r="BH105" s="67">
        <f t="shared" si="410"/>
        <v>7</v>
      </c>
      <c r="BI105" s="67">
        <f t="shared" si="410"/>
        <v>7</v>
      </c>
      <c r="BJ105" s="67">
        <f t="shared" si="410"/>
        <v>7</v>
      </c>
    </row>
    <row r="106" spans="2:62" outlineLevel="1">
      <c r="B106" s="66" t="s">
        <v>261</v>
      </c>
      <c r="C106" s="126">
        <v>26</v>
      </c>
      <c r="D106" s="126">
        <f>+C106</f>
        <v>26</v>
      </c>
      <c r="E106" s="126">
        <v>51</v>
      </c>
      <c r="F106" s="126">
        <f t="shared" ref="F106:I106" si="411">E106</f>
        <v>51</v>
      </c>
      <c r="G106" s="126">
        <f t="shared" si="411"/>
        <v>51</v>
      </c>
      <c r="H106" s="126">
        <f t="shared" si="411"/>
        <v>51</v>
      </c>
      <c r="I106" s="126">
        <f t="shared" si="411"/>
        <v>51</v>
      </c>
      <c r="J106" s="126">
        <v>55</v>
      </c>
      <c r="K106" s="126">
        <v>27</v>
      </c>
      <c r="L106" s="126">
        <v>27</v>
      </c>
      <c r="M106" s="126">
        <v>27</v>
      </c>
      <c r="N106" s="126">
        <f>M106</f>
        <v>27</v>
      </c>
      <c r="O106" s="126">
        <f>(O98-O105-O104)*0.1</f>
        <v>16.5</v>
      </c>
      <c r="P106" s="126">
        <f>(P98-P105-P104)*0.1</f>
        <v>16.400000000000002</v>
      </c>
      <c r="Q106" s="126">
        <f t="shared" ref="Q106:X106" si="412">(Q98-Q105-Q104)*0.1</f>
        <v>16.2</v>
      </c>
      <c r="R106" s="126">
        <f t="shared" si="412"/>
        <v>15.9</v>
      </c>
      <c r="S106" s="126">
        <f t="shared" si="412"/>
        <v>15.8</v>
      </c>
      <c r="T106" s="126">
        <f t="shared" si="412"/>
        <v>15.700000000000001</v>
      </c>
      <c r="U106" s="126">
        <f t="shared" si="412"/>
        <v>15.700000000000001</v>
      </c>
      <c r="V106" s="126">
        <f t="shared" si="412"/>
        <v>15.5</v>
      </c>
      <c r="W106" s="126">
        <f t="shared" si="412"/>
        <v>15.5</v>
      </c>
      <c r="X106" s="126">
        <f t="shared" si="412"/>
        <v>15.8</v>
      </c>
      <c r="Y106" s="126">
        <v>50</v>
      </c>
      <c r="Z106" s="126">
        <v>50</v>
      </c>
      <c r="AA106" s="126">
        <v>50</v>
      </c>
      <c r="AB106" s="126">
        <v>50</v>
      </c>
      <c r="AC106" s="126">
        <v>50</v>
      </c>
      <c r="AD106" s="126">
        <v>50</v>
      </c>
      <c r="AE106" s="126">
        <v>50</v>
      </c>
      <c r="AF106" s="126">
        <v>50</v>
      </c>
      <c r="AG106" s="67">
        <v>50</v>
      </c>
      <c r="AH106" s="67">
        <v>50</v>
      </c>
      <c r="AI106" s="67">
        <v>50</v>
      </c>
      <c r="AJ106" s="67">
        <v>50</v>
      </c>
      <c r="AK106" s="67">
        <v>50</v>
      </c>
      <c r="AL106" s="67">
        <v>50</v>
      </c>
      <c r="AM106" s="67">
        <v>50</v>
      </c>
      <c r="AN106" s="67">
        <v>50</v>
      </c>
      <c r="AO106" s="67">
        <v>50</v>
      </c>
      <c r="AP106" s="67">
        <v>50</v>
      </c>
      <c r="AQ106" s="67">
        <v>50</v>
      </c>
      <c r="AR106" s="67">
        <v>50</v>
      </c>
      <c r="AS106" s="67">
        <v>50</v>
      </c>
      <c r="AT106" s="67">
        <v>50</v>
      </c>
      <c r="AU106" s="67">
        <v>50</v>
      </c>
      <c r="AV106" s="67">
        <v>50</v>
      </c>
      <c r="AW106" s="67">
        <v>50</v>
      </c>
      <c r="AX106" s="67">
        <v>50</v>
      </c>
      <c r="AY106" s="67">
        <v>50</v>
      </c>
      <c r="AZ106" s="67">
        <v>50</v>
      </c>
      <c r="BA106" s="67">
        <v>50</v>
      </c>
      <c r="BB106" s="67">
        <v>50</v>
      </c>
      <c r="BC106" s="67">
        <v>50</v>
      </c>
      <c r="BD106" s="67">
        <v>50</v>
      </c>
      <c r="BE106" s="67">
        <v>50</v>
      </c>
      <c r="BF106" s="67">
        <v>50</v>
      </c>
      <c r="BG106" s="67">
        <v>50</v>
      </c>
      <c r="BH106" s="67">
        <v>50</v>
      </c>
      <c r="BI106" s="67">
        <v>50</v>
      </c>
      <c r="BJ106" s="67">
        <v>50</v>
      </c>
    </row>
    <row r="107" spans="2:62" outlineLevel="1">
      <c r="B107" s="57" t="s">
        <v>262</v>
      </c>
      <c r="C107" s="57">
        <f>+C98-C103</f>
        <v>111</v>
      </c>
      <c r="D107" s="57">
        <f t="shared" ref="D107:AX107" si="413">+D98-D103</f>
        <v>111</v>
      </c>
      <c r="E107" s="57">
        <f t="shared" si="413"/>
        <v>111</v>
      </c>
      <c r="F107" s="57">
        <f t="shared" si="413"/>
        <v>111</v>
      </c>
      <c r="G107" s="57">
        <f>+G98-G103</f>
        <v>111</v>
      </c>
      <c r="H107" s="57">
        <f t="shared" si="413"/>
        <v>111</v>
      </c>
      <c r="I107" s="57">
        <f>+I98-I103</f>
        <v>111</v>
      </c>
      <c r="J107" s="57">
        <f t="shared" si="413"/>
        <v>111</v>
      </c>
      <c r="K107" s="57">
        <f t="shared" si="413"/>
        <v>139</v>
      </c>
      <c r="L107" s="57">
        <f t="shared" si="413"/>
        <v>139</v>
      </c>
      <c r="M107" s="57">
        <f t="shared" si="413"/>
        <v>139</v>
      </c>
      <c r="N107" s="57">
        <f>+N98-N103</f>
        <v>139</v>
      </c>
      <c r="O107" s="57">
        <f>+O98-O103</f>
        <v>148.5</v>
      </c>
      <c r="P107" s="57">
        <f t="shared" si="413"/>
        <v>147.6</v>
      </c>
      <c r="Q107" s="57">
        <f t="shared" si="413"/>
        <v>145.80000000000001</v>
      </c>
      <c r="R107" s="57">
        <f t="shared" si="413"/>
        <v>143.1</v>
      </c>
      <c r="S107" s="57">
        <f t="shared" si="413"/>
        <v>142.19999999999999</v>
      </c>
      <c r="T107" s="57">
        <f>+T98-T103</f>
        <v>141.30000000000001</v>
      </c>
      <c r="U107" s="57">
        <f t="shared" si="413"/>
        <v>141.30000000000001</v>
      </c>
      <c r="V107" s="57">
        <f t="shared" si="413"/>
        <v>139.5</v>
      </c>
      <c r="W107" s="57">
        <f t="shared" si="413"/>
        <v>139.5</v>
      </c>
      <c r="X107" s="57">
        <f t="shared" si="413"/>
        <v>142.19999999999999</v>
      </c>
      <c r="Y107" s="57">
        <f>+Y98-Y103</f>
        <v>108</v>
      </c>
      <c r="Z107" s="57">
        <f>+Z98-Z103</f>
        <v>108</v>
      </c>
      <c r="AA107" s="57">
        <f>+AA98-AA103</f>
        <v>108</v>
      </c>
      <c r="AB107" s="57">
        <f t="shared" si="413"/>
        <v>108</v>
      </c>
      <c r="AC107" s="57">
        <f t="shared" si="413"/>
        <v>108</v>
      </c>
      <c r="AD107" s="57">
        <f>+AD98-AD103</f>
        <v>105</v>
      </c>
      <c r="AE107" s="57">
        <f t="shared" si="413"/>
        <v>103</v>
      </c>
      <c r="AF107" s="57">
        <f>+AF98-AF103</f>
        <v>103</v>
      </c>
      <c r="AG107" s="57">
        <f>+AG98-AG103</f>
        <v>102</v>
      </c>
      <c r="AH107" s="57">
        <f t="shared" si="413"/>
        <v>101</v>
      </c>
      <c r="AI107" s="57">
        <f t="shared" si="413"/>
        <v>108</v>
      </c>
      <c r="AJ107" s="57">
        <f t="shared" si="413"/>
        <v>115</v>
      </c>
      <c r="AK107" s="57">
        <f t="shared" si="413"/>
        <v>126</v>
      </c>
      <c r="AL107" s="57">
        <f t="shared" si="413"/>
        <v>140</v>
      </c>
      <c r="AM107" s="57">
        <f t="shared" si="413"/>
        <v>140</v>
      </c>
      <c r="AN107" s="57">
        <f t="shared" si="413"/>
        <v>140</v>
      </c>
      <c r="AO107" s="57">
        <f t="shared" si="413"/>
        <v>157</v>
      </c>
      <c r="AP107" s="57">
        <f t="shared" si="413"/>
        <v>160</v>
      </c>
      <c r="AQ107" s="57">
        <f t="shared" si="413"/>
        <v>160</v>
      </c>
      <c r="AR107" s="57">
        <f t="shared" si="413"/>
        <v>164</v>
      </c>
      <c r="AS107" s="57">
        <f t="shared" si="413"/>
        <v>171</v>
      </c>
      <c r="AT107" s="57">
        <f t="shared" si="413"/>
        <v>177</v>
      </c>
      <c r="AU107" s="57">
        <f t="shared" si="413"/>
        <v>183</v>
      </c>
      <c r="AV107" s="57">
        <f t="shared" si="413"/>
        <v>183</v>
      </c>
      <c r="AW107" s="57">
        <f t="shared" si="413"/>
        <v>183</v>
      </c>
      <c r="AX107" s="57">
        <f t="shared" si="413"/>
        <v>189</v>
      </c>
      <c r="AY107" s="57">
        <f t="shared" ref="AY107:BJ107" si="414">+AY98-AY103</f>
        <v>194</v>
      </c>
      <c r="AZ107" s="57">
        <f t="shared" si="414"/>
        <v>209</v>
      </c>
      <c r="BA107" s="57">
        <f t="shared" si="414"/>
        <v>212</v>
      </c>
      <c r="BB107" s="57">
        <f t="shared" si="414"/>
        <v>212</v>
      </c>
      <c r="BC107" s="57">
        <f t="shared" si="414"/>
        <v>212</v>
      </c>
      <c r="BD107" s="57">
        <f t="shared" si="414"/>
        <v>212</v>
      </c>
      <c r="BE107" s="57">
        <f t="shared" si="414"/>
        <v>212</v>
      </c>
      <c r="BF107" s="57">
        <f t="shared" si="414"/>
        <v>212</v>
      </c>
      <c r="BG107" s="57">
        <f t="shared" si="414"/>
        <v>212</v>
      </c>
      <c r="BH107" s="57">
        <f t="shared" si="414"/>
        <v>212</v>
      </c>
      <c r="BI107" s="57">
        <f t="shared" si="414"/>
        <v>212</v>
      </c>
      <c r="BJ107" s="57">
        <f t="shared" si="414"/>
        <v>212</v>
      </c>
    </row>
    <row r="108" spans="2:62" outlineLevel="1"/>
    <row r="109" spans="2:62" outlineLevel="1"/>
    <row r="110" spans="2:62" outlineLevel="1">
      <c r="C110" s="70" t="s">
        <v>263</v>
      </c>
      <c r="D110" s="70"/>
      <c r="E110" s="70"/>
      <c r="F110" s="70"/>
      <c r="G110" s="70"/>
      <c r="H110" s="70"/>
      <c r="I110" s="70"/>
      <c r="O110" s="70" t="s">
        <v>263</v>
      </c>
      <c r="P110" s="70"/>
      <c r="Q110" s="70"/>
      <c r="R110" s="70"/>
      <c r="S110" s="70"/>
      <c r="T110" s="70"/>
      <c r="U110" s="70"/>
      <c r="AA110" s="70" t="s">
        <v>263</v>
      </c>
      <c r="AB110" s="70"/>
      <c r="AC110" s="70"/>
      <c r="AD110" s="70"/>
      <c r="AE110" s="70"/>
      <c r="AF110" s="70"/>
      <c r="AG110" s="70"/>
      <c r="AM110" s="70" t="s">
        <v>263</v>
      </c>
      <c r="AN110" s="70"/>
      <c r="AO110" s="70"/>
      <c r="AP110" s="70"/>
      <c r="AQ110" s="70"/>
      <c r="AR110" s="70"/>
      <c r="AS110" s="70"/>
      <c r="AY110" s="70" t="s">
        <v>263</v>
      </c>
      <c r="AZ110" s="70"/>
      <c r="BA110" s="70"/>
      <c r="BB110" s="70"/>
      <c r="BC110" s="70"/>
      <c r="BD110" s="70"/>
      <c r="BE110" s="70"/>
    </row>
    <row r="111" spans="2:62" outlineLevel="1">
      <c r="B111" s="71" t="s">
        <v>264</v>
      </c>
      <c r="C111" s="72">
        <f>SUM(C112:N112)</f>
        <v>0.97382808545104815</v>
      </c>
      <c r="D111" s="73"/>
      <c r="E111" s="73"/>
      <c r="F111" s="73"/>
      <c r="G111" s="73"/>
      <c r="H111" s="73"/>
      <c r="I111" s="73"/>
      <c r="J111" s="73"/>
      <c r="K111" s="73"/>
      <c r="L111" s="73"/>
      <c r="M111" s="73"/>
      <c r="N111" s="64">
        <f>SUM(C114:N114)-C107+C113</f>
        <v>8</v>
      </c>
      <c r="O111" s="72">
        <f>SUM(O112:Z112)</f>
        <v>0.85398881071624255</v>
      </c>
      <c r="P111" s="73"/>
      <c r="Q111" s="73"/>
      <c r="R111" s="73"/>
      <c r="S111" s="73"/>
      <c r="T111" s="73"/>
      <c r="U111" s="73"/>
      <c r="V111" s="73"/>
      <c r="W111" s="73"/>
      <c r="X111" s="73"/>
      <c r="Y111" s="73"/>
      <c r="Z111" s="74">
        <f>SUM(O114:Z114)-O107</f>
        <v>-11.5</v>
      </c>
      <c r="AA111" s="72">
        <f>SUM(AA112:AL112)</f>
        <v>0.90571251042519751</v>
      </c>
      <c r="AB111" s="73"/>
      <c r="AC111" s="73"/>
      <c r="AD111" s="73"/>
      <c r="AE111" s="73"/>
      <c r="AF111" s="73"/>
      <c r="AG111" s="73"/>
      <c r="AH111" s="73"/>
      <c r="AI111" s="73"/>
      <c r="AJ111" s="73"/>
      <c r="AK111" s="73"/>
      <c r="AL111" s="74">
        <f>SUM(AA114:AL114)-AA107</f>
        <v>33</v>
      </c>
      <c r="AM111" s="72">
        <f>SUM(AM112:AX112)</f>
        <v>0.90108942772726597</v>
      </c>
      <c r="AN111" s="73"/>
      <c r="AO111" s="73"/>
      <c r="AP111" s="73"/>
      <c r="AQ111" s="73"/>
      <c r="AR111" s="73"/>
      <c r="AS111" s="73"/>
      <c r="AT111" s="73"/>
      <c r="AU111" s="73"/>
      <c r="AV111" s="73"/>
      <c r="AW111" s="73"/>
      <c r="AX111" s="74">
        <f>SUM(AM114:AX114)-AM107</f>
        <v>55.859480329611927</v>
      </c>
      <c r="AY111" s="72">
        <f>SUM(AY112:BJ112)</f>
        <v>0.90108942772726597</v>
      </c>
      <c r="AZ111" s="73"/>
      <c r="BA111" s="73"/>
      <c r="BB111" s="73"/>
      <c r="BC111" s="73"/>
      <c r="BD111" s="73"/>
      <c r="BE111" s="73"/>
      <c r="BF111" s="73"/>
      <c r="BG111" s="73"/>
      <c r="BH111" s="73"/>
      <c r="BI111" s="73"/>
      <c r="BJ111" s="74">
        <f>SUM(AY114:BJ114)-AY107</f>
        <v>41.674903748754218</v>
      </c>
    </row>
    <row r="112" spans="2:62" outlineLevel="1">
      <c r="B112" s="54" t="s">
        <v>265</v>
      </c>
      <c r="C112" s="75">
        <f>(C113+C114)/(SUM($C$114:$N$114)+$C$113)</f>
        <v>0.16806722689075632</v>
      </c>
      <c r="D112" s="75">
        <f t="shared" ref="D112:M112" si="415">(D114)/(SUM($C$114:$N$114)+$C$113)</f>
        <v>6.7226890756302518E-2</v>
      </c>
      <c r="E112" s="75">
        <f t="shared" si="415"/>
        <v>7.5630252100840331E-2</v>
      </c>
      <c r="F112" s="75">
        <f t="shared" si="415"/>
        <v>0.21008403361344538</v>
      </c>
      <c r="G112" s="75">
        <f t="shared" si="415"/>
        <v>5.8823529411764705E-2</v>
      </c>
      <c r="H112" s="75">
        <f t="shared" si="415"/>
        <v>5.0420168067226892E-2</v>
      </c>
      <c r="I112" s="75">
        <f t="shared" si="415"/>
        <v>0.14285714285714285</v>
      </c>
      <c r="J112" s="75">
        <f t="shared" si="415"/>
        <v>6.7226890756302518E-2</v>
      </c>
      <c r="K112" s="75">
        <f t="shared" si="415"/>
        <v>3.3613445378151259E-2</v>
      </c>
      <c r="L112" s="75">
        <f t="shared" si="415"/>
        <v>1.680672268907563E-2</v>
      </c>
      <c r="M112" s="75">
        <f t="shared" si="415"/>
        <v>1.680672268907563E-2</v>
      </c>
      <c r="N112" s="75">
        <f>N114/(M107+M106)</f>
        <v>6.6265060240963861E-2</v>
      </c>
      <c r="O112" s="75">
        <f>O114/(N107+N106)</f>
        <v>6.6265060240963861E-2</v>
      </c>
      <c r="P112" s="75">
        <f t="shared" ref="P112:AC112" si="416">P114/(O107+O106)</f>
        <v>4.8484848484848485E-2</v>
      </c>
      <c r="Q112" s="75">
        <f t="shared" si="416"/>
        <v>0.12804878048780488</v>
      </c>
      <c r="R112" s="75">
        <f t="shared" si="416"/>
        <v>0.17901234567901234</v>
      </c>
      <c r="S112" s="75">
        <f t="shared" si="416"/>
        <v>8.8050314465408799E-2</v>
      </c>
      <c r="T112" s="75">
        <f t="shared" si="416"/>
        <v>8.8607594936708861E-2</v>
      </c>
      <c r="U112" s="75">
        <f t="shared" si="416"/>
        <v>5.7324840764331211E-2</v>
      </c>
      <c r="V112" s="75">
        <f t="shared" si="416"/>
        <v>0.10191082802547771</v>
      </c>
      <c r="W112" s="75">
        <f t="shared" si="416"/>
        <v>5.8064516129032261E-2</v>
      </c>
      <c r="X112" s="75">
        <f t="shared" si="416"/>
        <v>1.2903225806451613E-2</v>
      </c>
      <c r="Y112" s="75">
        <f t="shared" si="416"/>
        <v>1.2658227848101266E-2</v>
      </c>
      <c r="Z112" s="75">
        <f t="shared" si="416"/>
        <v>1.2658227848101266E-2</v>
      </c>
      <c r="AA112" s="75">
        <f>AA114/(Z107+Z106)</f>
        <v>0.13291139240506328</v>
      </c>
      <c r="AB112" s="75">
        <f>AB114/(AA107+AA106)</f>
        <v>6.9620253164556958E-2</v>
      </c>
      <c r="AC112" s="75">
        <f t="shared" si="416"/>
        <v>6.9620253164556958E-2</v>
      </c>
      <c r="AD112" s="75">
        <f t="shared" ref="AD112:AP112" si="417">AD114/(AC107+AC106)</f>
        <v>8.2278481012658222E-2</v>
      </c>
      <c r="AE112" s="75">
        <f t="shared" si="417"/>
        <v>7.7419354838709681E-2</v>
      </c>
      <c r="AF112" s="75">
        <f t="shared" si="417"/>
        <v>8.4967320261437912E-2</v>
      </c>
      <c r="AG112" s="75">
        <f t="shared" si="417"/>
        <v>0.12418300653594772</v>
      </c>
      <c r="AH112" s="75">
        <f t="shared" si="417"/>
        <v>0.14473684210526316</v>
      </c>
      <c r="AI112" s="75">
        <f t="shared" si="417"/>
        <v>7.2847682119205295E-2</v>
      </c>
      <c r="AJ112" s="75">
        <f t="shared" si="417"/>
        <v>1.2658227848101266E-2</v>
      </c>
      <c r="AK112" s="75">
        <f t="shared" si="417"/>
        <v>6.0606060606060606E-3</v>
      </c>
      <c r="AL112" s="75">
        <f t="shared" si="417"/>
        <v>2.8409090909090908E-2</v>
      </c>
      <c r="AM112" s="75">
        <f t="shared" si="417"/>
        <v>2.1052631578947368E-2</v>
      </c>
      <c r="AN112" s="75">
        <f t="shared" si="417"/>
        <v>1.0526315789473684E-2</v>
      </c>
      <c r="AO112" s="75">
        <f t="shared" si="417"/>
        <v>8.4210526315789472E-2</v>
      </c>
      <c r="AP112" s="75">
        <f t="shared" si="417"/>
        <v>5.7971014492753624E-2</v>
      </c>
      <c r="AQ112" s="75">
        <v>0.12</v>
      </c>
      <c r="AR112" s="75">
        <v>0.14000000000000001</v>
      </c>
      <c r="AS112" s="75">
        <f t="shared" ref="AS112:AT112" si="418">AG112</f>
        <v>0.12418300653594772</v>
      </c>
      <c r="AT112" s="75">
        <f t="shared" si="418"/>
        <v>0.14473684210526316</v>
      </c>
      <c r="AU112" s="75">
        <v>0.12</v>
      </c>
      <c r="AV112" s="75">
        <v>0.03</v>
      </c>
      <c r="AW112" s="75">
        <v>0.02</v>
      </c>
      <c r="AX112" s="75">
        <f t="shared" ref="AX112:BJ112" si="419">AL112</f>
        <v>2.8409090909090908E-2</v>
      </c>
      <c r="AY112" s="75">
        <f t="shared" si="419"/>
        <v>2.1052631578947368E-2</v>
      </c>
      <c r="AZ112" s="75">
        <f t="shared" si="419"/>
        <v>1.0526315789473684E-2</v>
      </c>
      <c r="BA112" s="75">
        <f t="shared" si="419"/>
        <v>8.4210526315789472E-2</v>
      </c>
      <c r="BB112" s="75">
        <f t="shared" si="419"/>
        <v>5.7971014492753624E-2</v>
      </c>
      <c r="BC112" s="75">
        <f t="shared" si="419"/>
        <v>0.12</v>
      </c>
      <c r="BD112" s="75">
        <f t="shared" si="419"/>
        <v>0.14000000000000001</v>
      </c>
      <c r="BE112" s="75">
        <f t="shared" si="419"/>
        <v>0.12418300653594772</v>
      </c>
      <c r="BF112" s="75">
        <f t="shared" si="419"/>
        <v>0.14473684210526316</v>
      </c>
      <c r="BG112" s="75">
        <f t="shared" si="419"/>
        <v>0.12</v>
      </c>
      <c r="BH112" s="75">
        <f t="shared" si="419"/>
        <v>0.03</v>
      </c>
      <c r="BI112" s="75">
        <f t="shared" si="419"/>
        <v>0.02</v>
      </c>
      <c r="BJ112" s="75">
        <f t="shared" si="419"/>
        <v>2.8409090909090908E-2</v>
      </c>
    </row>
    <row r="113" spans="2:62" outlineLevel="1">
      <c r="B113" t="s">
        <v>247</v>
      </c>
      <c r="C113" s="123">
        <v>14</v>
      </c>
      <c r="D113">
        <f>+C117</f>
        <v>20</v>
      </c>
      <c r="E113">
        <f t="shared" ref="E113:AW113" si="420">+D117</f>
        <v>25</v>
      </c>
      <c r="F113">
        <f t="shared" si="420"/>
        <v>33</v>
      </c>
      <c r="G113">
        <f t="shared" si="420"/>
        <v>55</v>
      </c>
      <c r="H113">
        <f t="shared" si="420"/>
        <v>49</v>
      </c>
      <c r="I113">
        <f t="shared" si="420"/>
        <v>49</v>
      </c>
      <c r="J113">
        <f t="shared" si="420"/>
        <v>49</v>
      </c>
      <c r="K113">
        <f t="shared" si="420"/>
        <v>30</v>
      </c>
      <c r="L113">
        <f t="shared" si="420"/>
        <v>31</v>
      </c>
      <c r="M113">
        <f t="shared" si="420"/>
        <v>29</v>
      </c>
      <c r="N113">
        <f t="shared" si="420"/>
        <v>14</v>
      </c>
      <c r="O113" s="76">
        <f>+N117</f>
        <v>6</v>
      </c>
      <c r="P113" s="76">
        <f t="shared" si="420"/>
        <v>16</v>
      </c>
      <c r="Q113" s="76">
        <f t="shared" si="420"/>
        <v>19</v>
      </c>
      <c r="R113" s="76">
        <f t="shared" si="420"/>
        <v>39</v>
      </c>
      <c r="S113" s="76">
        <f>+R117</f>
        <v>65</v>
      </c>
      <c r="T113" s="76">
        <f t="shared" si="420"/>
        <v>68</v>
      </c>
      <c r="U113" s="76">
        <f t="shared" si="420"/>
        <v>61</v>
      </c>
      <c r="V113" s="76">
        <f t="shared" si="420"/>
        <v>46</v>
      </c>
      <c r="W113" s="76">
        <f t="shared" si="420"/>
        <v>62</v>
      </c>
      <c r="X113" s="76">
        <f t="shared" si="420"/>
        <v>49</v>
      </c>
      <c r="Y113" s="76">
        <f t="shared" si="420"/>
        <v>37</v>
      </c>
      <c r="Z113" s="76">
        <f t="shared" si="420"/>
        <v>29</v>
      </c>
      <c r="AA113" s="76">
        <f>+Z117</f>
        <v>26</v>
      </c>
      <c r="AB113" s="76">
        <f t="shared" si="420"/>
        <v>28</v>
      </c>
      <c r="AC113" s="76">
        <f t="shared" si="420"/>
        <v>36</v>
      </c>
      <c r="AD113" s="76">
        <f t="shared" si="420"/>
        <v>44</v>
      </c>
      <c r="AE113" s="76">
        <f t="shared" si="420"/>
        <v>56</v>
      </c>
      <c r="AF113" s="76">
        <f t="shared" si="420"/>
        <v>68</v>
      </c>
      <c r="AG113" s="76">
        <f t="shared" si="420"/>
        <v>46</v>
      </c>
      <c r="AH113" s="76">
        <f t="shared" si="420"/>
        <v>64</v>
      </c>
      <c r="AI113" s="76">
        <f t="shared" si="420"/>
        <v>83</v>
      </c>
      <c r="AJ113" s="76">
        <f t="shared" si="420"/>
        <v>68</v>
      </c>
      <c r="AK113" s="76">
        <f t="shared" si="420"/>
        <v>57</v>
      </c>
      <c r="AL113" s="76">
        <f t="shared" si="420"/>
        <v>48</v>
      </c>
      <c r="AM113" s="76">
        <f>+AL117</f>
        <v>23</v>
      </c>
      <c r="AN113" s="76">
        <f t="shared" si="420"/>
        <v>16</v>
      </c>
      <c r="AO113" s="76">
        <f>+AN117</f>
        <v>5</v>
      </c>
      <c r="AP113" s="76">
        <f t="shared" si="420"/>
        <v>19</v>
      </c>
      <c r="AQ113" s="76">
        <f t="shared" si="420"/>
        <v>26</v>
      </c>
      <c r="AR113" s="76">
        <f t="shared" si="420"/>
        <v>46.2</v>
      </c>
      <c r="AS113" s="76">
        <f t="shared" si="420"/>
        <v>74.160000000000011</v>
      </c>
      <c r="AT113" s="76">
        <f t="shared" si="420"/>
        <v>84.604444444444454</v>
      </c>
      <c r="AU113" s="76">
        <f t="shared" si="420"/>
        <v>105.45970760233919</v>
      </c>
      <c r="AV113" s="76">
        <f t="shared" si="420"/>
        <v>108.2197076023392</v>
      </c>
      <c r="AW113" s="76">
        <f t="shared" si="420"/>
        <v>85.249707602339186</v>
      </c>
      <c r="AX113" s="76">
        <f t="shared" ref="AX113:BJ113" si="421">+AW117</f>
        <v>62.465263157894739</v>
      </c>
      <c r="AY113" s="76">
        <f t="shared" si="421"/>
        <v>36.399772727272733</v>
      </c>
      <c r="AZ113" s="76">
        <f t="shared" si="421"/>
        <v>12.576614832535892</v>
      </c>
      <c r="BA113" s="76">
        <f t="shared" si="421"/>
        <v>8.3129306220095778</v>
      </c>
      <c r="BB113" s="76">
        <f t="shared" si="421"/>
        <v>24.716088516746421</v>
      </c>
      <c r="BC113" s="76">
        <f t="shared" si="421"/>
        <v>33.114721586575143</v>
      </c>
      <c r="BD113" s="76">
        <f t="shared" si="421"/>
        <v>58.417879481311985</v>
      </c>
      <c r="BE113" s="76">
        <f t="shared" si="421"/>
        <v>92.371563691838304</v>
      </c>
      <c r="BF113" s="76">
        <f t="shared" si="421"/>
        <v>101.84435350951976</v>
      </c>
      <c r="BG113" s="76">
        <f t="shared" si="421"/>
        <v>124.57700034399726</v>
      </c>
      <c r="BH113" s="76">
        <f t="shared" si="421"/>
        <v>124.57700034399727</v>
      </c>
      <c r="BI113" s="76">
        <f t="shared" si="421"/>
        <v>95.757000343997277</v>
      </c>
      <c r="BJ113" s="76">
        <f t="shared" si="421"/>
        <v>68.46105263157898</v>
      </c>
    </row>
    <row r="114" spans="2:62" outlineLevel="1">
      <c r="B114" t="s">
        <v>266</v>
      </c>
      <c r="C114" s="123">
        <v>6</v>
      </c>
      <c r="D114" s="123">
        <v>8</v>
      </c>
      <c r="E114" s="123">
        <v>9</v>
      </c>
      <c r="F114" s="123">
        <v>25</v>
      </c>
      <c r="G114" s="123">
        <v>7</v>
      </c>
      <c r="H114" s="123">
        <v>6</v>
      </c>
      <c r="I114" s="123">
        <v>17</v>
      </c>
      <c r="J114" s="123">
        <v>8</v>
      </c>
      <c r="K114" s="123">
        <v>4</v>
      </c>
      <c r="L114" s="123">
        <v>2</v>
      </c>
      <c r="M114" s="125">
        <v>2</v>
      </c>
      <c r="N114" s="125">
        <v>11</v>
      </c>
      <c r="O114" s="463">
        <v>11</v>
      </c>
      <c r="P114" s="463">
        <v>8</v>
      </c>
      <c r="Q114" s="463">
        <v>21</v>
      </c>
      <c r="R114" s="463">
        <v>29</v>
      </c>
      <c r="S114" s="463">
        <v>14</v>
      </c>
      <c r="T114" s="463">
        <v>14</v>
      </c>
      <c r="U114" s="463">
        <v>9</v>
      </c>
      <c r="V114" s="463">
        <v>16</v>
      </c>
      <c r="W114" s="463">
        <v>9</v>
      </c>
      <c r="X114" s="463">
        <v>2</v>
      </c>
      <c r="Y114" s="463">
        <v>2</v>
      </c>
      <c r="Z114" s="463">
        <v>2</v>
      </c>
      <c r="AA114" s="463">
        <v>21</v>
      </c>
      <c r="AB114" s="463">
        <v>11</v>
      </c>
      <c r="AC114" s="463">
        <v>11</v>
      </c>
      <c r="AD114" s="463">
        <v>13</v>
      </c>
      <c r="AE114" s="463">
        <v>12</v>
      </c>
      <c r="AF114" s="463">
        <v>13</v>
      </c>
      <c r="AG114" s="463">
        <v>19</v>
      </c>
      <c r="AH114" s="463">
        <v>22</v>
      </c>
      <c r="AI114" s="122">
        <v>11</v>
      </c>
      <c r="AJ114" s="122">
        <v>2</v>
      </c>
      <c r="AK114" s="122">
        <v>1</v>
      </c>
      <c r="AL114" s="122">
        <v>5</v>
      </c>
      <c r="AM114" s="122">
        <v>4</v>
      </c>
      <c r="AN114" s="122">
        <v>2</v>
      </c>
      <c r="AO114" s="122">
        <v>16</v>
      </c>
      <c r="AP114" s="122">
        <v>12</v>
      </c>
      <c r="AQ114" s="116">
        <f>(AQ107+AQ106)*AQ112</f>
        <v>25.2</v>
      </c>
      <c r="AR114" s="116">
        <f>(AR107+AR106)*AR112</f>
        <v>29.960000000000004</v>
      </c>
      <c r="AS114" s="116">
        <f t="shared" ref="AS114:BJ114" si="422">(AS107+AS106)*AS112</f>
        <v>27.444444444444446</v>
      </c>
      <c r="AT114" s="116">
        <f t="shared" si="422"/>
        <v>32.85526315789474</v>
      </c>
      <c r="AU114" s="116">
        <f t="shared" si="422"/>
        <v>27.959999999999997</v>
      </c>
      <c r="AV114" s="116">
        <f t="shared" si="422"/>
        <v>6.9899999999999993</v>
      </c>
      <c r="AW114" s="116">
        <f t="shared" si="422"/>
        <v>4.66</v>
      </c>
      <c r="AX114" s="116">
        <f t="shared" si="422"/>
        <v>6.7897727272727266</v>
      </c>
      <c r="AY114" s="116">
        <f>(AY107+AY106)*AY112</f>
        <v>5.1368421052631579</v>
      </c>
      <c r="AZ114" s="116">
        <f t="shared" si="422"/>
        <v>2.7263157894736842</v>
      </c>
      <c r="BA114" s="116">
        <f t="shared" si="422"/>
        <v>22.063157894736843</v>
      </c>
      <c r="BB114" s="116">
        <f t="shared" si="422"/>
        <v>15.188405797101449</v>
      </c>
      <c r="BC114" s="116">
        <f t="shared" si="422"/>
        <v>31.439999999999998</v>
      </c>
      <c r="BD114" s="116">
        <f t="shared" si="422"/>
        <v>36.680000000000007</v>
      </c>
      <c r="BE114" s="116">
        <f t="shared" si="422"/>
        <v>32.535947712418299</v>
      </c>
      <c r="BF114" s="116">
        <f t="shared" si="422"/>
        <v>37.921052631578952</v>
      </c>
      <c r="BG114" s="116">
        <f t="shared" si="422"/>
        <v>31.439999999999998</v>
      </c>
      <c r="BH114" s="116">
        <f t="shared" si="422"/>
        <v>7.8599999999999994</v>
      </c>
      <c r="BI114" s="116">
        <f t="shared" si="422"/>
        <v>5.24</v>
      </c>
      <c r="BJ114" s="116">
        <f t="shared" si="422"/>
        <v>7.4431818181818183</v>
      </c>
    </row>
    <row r="115" spans="2:62" outlineLevel="1">
      <c r="B115" t="s">
        <v>445</v>
      </c>
      <c r="C115" s="56"/>
      <c r="D115" s="56"/>
      <c r="E115" s="56"/>
      <c r="F115" s="56"/>
      <c r="G115" s="123">
        <v>-12</v>
      </c>
      <c r="H115" s="123">
        <v>-6</v>
      </c>
      <c r="I115" s="123">
        <v>-16</v>
      </c>
      <c r="J115" s="123">
        <v>-26</v>
      </c>
      <c r="K115" s="123">
        <v>-3</v>
      </c>
      <c r="L115" s="123">
        <v>-4</v>
      </c>
      <c r="M115" s="125">
        <v>-17</v>
      </c>
      <c r="N115" s="125">
        <v>-10</v>
      </c>
      <c r="O115" s="115"/>
      <c r="P115" s="125">
        <v>-4</v>
      </c>
      <c r="Q115" s="115"/>
      <c r="R115" s="116"/>
      <c r="S115" s="463">
        <v>-10</v>
      </c>
      <c r="T115" s="463">
        <v>-20</v>
      </c>
      <c r="U115" s="463">
        <v>-23</v>
      </c>
      <c r="V115" s="463"/>
      <c r="W115" s="463">
        <v>-22</v>
      </c>
      <c r="X115" s="463">
        <v>-13</v>
      </c>
      <c r="Y115" s="463">
        <v>-9</v>
      </c>
      <c r="Z115" s="463">
        <v>-5</v>
      </c>
      <c r="AA115" s="463">
        <v>-19</v>
      </c>
      <c r="AB115" s="463">
        <v>-2</v>
      </c>
      <c r="AC115" s="463">
        <v>-2</v>
      </c>
      <c r="AD115" s="116"/>
      <c r="AE115" s="116"/>
      <c r="AF115" s="463">
        <v>-31</v>
      </c>
      <c r="AG115" s="463">
        <v>-1</v>
      </c>
      <c r="AH115" s="116"/>
      <c r="AI115" s="463">
        <v>-26</v>
      </c>
      <c r="AJ115" s="116">
        <v>-13</v>
      </c>
      <c r="AK115" s="116">
        <v>-10</v>
      </c>
      <c r="AL115" s="116">
        <v>-30</v>
      </c>
      <c r="AM115" s="116">
        <v>-10</v>
      </c>
      <c r="AN115" s="116">
        <v>-13</v>
      </c>
      <c r="AO115" s="116">
        <f t="shared" ref="AO115:BJ115" si="423">-AK114</f>
        <v>-1</v>
      </c>
      <c r="AP115" s="116">
        <f t="shared" si="423"/>
        <v>-5</v>
      </c>
      <c r="AQ115" s="116">
        <f t="shared" si="423"/>
        <v>-4</v>
      </c>
      <c r="AR115" s="116">
        <f t="shared" si="423"/>
        <v>-2</v>
      </c>
      <c r="AS115" s="116">
        <f t="shared" si="423"/>
        <v>-16</v>
      </c>
      <c r="AT115" s="116">
        <f t="shared" si="423"/>
        <v>-12</v>
      </c>
      <c r="AU115" s="116">
        <f t="shared" si="423"/>
        <v>-25.2</v>
      </c>
      <c r="AV115" s="116">
        <f t="shared" si="423"/>
        <v>-29.960000000000004</v>
      </c>
      <c r="AW115" s="116">
        <f t="shared" si="423"/>
        <v>-27.444444444444446</v>
      </c>
      <c r="AX115" s="116">
        <f t="shared" si="423"/>
        <v>-32.85526315789474</v>
      </c>
      <c r="AY115" s="116">
        <f t="shared" si="423"/>
        <v>-27.959999999999997</v>
      </c>
      <c r="AZ115" s="116">
        <f t="shared" si="423"/>
        <v>-6.9899999999999993</v>
      </c>
      <c r="BA115" s="116">
        <f t="shared" si="423"/>
        <v>-4.66</v>
      </c>
      <c r="BB115" s="116">
        <f t="shared" si="423"/>
        <v>-6.7897727272727266</v>
      </c>
      <c r="BC115" s="116">
        <f t="shared" si="423"/>
        <v>-5.1368421052631579</v>
      </c>
      <c r="BD115" s="116">
        <f t="shared" si="423"/>
        <v>-2.7263157894736842</v>
      </c>
      <c r="BE115" s="116">
        <f t="shared" si="423"/>
        <v>-22.063157894736843</v>
      </c>
      <c r="BF115" s="116">
        <f t="shared" si="423"/>
        <v>-15.188405797101449</v>
      </c>
      <c r="BG115" s="116">
        <f t="shared" si="423"/>
        <v>-31.439999999999998</v>
      </c>
      <c r="BH115" s="116">
        <f t="shared" si="423"/>
        <v>-36.680000000000007</v>
      </c>
      <c r="BI115" s="116">
        <f t="shared" si="423"/>
        <v>-32.535947712418299</v>
      </c>
      <c r="BJ115" s="116">
        <f t="shared" si="423"/>
        <v>-37.921052631578952</v>
      </c>
    </row>
    <row r="116" spans="2:62" outlineLevel="1">
      <c r="B116" t="s">
        <v>267</v>
      </c>
      <c r="C116" s="56"/>
      <c r="D116" s="123">
        <v>-3</v>
      </c>
      <c r="E116" s="123">
        <v>-1</v>
      </c>
      <c r="F116" s="123">
        <v>-3</v>
      </c>
      <c r="G116" s="123">
        <v>-1</v>
      </c>
      <c r="H116" s="123"/>
      <c r="I116" s="123">
        <v>-1</v>
      </c>
      <c r="J116" s="123">
        <v>-1</v>
      </c>
      <c r="K116" s="56"/>
      <c r="L116" s="56"/>
      <c r="M116" s="56"/>
      <c r="N116" s="123">
        <v>-9</v>
      </c>
      <c r="O116" s="464">
        <v>-1</v>
      </c>
      <c r="P116" s="464">
        <v>-1</v>
      </c>
      <c r="Q116" s="464">
        <v>-1</v>
      </c>
      <c r="R116" s="463">
        <v>-3</v>
      </c>
      <c r="S116" s="463">
        <v>-1</v>
      </c>
      <c r="T116" s="464">
        <v>-1</v>
      </c>
      <c r="U116" s="464">
        <v>-1</v>
      </c>
      <c r="V116" s="77"/>
      <c r="W116" s="77"/>
      <c r="X116" s="464">
        <v>-1</v>
      </c>
      <c r="Y116" s="464">
        <v>-1</v>
      </c>
      <c r="Z116" s="77"/>
      <c r="AA116" s="77"/>
      <c r="AB116" s="464">
        <v>-1</v>
      </c>
      <c r="AC116" s="464">
        <v>-1</v>
      </c>
      <c r="AD116" s="464">
        <v>-1</v>
      </c>
      <c r="AE116" s="116"/>
      <c r="AF116" s="464">
        <v>-4</v>
      </c>
      <c r="AG116" s="116"/>
      <c r="AH116" s="464">
        <v>-3</v>
      </c>
      <c r="AI116" s="77"/>
      <c r="AJ116" s="77"/>
      <c r="AK116" s="77"/>
      <c r="AL116" s="77"/>
      <c r="AM116" s="116">
        <v>-1</v>
      </c>
      <c r="AN116" s="77"/>
      <c r="AO116" s="116">
        <v>-1</v>
      </c>
      <c r="AP116" s="77"/>
      <c r="AQ116" s="116">
        <v>-1</v>
      </c>
      <c r="AR116" s="77"/>
      <c r="AS116" s="116">
        <v>-1</v>
      </c>
      <c r="AT116" s="77"/>
      <c r="AU116" s="77"/>
      <c r="AV116" s="77"/>
      <c r="AW116" s="77"/>
      <c r="AX116" s="77"/>
      <c r="AY116" s="116">
        <v>-1</v>
      </c>
      <c r="AZ116" s="77"/>
      <c r="BA116" s="116">
        <v>-1</v>
      </c>
      <c r="BB116" s="77"/>
      <c r="BC116" s="116">
        <v>-1</v>
      </c>
      <c r="BD116" s="77"/>
      <c r="BE116" s="116">
        <v>-1</v>
      </c>
      <c r="BF116" s="77"/>
      <c r="BG116" s="77"/>
      <c r="BH116" s="77"/>
      <c r="BI116" s="77"/>
      <c r="BJ116" s="77"/>
    </row>
    <row r="117" spans="2:62" outlineLevel="1">
      <c r="B117" s="57" t="s">
        <v>254</v>
      </c>
      <c r="C117" s="517">
        <f>SUM(C113:C116)</f>
        <v>20</v>
      </c>
      <c r="D117" s="517">
        <f>SUM(D113:D116)</f>
        <v>25</v>
      </c>
      <c r="E117" s="517">
        <f t="shared" ref="E117:AX117" si="424">SUM(E113:E116)</f>
        <v>33</v>
      </c>
      <c r="F117" s="517">
        <f t="shared" si="424"/>
        <v>55</v>
      </c>
      <c r="G117" s="517">
        <f>SUM(G113:G116)</f>
        <v>49</v>
      </c>
      <c r="H117" s="517">
        <f t="shared" si="424"/>
        <v>49</v>
      </c>
      <c r="I117" s="517">
        <f t="shared" si="424"/>
        <v>49</v>
      </c>
      <c r="J117" s="517">
        <f t="shared" si="424"/>
        <v>30</v>
      </c>
      <c r="K117" s="517">
        <f t="shared" si="424"/>
        <v>31</v>
      </c>
      <c r="L117" s="517">
        <f t="shared" si="424"/>
        <v>29</v>
      </c>
      <c r="M117" s="517">
        <f t="shared" si="424"/>
        <v>14</v>
      </c>
      <c r="N117" s="517">
        <f t="shared" si="424"/>
        <v>6</v>
      </c>
      <c r="O117" s="518">
        <f>SUM(O113:O116)</f>
        <v>16</v>
      </c>
      <c r="P117" s="518">
        <f>SUM(P113:P116)</f>
        <v>19</v>
      </c>
      <c r="Q117" s="518">
        <f>SUM(Q113:Q116)</f>
        <v>39</v>
      </c>
      <c r="R117" s="518">
        <f t="shared" si="424"/>
        <v>65</v>
      </c>
      <c r="S117" s="518">
        <f t="shared" si="424"/>
        <v>68</v>
      </c>
      <c r="T117" s="518">
        <f t="shared" si="424"/>
        <v>61</v>
      </c>
      <c r="U117" s="518">
        <f t="shared" si="424"/>
        <v>46</v>
      </c>
      <c r="V117" s="518">
        <f t="shared" si="424"/>
        <v>62</v>
      </c>
      <c r="W117" s="518">
        <f t="shared" si="424"/>
        <v>49</v>
      </c>
      <c r="X117" s="518">
        <f t="shared" si="424"/>
        <v>37</v>
      </c>
      <c r="Y117" s="518">
        <f t="shared" si="424"/>
        <v>29</v>
      </c>
      <c r="Z117" s="518">
        <f t="shared" si="424"/>
        <v>26</v>
      </c>
      <c r="AA117" s="518">
        <f t="shared" si="424"/>
        <v>28</v>
      </c>
      <c r="AB117" s="518">
        <f t="shared" si="424"/>
        <v>36</v>
      </c>
      <c r="AC117" s="518">
        <f t="shared" si="424"/>
        <v>44</v>
      </c>
      <c r="AD117" s="518">
        <f t="shared" si="424"/>
        <v>56</v>
      </c>
      <c r="AE117" s="518">
        <f t="shared" si="424"/>
        <v>68</v>
      </c>
      <c r="AF117" s="518">
        <f t="shared" si="424"/>
        <v>46</v>
      </c>
      <c r="AG117" s="518">
        <f t="shared" si="424"/>
        <v>64</v>
      </c>
      <c r="AH117" s="518">
        <f>SUM(AH113:AH116)</f>
        <v>83</v>
      </c>
      <c r="AI117" s="78">
        <f t="shared" si="424"/>
        <v>68</v>
      </c>
      <c r="AJ117" s="78">
        <f t="shared" si="424"/>
        <v>57</v>
      </c>
      <c r="AK117" s="78">
        <f t="shared" si="424"/>
        <v>48</v>
      </c>
      <c r="AL117" s="78">
        <f t="shared" si="424"/>
        <v>23</v>
      </c>
      <c r="AM117" s="78">
        <f t="shared" si="424"/>
        <v>16</v>
      </c>
      <c r="AN117" s="78">
        <f t="shared" si="424"/>
        <v>5</v>
      </c>
      <c r="AO117" s="78">
        <f t="shared" si="424"/>
        <v>19</v>
      </c>
      <c r="AP117" s="78">
        <f t="shared" si="424"/>
        <v>26</v>
      </c>
      <c r="AQ117" s="78">
        <f t="shared" si="424"/>
        <v>46.2</v>
      </c>
      <c r="AR117" s="78">
        <f t="shared" si="424"/>
        <v>74.160000000000011</v>
      </c>
      <c r="AS117" s="78">
        <f t="shared" si="424"/>
        <v>84.604444444444454</v>
      </c>
      <c r="AT117" s="78">
        <f t="shared" si="424"/>
        <v>105.45970760233919</v>
      </c>
      <c r="AU117" s="78">
        <f t="shared" si="424"/>
        <v>108.2197076023392</v>
      </c>
      <c r="AV117" s="78">
        <f t="shared" si="424"/>
        <v>85.249707602339186</v>
      </c>
      <c r="AW117" s="78">
        <f t="shared" si="424"/>
        <v>62.465263157894739</v>
      </c>
      <c r="AX117" s="78">
        <f t="shared" si="424"/>
        <v>36.399772727272733</v>
      </c>
      <c r="AY117" s="78">
        <f t="shared" ref="AY117:BJ117" si="425">SUM(AY113:AY116)</f>
        <v>12.576614832535892</v>
      </c>
      <c r="AZ117" s="78">
        <f t="shared" si="425"/>
        <v>8.3129306220095778</v>
      </c>
      <c r="BA117" s="78">
        <f t="shared" si="425"/>
        <v>24.716088516746421</v>
      </c>
      <c r="BB117" s="78">
        <f t="shared" si="425"/>
        <v>33.114721586575143</v>
      </c>
      <c r="BC117" s="78">
        <f t="shared" si="425"/>
        <v>58.417879481311985</v>
      </c>
      <c r="BD117" s="78">
        <f t="shared" si="425"/>
        <v>92.371563691838304</v>
      </c>
      <c r="BE117" s="78">
        <f t="shared" si="425"/>
        <v>101.84435350951976</v>
      </c>
      <c r="BF117" s="78">
        <f t="shared" si="425"/>
        <v>124.57700034399726</v>
      </c>
      <c r="BG117" s="78">
        <f t="shared" si="425"/>
        <v>124.57700034399727</v>
      </c>
      <c r="BH117" s="78">
        <f t="shared" si="425"/>
        <v>95.757000343997277</v>
      </c>
      <c r="BI117" s="78">
        <f t="shared" si="425"/>
        <v>68.46105263157898</v>
      </c>
      <c r="BJ117" s="78">
        <f t="shared" si="425"/>
        <v>37.983181818181841</v>
      </c>
    </row>
    <row r="118" spans="2:62" outlineLevel="1">
      <c r="B118" s="71" t="s">
        <v>264</v>
      </c>
      <c r="N118" s="64">
        <f>SUM(C114:N114,C116:N116)+SUM(H115:R115)+G115+C113</f>
        <v>2</v>
      </c>
      <c r="Z118" s="74">
        <f>SUM(O114:Z114,O116:Z116)+SUM(S115:AD115)</f>
        <v>1</v>
      </c>
      <c r="AL118" s="74">
        <f>SUM(AA114:AL114,AA116:AL116)+SUM(AF115:AQ115)</f>
        <v>-13</v>
      </c>
      <c r="AX118" s="74">
        <f>SUM(AM114:AX114,AM116:AX116)+SUM(AR115:BC115)</f>
        <v>-5.1368421052631561</v>
      </c>
      <c r="BJ118" s="74">
        <f>SUM(AY114:BJ114,AY116:BJ116)+SUM(BD115:BO115)</f>
        <v>53.12002392344499</v>
      </c>
    </row>
    <row r="119" spans="2:62" outlineLevel="1">
      <c r="B119" s="71"/>
      <c r="N119" s="64"/>
      <c r="O119" s="496"/>
      <c r="P119" s="496"/>
      <c r="Q119" s="496"/>
      <c r="R119" s="496"/>
      <c r="S119" s="496"/>
      <c r="T119" s="496"/>
      <c r="U119" s="496"/>
      <c r="V119" s="496"/>
      <c r="W119" s="496"/>
      <c r="X119" s="496"/>
      <c r="Y119" s="496"/>
      <c r="Z119" s="496"/>
      <c r="AA119" s="496"/>
      <c r="AF119" s="76"/>
      <c r="AG119" s="76"/>
      <c r="AL119" s="74"/>
      <c r="AX119" s="74"/>
      <c r="BJ119" s="74"/>
    </row>
    <row r="120" spans="2:62" outlineLevel="1">
      <c r="B120" s="54" t="s">
        <v>310</v>
      </c>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74"/>
      <c r="BG120" s="84"/>
      <c r="BH120" s="84"/>
      <c r="BI120" s="84"/>
      <c r="BJ120" s="84"/>
    </row>
    <row r="121" spans="2:62" outlineLevel="1">
      <c r="B121" t="s">
        <v>390</v>
      </c>
      <c r="C121" s="56">
        <v>131</v>
      </c>
      <c r="D121">
        <f>+C126</f>
        <v>131</v>
      </c>
      <c r="E121" s="76">
        <f t="shared" ref="E121:AX121" si="426">+D126</f>
        <v>70</v>
      </c>
      <c r="F121" s="76">
        <f t="shared" si="426"/>
        <v>70</v>
      </c>
      <c r="G121" s="76">
        <f t="shared" si="426"/>
        <v>70</v>
      </c>
      <c r="H121" s="76">
        <f t="shared" si="426"/>
        <v>12</v>
      </c>
      <c r="I121" s="76">
        <f t="shared" si="426"/>
        <v>18</v>
      </c>
      <c r="J121" s="76">
        <f t="shared" si="426"/>
        <v>34</v>
      </c>
      <c r="K121" s="76">
        <f t="shared" si="426"/>
        <v>35</v>
      </c>
      <c r="L121" s="76">
        <f t="shared" si="426"/>
        <v>37</v>
      </c>
      <c r="M121" s="76">
        <f t="shared" si="426"/>
        <v>19</v>
      </c>
      <c r="N121" s="76">
        <f t="shared" si="426"/>
        <v>36</v>
      </c>
      <c r="O121" s="76">
        <f>+N126</f>
        <v>27</v>
      </c>
      <c r="P121" s="76">
        <f t="shared" si="426"/>
        <v>6</v>
      </c>
      <c r="Q121" s="76">
        <f t="shared" si="426"/>
        <v>10</v>
      </c>
      <c r="R121" s="76">
        <f t="shared" si="426"/>
        <v>10</v>
      </c>
      <c r="S121" s="76">
        <f t="shared" si="426"/>
        <v>7</v>
      </c>
      <c r="T121" s="76">
        <f t="shared" si="426"/>
        <v>10</v>
      </c>
      <c r="U121" s="76">
        <f t="shared" si="426"/>
        <v>30</v>
      </c>
      <c r="V121" s="76">
        <f t="shared" si="426"/>
        <v>45</v>
      </c>
      <c r="W121" s="76">
        <f t="shared" si="426"/>
        <v>34</v>
      </c>
      <c r="X121" s="76">
        <f t="shared" si="426"/>
        <v>56</v>
      </c>
      <c r="Y121" s="76">
        <f t="shared" si="426"/>
        <v>0</v>
      </c>
      <c r="Z121" s="76">
        <f t="shared" si="426"/>
        <v>0</v>
      </c>
      <c r="AA121" s="76">
        <f t="shared" si="426"/>
        <v>0</v>
      </c>
      <c r="AB121" s="76">
        <f t="shared" si="426"/>
        <v>0</v>
      </c>
      <c r="AC121" s="76">
        <f t="shared" si="426"/>
        <v>0</v>
      </c>
      <c r="AD121" s="76">
        <f t="shared" si="426"/>
        <v>0</v>
      </c>
      <c r="AE121" s="76">
        <f t="shared" si="426"/>
        <v>0</v>
      </c>
      <c r="AF121" s="76">
        <f t="shared" si="426"/>
        <v>0</v>
      </c>
      <c r="AG121" s="76">
        <f t="shared" si="426"/>
        <v>0</v>
      </c>
      <c r="AH121" s="76">
        <f t="shared" si="426"/>
        <v>0</v>
      </c>
      <c r="AI121" s="76">
        <f t="shared" si="426"/>
        <v>0</v>
      </c>
      <c r="AJ121" s="76">
        <f t="shared" si="426"/>
        <v>0</v>
      </c>
      <c r="AK121" s="76">
        <f t="shared" si="426"/>
        <v>0</v>
      </c>
      <c r="AL121" s="76">
        <f t="shared" si="426"/>
        <v>0</v>
      </c>
      <c r="AM121" s="76">
        <f t="shared" si="426"/>
        <v>0</v>
      </c>
      <c r="AN121" s="76">
        <f t="shared" si="426"/>
        <v>3</v>
      </c>
      <c r="AO121" s="76">
        <f t="shared" si="426"/>
        <v>16</v>
      </c>
      <c r="AP121" s="76">
        <f t="shared" si="426"/>
        <v>7</v>
      </c>
      <c r="AQ121" s="76">
        <f t="shared" si="426"/>
        <v>-1</v>
      </c>
      <c r="AR121" s="76">
        <f t="shared" si="426"/>
        <v>2</v>
      </c>
      <c r="AS121" s="76">
        <f t="shared" si="426"/>
        <v>-1</v>
      </c>
      <c r="AT121" s="76">
        <f t="shared" si="426"/>
        <v>11</v>
      </c>
      <c r="AU121" s="76">
        <f t="shared" si="426"/>
        <v>21</v>
      </c>
      <c r="AV121" s="76">
        <f t="shared" si="426"/>
        <v>30.200000000000003</v>
      </c>
      <c r="AW121" s="76">
        <f t="shared" si="426"/>
        <v>48.160000000000011</v>
      </c>
      <c r="AX121" s="76">
        <f t="shared" si="426"/>
        <v>50.404444444444451</v>
      </c>
      <c r="AY121" s="76">
        <f t="shared" ref="AY121:BJ121" si="427">+AX126</f>
        <v>53.299707602339183</v>
      </c>
      <c r="AZ121" s="76">
        <f t="shared" si="427"/>
        <v>53.815263157894734</v>
      </c>
      <c r="BA121" s="76">
        <f t="shared" si="427"/>
        <v>27.949999999999996</v>
      </c>
      <c r="BB121" s="76">
        <f t="shared" si="427"/>
        <v>4.6500000000000021</v>
      </c>
      <c r="BC121" s="76">
        <f t="shared" si="427"/>
        <v>4.4497727272727294</v>
      </c>
      <c r="BD121" s="76">
        <f t="shared" si="427"/>
        <v>4.9266148325358863</v>
      </c>
      <c r="BE121" s="76">
        <f t="shared" si="427"/>
        <v>0.8631578947368439</v>
      </c>
      <c r="BF121" s="76">
        <f t="shared" si="427"/>
        <v>17.789473684210527</v>
      </c>
      <c r="BG121" s="76">
        <f t="shared" si="427"/>
        <v>30.251563691838289</v>
      </c>
      <c r="BH121" s="76">
        <f t="shared" si="427"/>
        <v>39.628405797101436</v>
      </c>
      <c r="BI121" s="76">
        <f t="shared" si="427"/>
        <v>61.11999999999999</v>
      </c>
      <c r="BJ121" s="76">
        <f t="shared" si="427"/>
        <v>62.215947712418284</v>
      </c>
    </row>
    <row r="122" spans="2:62" outlineLevel="1">
      <c r="B122" t="s">
        <v>391</v>
      </c>
      <c r="C122" s="76">
        <f t="shared" ref="C122:Y122" si="428">-C115</f>
        <v>0</v>
      </c>
      <c r="D122" s="76">
        <f t="shared" si="428"/>
        <v>0</v>
      </c>
      <c r="E122" s="76">
        <f t="shared" si="428"/>
        <v>0</v>
      </c>
      <c r="F122" s="76">
        <f t="shared" si="428"/>
        <v>0</v>
      </c>
      <c r="G122" s="76">
        <f t="shared" si="428"/>
        <v>12</v>
      </c>
      <c r="H122" s="76">
        <f t="shared" si="428"/>
        <v>6</v>
      </c>
      <c r="I122" s="76">
        <f t="shared" si="428"/>
        <v>16</v>
      </c>
      <c r="J122" s="76">
        <f t="shared" si="428"/>
        <v>26</v>
      </c>
      <c r="K122" s="76">
        <f t="shared" si="428"/>
        <v>3</v>
      </c>
      <c r="L122" s="76">
        <f t="shared" si="428"/>
        <v>4</v>
      </c>
      <c r="M122" s="76">
        <f t="shared" si="428"/>
        <v>17</v>
      </c>
      <c r="N122" s="76">
        <f t="shared" si="428"/>
        <v>10</v>
      </c>
      <c r="O122" s="76">
        <f t="shared" si="428"/>
        <v>0</v>
      </c>
      <c r="P122" s="76">
        <f t="shared" si="428"/>
        <v>4</v>
      </c>
      <c r="Q122" s="76">
        <f t="shared" si="428"/>
        <v>0</v>
      </c>
      <c r="R122" s="76">
        <f t="shared" si="428"/>
        <v>0</v>
      </c>
      <c r="S122" s="76">
        <f>-S115</f>
        <v>10</v>
      </c>
      <c r="T122" s="76">
        <f t="shared" si="428"/>
        <v>20</v>
      </c>
      <c r="U122" s="76">
        <f>-U115</f>
        <v>23</v>
      </c>
      <c r="V122" s="76">
        <f t="shared" si="428"/>
        <v>0</v>
      </c>
      <c r="W122" s="76">
        <f t="shared" si="428"/>
        <v>22</v>
      </c>
      <c r="X122" s="76">
        <f t="shared" si="428"/>
        <v>13</v>
      </c>
      <c r="Y122" s="76">
        <f t="shared" si="428"/>
        <v>9</v>
      </c>
      <c r="Z122" s="76">
        <f>-Z115</f>
        <v>5</v>
      </c>
      <c r="AA122" s="76">
        <f>-AA115</f>
        <v>19</v>
      </c>
      <c r="AB122" s="76">
        <f>-AB115</f>
        <v>2</v>
      </c>
      <c r="AC122" s="76">
        <f>-AC115</f>
        <v>2</v>
      </c>
      <c r="AD122" s="76">
        <f>-AD115</f>
        <v>0</v>
      </c>
      <c r="AE122" s="76">
        <f t="shared" ref="AE122:BJ122" si="429">-AE115</f>
        <v>0</v>
      </c>
      <c r="AF122" s="76">
        <f t="shared" si="429"/>
        <v>31</v>
      </c>
      <c r="AG122" s="76">
        <f t="shared" si="429"/>
        <v>1</v>
      </c>
      <c r="AH122" s="76">
        <f t="shared" si="429"/>
        <v>0</v>
      </c>
      <c r="AI122" s="76">
        <f t="shared" si="429"/>
        <v>26</v>
      </c>
      <c r="AJ122" s="76">
        <f t="shared" si="429"/>
        <v>13</v>
      </c>
      <c r="AK122" s="76">
        <f t="shared" si="429"/>
        <v>10</v>
      </c>
      <c r="AL122" s="76">
        <f t="shared" si="429"/>
        <v>30</v>
      </c>
      <c r="AM122" s="76">
        <f t="shared" si="429"/>
        <v>10</v>
      </c>
      <c r="AN122" s="76">
        <f t="shared" si="429"/>
        <v>13</v>
      </c>
      <c r="AO122" s="76">
        <f t="shared" si="429"/>
        <v>1</v>
      </c>
      <c r="AP122" s="76">
        <f t="shared" si="429"/>
        <v>5</v>
      </c>
      <c r="AQ122" s="76">
        <f t="shared" si="429"/>
        <v>4</v>
      </c>
      <c r="AR122" s="76">
        <f t="shared" si="429"/>
        <v>2</v>
      </c>
      <c r="AS122" s="76">
        <f t="shared" si="429"/>
        <v>16</v>
      </c>
      <c r="AT122" s="76">
        <f t="shared" si="429"/>
        <v>12</v>
      </c>
      <c r="AU122" s="76">
        <f t="shared" si="429"/>
        <v>25.2</v>
      </c>
      <c r="AV122" s="76">
        <f t="shared" si="429"/>
        <v>29.960000000000004</v>
      </c>
      <c r="AW122" s="76">
        <f t="shared" si="429"/>
        <v>27.444444444444446</v>
      </c>
      <c r="AX122" s="76">
        <f t="shared" si="429"/>
        <v>32.85526315789474</v>
      </c>
      <c r="AY122" s="76">
        <f t="shared" si="429"/>
        <v>27.959999999999997</v>
      </c>
      <c r="AZ122" s="76">
        <f t="shared" si="429"/>
        <v>6.9899999999999993</v>
      </c>
      <c r="BA122" s="76">
        <f t="shared" si="429"/>
        <v>4.66</v>
      </c>
      <c r="BB122" s="76">
        <f t="shared" si="429"/>
        <v>6.7897727272727266</v>
      </c>
      <c r="BC122" s="76">
        <f t="shared" si="429"/>
        <v>5.1368421052631579</v>
      </c>
      <c r="BD122" s="76">
        <f t="shared" si="429"/>
        <v>2.7263157894736842</v>
      </c>
      <c r="BE122" s="76">
        <f t="shared" si="429"/>
        <v>22.063157894736843</v>
      </c>
      <c r="BF122" s="76">
        <f t="shared" si="429"/>
        <v>15.188405797101449</v>
      </c>
      <c r="BG122" s="76">
        <f t="shared" si="429"/>
        <v>31.439999999999998</v>
      </c>
      <c r="BH122" s="76">
        <f t="shared" si="429"/>
        <v>36.680000000000007</v>
      </c>
      <c r="BI122" s="76">
        <f t="shared" si="429"/>
        <v>32.535947712418299</v>
      </c>
      <c r="BJ122" s="76">
        <f t="shared" si="429"/>
        <v>37.921052631578952</v>
      </c>
    </row>
    <row r="123" spans="2:62" outlineLevel="1">
      <c r="B123" t="s">
        <v>253</v>
      </c>
      <c r="C123" s="56"/>
      <c r="D123" s="56"/>
      <c r="E123" s="56"/>
      <c r="F123" s="56"/>
      <c r="G123" s="123"/>
      <c r="H123" s="123"/>
      <c r="I123" s="123"/>
      <c r="J123" s="123"/>
      <c r="K123" s="123"/>
      <c r="L123" s="123">
        <v>-1</v>
      </c>
      <c r="M123" s="125"/>
      <c r="N123" s="125">
        <v>-4</v>
      </c>
      <c r="O123" s="115"/>
      <c r="P123" s="115"/>
      <c r="Q123" s="115"/>
      <c r="R123" s="115"/>
      <c r="S123" s="116"/>
      <c r="T123" s="116"/>
      <c r="U123" s="116"/>
      <c r="V123" s="463">
        <v>-1</v>
      </c>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row>
    <row r="124" spans="2:62" outlineLevel="1">
      <c r="B124" t="s">
        <v>395</v>
      </c>
      <c r="C124" s="56"/>
      <c r="D124" s="56"/>
      <c r="E124" s="56"/>
      <c r="F124" s="56"/>
      <c r="G124" s="56"/>
      <c r="H124" s="56"/>
      <c r="I124" s="56"/>
      <c r="J124" s="56"/>
      <c r="K124" s="56"/>
      <c r="L124" s="56"/>
      <c r="M124" s="56"/>
      <c r="N124" s="123"/>
      <c r="O124" s="56"/>
      <c r="P124" s="56"/>
      <c r="Q124" s="56"/>
      <c r="R124" s="56"/>
      <c r="S124" s="56"/>
      <c r="T124" s="56"/>
      <c r="U124" s="56"/>
      <c r="V124" s="56"/>
      <c r="W124" s="56"/>
      <c r="X124" s="123">
        <v>-69</v>
      </c>
      <c r="Y124" s="123">
        <v>-9</v>
      </c>
      <c r="Z124" s="123">
        <v>-5</v>
      </c>
      <c r="AA124" s="123">
        <v>-19</v>
      </c>
      <c r="AB124" s="123">
        <v>-2</v>
      </c>
      <c r="AC124" s="123">
        <v>-2</v>
      </c>
      <c r="AD124" s="56"/>
      <c r="AE124" s="56"/>
      <c r="AF124" s="123">
        <v>-31</v>
      </c>
      <c r="AG124" s="123">
        <v>-1</v>
      </c>
      <c r="AH124" s="115"/>
      <c r="AI124" s="123">
        <v>-26</v>
      </c>
      <c r="AJ124" s="115">
        <v>-13</v>
      </c>
      <c r="AK124" s="115">
        <v>-10</v>
      </c>
      <c r="AL124" s="115">
        <v>-30</v>
      </c>
      <c r="AM124" s="115">
        <v>-7</v>
      </c>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row>
    <row r="125" spans="2:62" outlineLevel="1">
      <c r="B125" t="s">
        <v>392</v>
      </c>
      <c r="C125" s="56"/>
      <c r="D125" s="123">
        <f>-61</f>
        <v>-61</v>
      </c>
      <c r="E125" s="123"/>
      <c r="F125" s="123"/>
      <c r="G125" s="123">
        <f>-12-46-3-9</f>
        <v>-70</v>
      </c>
      <c r="H125" s="123"/>
      <c r="I125" s="123"/>
      <c r="J125" s="123">
        <f>-1-24</f>
        <v>-25</v>
      </c>
      <c r="K125" s="123">
        <f>-1</f>
        <v>-1</v>
      </c>
      <c r="L125" s="123">
        <f>-21</f>
        <v>-21</v>
      </c>
      <c r="M125" s="115"/>
      <c r="N125" s="123">
        <f>-14-1</f>
        <v>-15</v>
      </c>
      <c r="O125" s="123">
        <v>-21</v>
      </c>
      <c r="P125" s="123">
        <v>0</v>
      </c>
      <c r="Q125" s="123">
        <f t="shared" ref="Q125:T125" si="430">-O122</f>
        <v>0</v>
      </c>
      <c r="R125" s="125">
        <v>-3</v>
      </c>
      <c r="S125" s="125">
        <v>-7</v>
      </c>
      <c r="T125" s="125">
        <f t="shared" si="430"/>
        <v>0</v>
      </c>
      <c r="U125" s="125">
        <v>-8</v>
      </c>
      <c r="V125" s="125">
        <v>-10</v>
      </c>
      <c r="W125" s="116"/>
      <c r="X125" s="116"/>
      <c r="Y125" s="116"/>
      <c r="Z125" s="116"/>
      <c r="AA125" s="116"/>
      <c r="AB125" s="116"/>
      <c r="AC125" s="116"/>
      <c r="AD125" s="116"/>
      <c r="AE125" s="116"/>
      <c r="AF125" s="116"/>
      <c r="AG125" s="116"/>
      <c r="AH125" s="116"/>
      <c r="AI125" s="116"/>
      <c r="AJ125" s="116"/>
      <c r="AK125" s="116"/>
      <c r="AL125" s="116"/>
      <c r="AM125" s="116"/>
      <c r="AN125" s="116"/>
      <c r="AO125" s="116">
        <f>-AM122</f>
        <v>-10</v>
      </c>
      <c r="AP125" s="116">
        <f t="shared" ref="AP125:AX125" si="431">-AN122</f>
        <v>-13</v>
      </c>
      <c r="AQ125" s="116">
        <f t="shared" si="431"/>
        <v>-1</v>
      </c>
      <c r="AR125" s="116">
        <f t="shared" si="431"/>
        <v>-5</v>
      </c>
      <c r="AS125" s="116">
        <f t="shared" si="431"/>
        <v>-4</v>
      </c>
      <c r="AT125" s="116">
        <f t="shared" si="431"/>
        <v>-2</v>
      </c>
      <c r="AU125" s="116">
        <f t="shared" si="431"/>
        <v>-16</v>
      </c>
      <c r="AV125" s="116">
        <f t="shared" si="431"/>
        <v>-12</v>
      </c>
      <c r="AW125" s="116">
        <f t="shared" si="431"/>
        <v>-25.2</v>
      </c>
      <c r="AX125" s="116">
        <f t="shared" si="431"/>
        <v>-29.960000000000004</v>
      </c>
      <c r="AY125" s="116">
        <f t="shared" ref="AY125" si="432">-AW122</f>
        <v>-27.444444444444446</v>
      </c>
      <c r="AZ125" s="116">
        <f t="shared" ref="AZ125" si="433">-AX122</f>
        <v>-32.85526315789474</v>
      </c>
      <c r="BA125" s="116">
        <f t="shared" ref="BA125" si="434">-AY122</f>
        <v>-27.959999999999997</v>
      </c>
      <c r="BB125" s="116">
        <f t="shared" ref="BB125" si="435">-AZ122</f>
        <v>-6.9899999999999993</v>
      </c>
      <c r="BC125" s="116">
        <f t="shared" ref="BC125" si="436">-BA122</f>
        <v>-4.66</v>
      </c>
      <c r="BD125" s="116">
        <f t="shared" ref="BD125" si="437">-BB122</f>
        <v>-6.7897727272727266</v>
      </c>
      <c r="BE125" s="116">
        <f t="shared" ref="BE125" si="438">-BC122</f>
        <v>-5.1368421052631579</v>
      </c>
      <c r="BF125" s="116">
        <f t="shared" ref="BF125" si="439">-BD122</f>
        <v>-2.7263157894736842</v>
      </c>
      <c r="BG125" s="116">
        <f t="shared" ref="BG125" si="440">-BE122</f>
        <v>-22.063157894736843</v>
      </c>
      <c r="BH125" s="116">
        <f t="shared" ref="BH125" si="441">-BF122</f>
        <v>-15.188405797101449</v>
      </c>
      <c r="BI125" s="116">
        <f t="shared" ref="BI125" si="442">-BG122</f>
        <v>-31.439999999999998</v>
      </c>
      <c r="BJ125" s="116">
        <f t="shared" ref="BJ125" si="443">-BH122</f>
        <v>-36.680000000000007</v>
      </c>
    </row>
    <row r="126" spans="2:62" outlineLevel="1">
      <c r="B126" t="s">
        <v>394</v>
      </c>
      <c r="C126" s="54">
        <f t="shared" ref="C126:AX126" si="444">SUM(C121:C125)</f>
        <v>131</v>
      </c>
      <c r="D126" s="482">
        <f t="shared" si="444"/>
        <v>70</v>
      </c>
      <c r="E126" s="482">
        <f t="shared" si="444"/>
        <v>70</v>
      </c>
      <c r="F126" s="482">
        <f t="shared" si="444"/>
        <v>70</v>
      </c>
      <c r="G126" s="482">
        <f t="shared" si="444"/>
        <v>12</v>
      </c>
      <c r="H126" s="482">
        <f t="shared" si="444"/>
        <v>18</v>
      </c>
      <c r="I126" s="482">
        <f t="shared" si="444"/>
        <v>34</v>
      </c>
      <c r="J126" s="482">
        <f t="shared" si="444"/>
        <v>35</v>
      </c>
      <c r="K126" s="482">
        <f t="shared" si="444"/>
        <v>37</v>
      </c>
      <c r="L126" s="482">
        <f t="shared" si="444"/>
        <v>19</v>
      </c>
      <c r="M126" s="482">
        <f t="shared" si="444"/>
        <v>36</v>
      </c>
      <c r="N126" s="482">
        <f t="shared" si="444"/>
        <v>27</v>
      </c>
      <c r="O126" s="482">
        <f t="shared" si="444"/>
        <v>6</v>
      </c>
      <c r="P126" s="482">
        <f t="shared" si="444"/>
        <v>10</v>
      </c>
      <c r="Q126" s="482">
        <f t="shared" si="444"/>
        <v>10</v>
      </c>
      <c r="R126" s="482">
        <f t="shared" si="444"/>
        <v>7</v>
      </c>
      <c r="S126" s="482">
        <f t="shared" si="444"/>
        <v>10</v>
      </c>
      <c r="T126" s="482">
        <f t="shared" si="444"/>
        <v>30</v>
      </c>
      <c r="U126" s="516">
        <f t="shared" si="444"/>
        <v>45</v>
      </c>
      <c r="V126" s="482">
        <f t="shared" si="444"/>
        <v>34</v>
      </c>
      <c r="W126" s="482">
        <f t="shared" si="444"/>
        <v>56</v>
      </c>
      <c r="X126" s="482">
        <f t="shared" si="444"/>
        <v>0</v>
      </c>
      <c r="Y126" s="482">
        <f t="shared" si="444"/>
        <v>0</v>
      </c>
      <c r="Z126" s="482">
        <f t="shared" si="444"/>
        <v>0</v>
      </c>
      <c r="AA126" s="482">
        <f t="shared" si="444"/>
        <v>0</v>
      </c>
      <c r="AB126" s="482">
        <f t="shared" si="444"/>
        <v>0</v>
      </c>
      <c r="AC126" s="482">
        <f t="shared" si="444"/>
        <v>0</v>
      </c>
      <c r="AD126" s="482">
        <f t="shared" si="444"/>
        <v>0</v>
      </c>
      <c r="AE126" s="482">
        <f t="shared" si="444"/>
        <v>0</v>
      </c>
      <c r="AF126" s="76">
        <f>SUM(AF121:AF125)</f>
        <v>0</v>
      </c>
      <c r="AG126" s="76">
        <f>SUM(AG121:AG125)</f>
        <v>0</v>
      </c>
      <c r="AH126" s="76">
        <f>SUM(AH121:AH125)</f>
        <v>0</v>
      </c>
      <c r="AI126" s="76">
        <f t="shared" si="444"/>
        <v>0</v>
      </c>
      <c r="AJ126" s="76">
        <f t="shared" si="444"/>
        <v>0</v>
      </c>
      <c r="AK126" s="76">
        <f t="shared" si="444"/>
        <v>0</v>
      </c>
      <c r="AL126" s="76">
        <f t="shared" si="444"/>
        <v>0</v>
      </c>
      <c r="AM126" s="76">
        <f t="shared" si="444"/>
        <v>3</v>
      </c>
      <c r="AN126" s="76">
        <f t="shared" si="444"/>
        <v>16</v>
      </c>
      <c r="AO126" s="76">
        <f t="shared" si="444"/>
        <v>7</v>
      </c>
      <c r="AP126" s="76">
        <f t="shared" si="444"/>
        <v>-1</v>
      </c>
      <c r="AQ126" s="76">
        <f t="shared" si="444"/>
        <v>2</v>
      </c>
      <c r="AR126" s="76">
        <f t="shared" si="444"/>
        <v>-1</v>
      </c>
      <c r="AS126" s="76">
        <f t="shared" si="444"/>
        <v>11</v>
      </c>
      <c r="AT126" s="76">
        <f t="shared" si="444"/>
        <v>21</v>
      </c>
      <c r="AU126" s="76">
        <f t="shared" si="444"/>
        <v>30.200000000000003</v>
      </c>
      <c r="AV126" s="76">
        <f t="shared" si="444"/>
        <v>48.160000000000011</v>
      </c>
      <c r="AW126" s="76">
        <f t="shared" si="444"/>
        <v>50.404444444444451</v>
      </c>
      <c r="AX126" s="76">
        <f t="shared" si="444"/>
        <v>53.299707602339183</v>
      </c>
      <c r="AY126" s="76">
        <f t="shared" ref="AY126:BJ126" si="445">SUM(AY121:AY125)</f>
        <v>53.815263157894734</v>
      </c>
      <c r="AZ126" s="76">
        <f t="shared" si="445"/>
        <v>27.949999999999996</v>
      </c>
      <c r="BA126" s="76">
        <f t="shared" si="445"/>
        <v>4.6500000000000021</v>
      </c>
      <c r="BB126" s="76">
        <f t="shared" si="445"/>
        <v>4.4497727272727294</v>
      </c>
      <c r="BC126" s="76">
        <f t="shared" si="445"/>
        <v>4.9266148325358863</v>
      </c>
      <c r="BD126" s="76">
        <f t="shared" si="445"/>
        <v>0.8631578947368439</v>
      </c>
      <c r="BE126" s="76">
        <f t="shared" si="445"/>
        <v>17.789473684210527</v>
      </c>
      <c r="BF126" s="76">
        <f t="shared" si="445"/>
        <v>30.251563691838289</v>
      </c>
      <c r="BG126" s="76">
        <f t="shared" si="445"/>
        <v>39.628405797101436</v>
      </c>
      <c r="BH126" s="76">
        <f t="shared" si="445"/>
        <v>61.11999999999999</v>
      </c>
      <c r="BI126" s="76">
        <f t="shared" si="445"/>
        <v>62.215947712418284</v>
      </c>
      <c r="BJ126" s="76">
        <f t="shared" si="445"/>
        <v>63.457000343997237</v>
      </c>
    </row>
    <row r="127" spans="2:62" outlineLevel="1">
      <c r="D127" s="54"/>
      <c r="E127" s="54"/>
      <c r="F127" s="54"/>
      <c r="G127" s="54"/>
      <c r="H127" s="54"/>
      <c r="I127" s="54"/>
      <c r="J127" s="54"/>
      <c r="K127" s="54"/>
      <c r="L127" s="54"/>
      <c r="M127" s="460"/>
      <c r="N127" s="54"/>
      <c r="O127" s="496"/>
      <c r="P127" s="496"/>
      <c r="Q127" s="496"/>
      <c r="R127" s="496"/>
      <c r="S127" s="496"/>
      <c r="T127" s="496"/>
      <c r="U127" s="496"/>
      <c r="V127" s="496"/>
      <c r="W127" s="496"/>
      <c r="X127" s="496"/>
      <c r="Y127" s="496"/>
      <c r="Z127" s="496">
        <f>Z125+19</f>
        <v>19</v>
      </c>
      <c r="AA127" s="461"/>
      <c r="AB127" s="461"/>
      <c r="AC127" s="461"/>
      <c r="AD127" s="461"/>
      <c r="AE127" s="461"/>
      <c r="AF127" s="461"/>
      <c r="AG127" s="461"/>
      <c r="AH127" s="461"/>
      <c r="AI127" s="461"/>
      <c r="AJ127" s="461"/>
      <c r="AK127" s="461"/>
      <c r="AL127" s="461"/>
      <c r="AM127" s="461"/>
      <c r="AN127" s="461"/>
      <c r="AO127" s="461"/>
      <c r="AP127" s="461"/>
      <c r="AQ127" s="461"/>
      <c r="AR127" s="461"/>
      <c r="AS127" s="461"/>
      <c r="AT127" s="461"/>
      <c r="AU127" s="461"/>
      <c r="AV127" s="461"/>
      <c r="AW127" s="461"/>
      <c r="AX127" s="461"/>
      <c r="AY127" s="461"/>
      <c r="AZ127" s="461"/>
      <c r="BA127" s="461"/>
      <c r="BB127" s="461"/>
      <c r="BC127" s="461"/>
      <c r="BD127" s="461"/>
      <c r="BE127" s="461"/>
      <c r="BF127" s="461"/>
      <c r="BG127" s="461"/>
      <c r="BH127" s="461"/>
      <c r="BI127" s="461"/>
      <c r="BJ127" s="461"/>
    </row>
    <row r="128" spans="2:62" outlineLevel="1">
      <c r="B128" s="54" t="s">
        <v>312</v>
      </c>
      <c r="D128" s="54"/>
      <c r="E128" s="54"/>
      <c r="F128" s="54"/>
      <c r="G128" s="54"/>
      <c r="H128" s="54"/>
      <c r="I128" s="54"/>
      <c r="J128" s="54"/>
      <c r="K128" s="54"/>
      <c r="L128" s="54"/>
      <c r="M128" s="460"/>
      <c r="N128" s="54"/>
      <c r="O128" s="460"/>
      <c r="P128" s="460"/>
      <c r="Q128" s="460"/>
      <c r="R128" s="460"/>
      <c r="S128" s="460"/>
      <c r="T128" s="460"/>
      <c r="U128" s="460"/>
      <c r="V128" s="460"/>
      <c r="W128" s="460"/>
      <c r="X128" s="460"/>
      <c r="Y128" s="461"/>
      <c r="Z128" s="461"/>
      <c r="AA128" s="461"/>
      <c r="AB128" s="461"/>
      <c r="AC128" s="461"/>
      <c r="AD128" s="461"/>
      <c r="AE128" s="461"/>
      <c r="AF128" s="461"/>
      <c r="AG128" s="461"/>
      <c r="AH128" s="461"/>
      <c r="AI128" s="461"/>
      <c r="AJ128" s="461"/>
      <c r="AK128" s="461"/>
      <c r="AL128" s="461"/>
      <c r="AM128" s="461"/>
      <c r="AN128" s="461"/>
      <c r="AO128" s="461"/>
      <c r="AP128" s="461"/>
      <c r="AQ128" s="461"/>
      <c r="AR128" s="461"/>
      <c r="AS128" s="461"/>
      <c r="AT128" s="461"/>
      <c r="AU128" s="461"/>
      <c r="AV128" s="461"/>
      <c r="AW128" s="461"/>
      <c r="AX128" s="461"/>
      <c r="AY128" s="461"/>
      <c r="AZ128" s="461"/>
      <c r="BA128" s="461"/>
      <c r="BB128" s="461"/>
      <c r="BC128" s="461"/>
      <c r="BD128" s="461"/>
      <c r="BE128" s="461"/>
      <c r="BF128" s="461"/>
      <c r="BG128" s="461"/>
      <c r="BH128" s="461"/>
      <c r="BI128" s="461"/>
      <c r="BJ128" s="461"/>
    </row>
    <row r="129" spans="2:62" outlineLevel="1">
      <c r="B129" t="s">
        <v>390</v>
      </c>
      <c r="C129" s="56">
        <v>53</v>
      </c>
      <c r="D129">
        <f>+C134</f>
        <v>53</v>
      </c>
      <c r="E129">
        <f t="shared" ref="E129:F129" si="446">+D134</f>
        <v>53</v>
      </c>
      <c r="F129">
        <f t="shared" si="446"/>
        <v>0</v>
      </c>
      <c r="G129">
        <f t="shared" ref="G129:AX129" si="447">+F134</f>
        <v>0</v>
      </c>
      <c r="H129">
        <f t="shared" si="447"/>
        <v>0</v>
      </c>
      <c r="I129">
        <f t="shared" si="447"/>
        <v>0</v>
      </c>
      <c r="J129">
        <f t="shared" si="447"/>
        <v>0</v>
      </c>
      <c r="K129">
        <f t="shared" si="447"/>
        <v>0</v>
      </c>
      <c r="L129">
        <f t="shared" si="447"/>
        <v>0</v>
      </c>
      <c r="M129">
        <f t="shared" si="447"/>
        <v>0</v>
      </c>
      <c r="N129">
        <f t="shared" si="447"/>
        <v>0</v>
      </c>
      <c r="O129">
        <f t="shared" si="447"/>
        <v>0</v>
      </c>
      <c r="P129">
        <f t="shared" si="447"/>
        <v>0</v>
      </c>
      <c r="Q129">
        <f t="shared" si="447"/>
        <v>0</v>
      </c>
      <c r="R129">
        <f t="shared" si="447"/>
        <v>0</v>
      </c>
      <c r="S129">
        <f t="shared" si="447"/>
        <v>0</v>
      </c>
      <c r="T129">
        <f t="shared" si="447"/>
        <v>0</v>
      </c>
      <c r="U129">
        <f t="shared" si="447"/>
        <v>0</v>
      </c>
      <c r="V129">
        <f t="shared" si="447"/>
        <v>0</v>
      </c>
      <c r="W129">
        <f t="shared" si="447"/>
        <v>0</v>
      </c>
      <c r="X129">
        <f t="shared" si="447"/>
        <v>0</v>
      </c>
      <c r="Y129">
        <f t="shared" si="447"/>
        <v>69</v>
      </c>
      <c r="Z129">
        <f t="shared" si="447"/>
        <v>78</v>
      </c>
      <c r="AA129">
        <f t="shared" si="447"/>
        <v>64</v>
      </c>
      <c r="AB129">
        <f t="shared" si="447"/>
        <v>83</v>
      </c>
      <c r="AC129">
        <f t="shared" si="447"/>
        <v>76</v>
      </c>
      <c r="AD129">
        <f t="shared" si="447"/>
        <v>58</v>
      </c>
      <c r="AE129">
        <f t="shared" si="447"/>
        <v>52</v>
      </c>
      <c r="AF129">
        <f t="shared" si="447"/>
        <v>47</v>
      </c>
      <c r="AG129">
        <f t="shared" si="447"/>
        <v>78</v>
      </c>
      <c r="AH129">
        <f t="shared" si="447"/>
        <v>94</v>
      </c>
      <c r="AI129">
        <f t="shared" si="447"/>
        <v>93</v>
      </c>
      <c r="AJ129">
        <f t="shared" si="447"/>
        <v>110</v>
      </c>
      <c r="AK129">
        <f t="shared" si="447"/>
        <v>104</v>
      </c>
      <c r="AL129">
        <f t="shared" si="447"/>
        <v>86</v>
      </c>
      <c r="AM129">
        <f t="shared" si="447"/>
        <v>90</v>
      </c>
      <c r="AN129">
        <f t="shared" si="447"/>
        <v>92</v>
      </c>
      <c r="AO129">
        <f t="shared" si="447"/>
        <v>77</v>
      </c>
      <c r="AP129">
        <f t="shared" si="447"/>
        <v>55</v>
      </c>
      <c r="AQ129">
        <f t="shared" si="447"/>
        <v>52</v>
      </c>
      <c r="AR129">
        <f t="shared" si="447"/>
        <v>52</v>
      </c>
      <c r="AS129">
        <f t="shared" si="447"/>
        <v>48</v>
      </c>
      <c r="AT129">
        <f t="shared" si="447"/>
        <v>41</v>
      </c>
      <c r="AU129">
        <f t="shared" si="447"/>
        <v>35</v>
      </c>
      <c r="AV129">
        <f t="shared" si="447"/>
        <v>29</v>
      </c>
      <c r="AW129">
        <f t="shared" si="447"/>
        <v>29</v>
      </c>
      <c r="AX129">
        <f t="shared" si="447"/>
        <v>29</v>
      </c>
      <c r="AY129">
        <f t="shared" ref="AY129:BJ129" si="448">+AX134</f>
        <v>23</v>
      </c>
      <c r="AZ129">
        <f t="shared" si="448"/>
        <v>18</v>
      </c>
      <c r="BA129">
        <f t="shared" si="448"/>
        <v>3</v>
      </c>
      <c r="BB129">
        <f t="shared" si="448"/>
        <v>0</v>
      </c>
      <c r="BC129">
        <f t="shared" si="448"/>
        <v>0</v>
      </c>
      <c r="BD129">
        <f t="shared" si="448"/>
        <v>0</v>
      </c>
      <c r="BE129">
        <f t="shared" si="448"/>
        <v>0</v>
      </c>
      <c r="BF129">
        <f t="shared" si="448"/>
        <v>0</v>
      </c>
      <c r="BG129">
        <f t="shared" si="448"/>
        <v>0</v>
      </c>
      <c r="BH129">
        <f t="shared" si="448"/>
        <v>0</v>
      </c>
      <c r="BI129">
        <f t="shared" si="448"/>
        <v>0</v>
      </c>
      <c r="BJ129">
        <f t="shared" si="448"/>
        <v>0</v>
      </c>
    </row>
    <row r="130" spans="2:62" outlineLevel="1">
      <c r="B130" t="s">
        <v>393</v>
      </c>
      <c r="C130">
        <f>-C124</f>
        <v>0</v>
      </c>
      <c r="D130">
        <f t="shared" ref="D130:AX130" si="449">-D124</f>
        <v>0</v>
      </c>
      <c r="E130">
        <f t="shared" si="449"/>
        <v>0</v>
      </c>
      <c r="F130">
        <f t="shared" si="449"/>
        <v>0</v>
      </c>
      <c r="G130">
        <f t="shared" si="449"/>
        <v>0</v>
      </c>
      <c r="H130">
        <f t="shared" si="449"/>
        <v>0</v>
      </c>
      <c r="I130">
        <f t="shared" si="449"/>
        <v>0</v>
      </c>
      <c r="J130">
        <f t="shared" si="449"/>
        <v>0</v>
      </c>
      <c r="K130">
        <f t="shared" si="449"/>
        <v>0</v>
      </c>
      <c r="L130">
        <f t="shared" si="449"/>
        <v>0</v>
      </c>
      <c r="M130">
        <f t="shared" si="449"/>
        <v>0</v>
      </c>
      <c r="N130">
        <f t="shared" si="449"/>
        <v>0</v>
      </c>
      <c r="O130">
        <f t="shared" si="449"/>
        <v>0</v>
      </c>
      <c r="P130">
        <f t="shared" si="449"/>
        <v>0</v>
      </c>
      <c r="Q130">
        <f t="shared" si="449"/>
        <v>0</v>
      </c>
      <c r="R130">
        <f t="shared" si="449"/>
        <v>0</v>
      </c>
      <c r="S130">
        <f t="shared" si="449"/>
        <v>0</v>
      </c>
      <c r="T130">
        <f t="shared" si="449"/>
        <v>0</v>
      </c>
      <c r="U130">
        <f t="shared" si="449"/>
        <v>0</v>
      </c>
      <c r="V130">
        <f t="shared" si="449"/>
        <v>0</v>
      </c>
      <c r="W130">
        <f t="shared" si="449"/>
        <v>0</v>
      </c>
      <c r="X130">
        <f t="shared" si="449"/>
        <v>69</v>
      </c>
      <c r="Y130">
        <f t="shared" si="449"/>
        <v>9</v>
      </c>
      <c r="Z130">
        <f t="shared" si="449"/>
        <v>5</v>
      </c>
      <c r="AA130">
        <f t="shared" si="449"/>
        <v>19</v>
      </c>
      <c r="AB130">
        <f>-AB124</f>
        <v>2</v>
      </c>
      <c r="AC130">
        <f t="shared" si="449"/>
        <v>2</v>
      </c>
      <c r="AD130">
        <f t="shared" si="449"/>
        <v>0</v>
      </c>
      <c r="AE130">
        <f t="shared" si="449"/>
        <v>0</v>
      </c>
      <c r="AF130">
        <f t="shared" si="449"/>
        <v>31</v>
      </c>
      <c r="AG130">
        <f t="shared" si="449"/>
        <v>1</v>
      </c>
      <c r="AH130">
        <f t="shared" si="449"/>
        <v>0</v>
      </c>
      <c r="AI130">
        <f t="shared" si="449"/>
        <v>26</v>
      </c>
      <c r="AJ130">
        <f t="shared" si="449"/>
        <v>13</v>
      </c>
      <c r="AK130">
        <f t="shared" si="449"/>
        <v>10</v>
      </c>
      <c r="AL130">
        <f t="shared" si="449"/>
        <v>30</v>
      </c>
      <c r="AM130">
        <f t="shared" si="449"/>
        <v>7</v>
      </c>
      <c r="AN130">
        <f t="shared" si="449"/>
        <v>0</v>
      </c>
      <c r="AO130">
        <f t="shared" si="449"/>
        <v>0</v>
      </c>
      <c r="AP130">
        <f t="shared" si="449"/>
        <v>0</v>
      </c>
      <c r="AQ130">
        <f t="shared" si="449"/>
        <v>0</v>
      </c>
      <c r="AR130">
        <f t="shared" si="449"/>
        <v>0</v>
      </c>
      <c r="AS130">
        <f t="shared" si="449"/>
        <v>0</v>
      </c>
      <c r="AT130">
        <f t="shared" si="449"/>
        <v>0</v>
      </c>
      <c r="AU130">
        <f t="shared" si="449"/>
        <v>0</v>
      </c>
      <c r="AV130">
        <f t="shared" si="449"/>
        <v>0</v>
      </c>
      <c r="AW130">
        <f t="shared" si="449"/>
        <v>0</v>
      </c>
      <c r="AX130">
        <f t="shared" si="449"/>
        <v>0</v>
      </c>
      <c r="AY130">
        <f t="shared" ref="AY130:BJ130" si="450">-AY124</f>
        <v>0</v>
      </c>
      <c r="AZ130">
        <f t="shared" si="450"/>
        <v>0</v>
      </c>
      <c r="BA130">
        <f t="shared" si="450"/>
        <v>0</v>
      </c>
      <c r="BB130">
        <f t="shared" si="450"/>
        <v>0</v>
      </c>
      <c r="BC130">
        <f t="shared" si="450"/>
        <v>0</v>
      </c>
      <c r="BD130">
        <f t="shared" si="450"/>
        <v>0</v>
      </c>
      <c r="BE130">
        <f t="shared" si="450"/>
        <v>0</v>
      </c>
      <c r="BF130">
        <f t="shared" si="450"/>
        <v>0</v>
      </c>
      <c r="BG130">
        <f t="shared" si="450"/>
        <v>0</v>
      </c>
      <c r="BH130">
        <f t="shared" si="450"/>
        <v>0</v>
      </c>
      <c r="BI130">
        <f t="shared" si="450"/>
        <v>0</v>
      </c>
      <c r="BJ130">
        <f t="shared" si="450"/>
        <v>0</v>
      </c>
    </row>
    <row r="131" spans="2:62" outlineLevel="1">
      <c r="B131" t="s">
        <v>470</v>
      </c>
      <c r="C131" s="56"/>
      <c r="D131" s="56"/>
      <c r="E131" s="123"/>
      <c r="F131" s="56"/>
      <c r="G131" s="56"/>
      <c r="H131" s="56"/>
      <c r="I131" s="56"/>
      <c r="J131" s="56"/>
      <c r="K131" s="56"/>
      <c r="L131" s="56"/>
      <c r="M131" s="56"/>
      <c r="N131" s="56"/>
      <c r="O131" s="56"/>
      <c r="P131" s="56"/>
      <c r="Q131" s="56"/>
      <c r="R131" s="56"/>
      <c r="S131" s="56"/>
      <c r="T131" s="56"/>
      <c r="U131" s="56"/>
      <c r="V131" s="56"/>
      <c r="W131" s="56"/>
      <c r="X131" s="56"/>
      <c r="Y131" s="123"/>
      <c r="Z131" s="123"/>
      <c r="AA131" s="123"/>
      <c r="AB131" s="123"/>
      <c r="AC131" s="123"/>
      <c r="AD131" s="56"/>
      <c r="AE131" s="56"/>
      <c r="AF131" s="123"/>
      <c r="AG131" s="125">
        <v>15</v>
      </c>
      <c r="AH131" s="123">
        <v>-1</v>
      </c>
      <c r="AI131" s="125">
        <v>-9</v>
      </c>
      <c r="AJ131" s="475">
        <v>-7</v>
      </c>
      <c r="AK131" s="475">
        <f>-7-4</f>
        <v>-11</v>
      </c>
      <c r="AL131" s="475">
        <f>-7-7</f>
        <v>-14</v>
      </c>
      <c r="AM131" s="475"/>
      <c r="AN131" s="475"/>
      <c r="AO131" s="475">
        <f>-13-1-4</f>
        <v>-18</v>
      </c>
      <c r="AP131" s="56">
        <f>-2-1</f>
        <v>-3</v>
      </c>
      <c r="AQ131" s="56"/>
      <c r="AR131" s="56">
        <v>-4</v>
      </c>
      <c r="AS131" s="56">
        <v>-7</v>
      </c>
      <c r="AT131" s="56">
        <v>-6</v>
      </c>
      <c r="AU131" s="56">
        <v>-6</v>
      </c>
      <c r="AV131" s="56"/>
      <c r="AW131" s="56"/>
      <c r="AX131" s="56">
        <v>-6</v>
      </c>
      <c r="AY131" s="56">
        <v>-5</v>
      </c>
      <c r="AZ131" s="56">
        <v>-15</v>
      </c>
      <c r="BA131" s="56">
        <v>-3</v>
      </c>
      <c r="BB131" s="56"/>
      <c r="BC131" s="56"/>
      <c r="BD131" s="56"/>
      <c r="BE131" s="56"/>
      <c r="BF131" s="56"/>
      <c r="BG131" s="56"/>
      <c r="BH131" s="56"/>
      <c r="BI131" s="56"/>
      <c r="BJ131" s="56"/>
    </row>
    <row r="132" spans="2:62" outlineLevel="1">
      <c r="B132" t="s">
        <v>494</v>
      </c>
      <c r="C132" s="56"/>
      <c r="D132" s="56"/>
      <c r="E132" s="123"/>
      <c r="F132" s="56"/>
      <c r="G132" s="56"/>
      <c r="H132" s="56"/>
      <c r="I132" s="56"/>
      <c r="J132" s="56"/>
      <c r="K132" s="56"/>
      <c r="L132" s="56"/>
      <c r="M132" s="56"/>
      <c r="N132" s="56"/>
      <c r="O132" s="56"/>
      <c r="P132" s="56"/>
      <c r="Q132" s="56"/>
      <c r="R132" s="56"/>
      <c r="S132" s="56"/>
      <c r="T132" s="56"/>
      <c r="U132" s="56"/>
      <c r="V132" s="56"/>
      <c r="W132" s="56"/>
      <c r="X132" s="56"/>
      <c r="Y132" s="56"/>
      <c r="Z132" s="56"/>
      <c r="AA132" s="56"/>
      <c r="AB132" s="123"/>
      <c r="AC132" s="123">
        <v>-3</v>
      </c>
      <c r="AD132" s="56"/>
      <c r="AE132" s="123">
        <v>-5</v>
      </c>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row>
    <row r="133" spans="2:62" outlineLevel="1">
      <c r="B133" t="s">
        <v>392</v>
      </c>
      <c r="C133" s="56"/>
      <c r="D133" s="56"/>
      <c r="E133" s="123">
        <f>-17-36</f>
        <v>-53</v>
      </c>
      <c r="F133" s="56"/>
      <c r="G133" s="56"/>
      <c r="H133" s="56"/>
      <c r="I133" s="56"/>
      <c r="J133" s="56"/>
      <c r="K133" s="56"/>
      <c r="L133" s="56"/>
      <c r="M133" s="56"/>
      <c r="N133" s="56"/>
      <c r="O133" s="56"/>
      <c r="P133" s="56"/>
      <c r="Q133" s="56"/>
      <c r="R133" s="56"/>
      <c r="S133" s="56"/>
      <c r="T133" s="56"/>
      <c r="U133" s="56"/>
      <c r="V133" s="56"/>
      <c r="W133" s="56"/>
      <c r="X133" s="56"/>
      <c r="Y133" s="56"/>
      <c r="Z133" s="463">
        <v>-19</v>
      </c>
      <c r="AA133" s="56"/>
      <c r="AB133" s="123">
        <f>-8-1</f>
        <v>-9</v>
      </c>
      <c r="AC133" s="123">
        <v>-17</v>
      </c>
      <c r="AD133" s="123">
        <v>-6</v>
      </c>
      <c r="AE133" s="56"/>
      <c r="AF133" s="56"/>
      <c r="AG133" s="56"/>
      <c r="AH133" s="56"/>
      <c r="AI133" s="56"/>
      <c r="AJ133" s="56">
        <v>-12</v>
      </c>
      <c r="AK133" s="56">
        <v>-17</v>
      </c>
      <c r="AL133" s="56">
        <f>-5-7</f>
        <v>-12</v>
      </c>
      <c r="AM133" s="56">
        <v>-5</v>
      </c>
      <c r="AN133" s="56">
        <v>-15</v>
      </c>
      <c r="AO133" s="56">
        <v>-4</v>
      </c>
      <c r="AP133" s="56"/>
      <c r="AQ133" s="56"/>
      <c r="AR133" s="56"/>
      <c r="AS133" s="56"/>
      <c r="AT133" s="56"/>
      <c r="AU133" s="56"/>
      <c r="AV133" s="56"/>
      <c r="AW133" s="56"/>
      <c r="AX133" s="56"/>
      <c r="AY133" s="56"/>
      <c r="AZ133" s="56"/>
      <c r="BA133" s="56"/>
      <c r="BB133" s="56"/>
      <c r="BC133" s="56"/>
      <c r="BD133" s="56"/>
      <c r="BE133" s="56"/>
      <c r="BF133" s="56"/>
      <c r="BG133" s="56"/>
      <c r="BH133" s="56"/>
      <c r="BI133" s="56"/>
      <c r="BJ133" s="56"/>
    </row>
    <row r="134" spans="2:62" outlineLevel="1">
      <c r="B134" t="s">
        <v>394</v>
      </c>
      <c r="C134" s="54">
        <f t="shared" ref="C134:AH134" si="451">SUM(C129:C133)</f>
        <v>53</v>
      </c>
      <c r="D134" s="54">
        <f t="shared" si="451"/>
        <v>53</v>
      </c>
      <c r="E134" s="54">
        <f t="shared" si="451"/>
        <v>0</v>
      </c>
      <c r="F134" s="54">
        <f t="shared" si="451"/>
        <v>0</v>
      </c>
      <c r="G134" s="54">
        <f t="shared" si="451"/>
        <v>0</v>
      </c>
      <c r="H134" s="54">
        <f t="shared" si="451"/>
        <v>0</v>
      </c>
      <c r="I134" s="54">
        <f t="shared" si="451"/>
        <v>0</v>
      </c>
      <c r="J134" s="54">
        <f t="shared" si="451"/>
        <v>0</v>
      </c>
      <c r="K134" s="54">
        <f t="shared" si="451"/>
        <v>0</v>
      </c>
      <c r="L134" s="54">
        <f t="shared" si="451"/>
        <v>0</v>
      </c>
      <c r="M134" s="54">
        <f t="shared" si="451"/>
        <v>0</v>
      </c>
      <c r="N134" s="54">
        <f t="shared" si="451"/>
        <v>0</v>
      </c>
      <c r="O134" s="54">
        <f t="shared" si="451"/>
        <v>0</v>
      </c>
      <c r="P134" s="54">
        <f t="shared" si="451"/>
        <v>0</v>
      </c>
      <c r="Q134" s="54">
        <f t="shared" si="451"/>
        <v>0</v>
      </c>
      <c r="R134" s="54">
        <f t="shared" si="451"/>
        <v>0</v>
      </c>
      <c r="S134" s="54">
        <f t="shared" si="451"/>
        <v>0</v>
      </c>
      <c r="T134" s="54">
        <f t="shared" si="451"/>
        <v>0</v>
      </c>
      <c r="U134" s="54">
        <f t="shared" si="451"/>
        <v>0</v>
      </c>
      <c r="V134" s="54">
        <f t="shared" si="451"/>
        <v>0</v>
      </c>
      <c r="W134" s="54">
        <f t="shared" si="451"/>
        <v>0</v>
      </c>
      <c r="X134" s="54">
        <f t="shared" si="451"/>
        <v>69</v>
      </c>
      <c r="Y134" s="54">
        <f t="shared" si="451"/>
        <v>78</v>
      </c>
      <c r="Z134" s="54">
        <f t="shared" si="451"/>
        <v>64</v>
      </c>
      <c r="AA134" s="54">
        <f t="shared" si="451"/>
        <v>83</v>
      </c>
      <c r="AB134" s="54">
        <f t="shared" si="451"/>
        <v>76</v>
      </c>
      <c r="AC134" s="54">
        <f t="shared" si="451"/>
        <v>58</v>
      </c>
      <c r="AD134" s="54">
        <f t="shared" si="451"/>
        <v>52</v>
      </c>
      <c r="AE134" s="54">
        <f t="shared" si="451"/>
        <v>47</v>
      </c>
      <c r="AF134" s="54">
        <f t="shared" si="451"/>
        <v>78</v>
      </c>
      <c r="AG134" s="54">
        <f t="shared" si="451"/>
        <v>94</v>
      </c>
      <c r="AH134" s="54">
        <f t="shared" si="451"/>
        <v>93</v>
      </c>
      <c r="AI134">
        <f t="shared" ref="AI134:BJ134" si="452">SUM(AI129:AI133)</f>
        <v>110</v>
      </c>
      <c r="AJ134">
        <f t="shared" si="452"/>
        <v>104</v>
      </c>
      <c r="AK134">
        <f t="shared" si="452"/>
        <v>86</v>
      </c>
      <c r="AL134">
        <f t="shared" si="452"/>
        <v>90</v>
      </c>
      <c r="AM134">
        <f t="shared" si="452"/>
        <v>92</v>
      </c>
      <c r="AN134">
        <f t="shared" si="452"/>
        <v>77</v>
      </c>
      <c r="AO134">
        <f t="shared" si="452"/>
        <v>55</v>
      </c>
      <c r="AP134">
        <f t="shared" si="452"/>
        <v>52</v>
      </c>
      <c r="AQ134">
        <f t="shared" si="452"/>
        <v>52</v>
      </c>
      <c r="AR134">
        <f t="shared" si="452"/>
        <v>48</v>
      </c>
      <c r="AS134">
        <f t="shared" si="452"/>
        <v>41</v>
      </c>
      <c r="AT134">
        <f t="shared" si="452"/>
        <v>35</v>
      </c>
      <c r="AU134">
        <f t="shared" si="452"/>
        <v>29</v>
      </c>
      <c r="AV134">
        <f t="shared" si="452"/>
        <v>29</v>
      </c>
      <c r="AW134">
        <f t="shared" si="452"/>
        <v>29</v>
      </c>
      <c r="AX134">
        <f t="shared" si="452"/>
        <v>23</v>
      </c>
      <c r="AY134">
        <f t="shared" si="452"/>
        <v>18</v>
      </c>
      <c r="AZ134">
        <f t="shared" si="452"/>
        <v>3</v>
      </c>
      <c r="BA134">
        <f t="shared" si="452"/>
        <v>0</v>
      </c>
      <c r="BB134">
        <f t="shared" si="452"/>
        <v>0</v>
      </c>
      <c r="BC134">
        <f t="shared" si="452"/>
        <v>0</v>
      </c>
      <c r="BD134">
        <f t="shared" si="452"/>
        <v>0</v>
      </c>
      <c r="BE134">
        <f t="shared" si="452"/>
        <v>0</v>
      </c>
      <c r="BF134">
        <f t="shared" si="452"/>
        <v>0</v>
      </c>
      <c r="BG134">
        <f t="shared" si="452"/>
        <v>0</v>
      </c>
      <c r="BH134">
        <f t="shared" si="452"/>
        <v>0</v>
      </c>
      <c r="BI134">
        <f t="shared" si="452"/>
        <v>0</v>
      </c>
      <c r="BJ134">
        <f t="shared" si="452"/>
        <v>0</v>
      </c>
    </row>
    <row r="135" spans="2:62" outlineLevel="1">
      <c r="E135" s="54"/>
      <c r="AG135" s="461"/>
    </row>
    <row r="136" spans="2:62" outlineLevel="1">
      <c r="B136" s="54" t="s">
        <v>311</v>
      </c>
      <c r="E136" s="54"/>
    </row>
    <row r="137" spans="2:62" outlineLevel="1">
      <c r="B137" t="s">
        <v>390</v>
      </c>
      <c r="C137" s="56">
        <v>9</v>
      </c>
      <c r="D137">
        <f t="shared" ref="D137:AX137" si="453">+C142</f>
        <v>9</v>
      </c>
      <c r="E137">
        <f t="shared" si="453"/>
        <v>9</v>
      </c>
      <c r="F137">
        <f t="shared" si="453"/>
        <v>9</v>
      </c>
      <c r="G137">
        <f t="shared" si="453"/>
        <v>9</v>
      </c>
      <c r="H137">
        <f t="shared" si="453"/>
        <v>9</v>
      </c>
      <c r="I137">
        <f t="shared" si="453"/>
        <v>1</v>
      </c>
      <c r="J137">
        <f t="shared" si="453"/>
        <v>1</v>
      </c>
      <c r="K137">
        <f t="shared" si="453"/>
        <v>3</v>
      </c>
      <c r="L137">
        <f t="shared" si="453"/>
        <v>3</v>
      </c>
      <c r="M137">
        <f t="shared" si="453"/>
        <v>3</v>
      </c>
      <c r="N137">
        <f t="shared" si="453"/>
        <v>1</v>
      </c>
      <c r="O137">
        <f t="shared" si="453"/>
        <v>1</v>
      </c>
      <c r="P137">
        <f t="shared" si="453"/>
        <v>1</v>
      </c>
      <c r="Q137">
        <f t="shared" si="453"/>
        <v>1</v>
      </c>
      <c r="R137">
        <f t="shared" si="453"/>
        <v>3</v>
      </c>
      <c r="S137">
        <f t="shared" si="453"/>
        <v>5</v>
      </c>
      <c r="T137">
        <f t="shared" si="453"/>
        <v>5</v>
      </c>
      <c r="U137">
        <f t="shared" si="453"/>
        <v>4</v>
      </c>
      <c r="V137">
        <f t="shared" si="453"/>
        <v>4</v>
      </c>
      <c r="W137">
        <f t="shared" si="453"/>
        <v>0</v>
      </c>
      <c r="X137">
        <f t="shared" si="453"/>
        <v>0</v>
      </c>
      <c r="Y137">
        <f t="shared" si="453"/>
        <v>0</v>
      </c>
      <c r="Z137">
        <f t="shared" si="453"/>
        <v>0</v>
      </c>
      <c r="AA137">
        <f t="shared" si="453"/>
        <v>0</v>
      </c>
      <c r="AB137">
        <f t="shared" si="453"/>
        <v>0</v>
      </c>
      <c r="AC137">
        <f t="shared" si="453"/>
        <v>0</v>
      </c>
      <c r="AD137">
        <f t="shared" si="453"/>
        <v>3</v>
      </c>
      <c r="AE137">
        <f t="shared" si="453"/>
        <v>5</v>
      </c>
      <c r="AF137">
        <f t="shared" si="453"/>
        <v>9</v>
      </c>
      <c r="AG137">
        <f t="shared" si="453"/>
        <v>9</v>
      </c>
      <c r="AH137">
        <f t="shared" si="453"/>
        <v>6</v>
      </c>
      <c r="AI137">
        <f t="shared" si="453"/>
        <v>6</v>
      </c>
      <c r="AJ137">
        <f t="shared" si="453"/>
        <v>7</v>
      </c>
      <c r="AK137">
        <f t="shared" si="453"/>
        <v>7</v>
      </c>
      <c r="AL137">
        <f t="shared" si="453"/>
        <v>7</v>
      </c>
      <c r="AM137">
        <f t="shared" si="453"/>
        <v>0</v>
      </c>
      <c r="AN137">
        <f t="shared" si="453"/>
        <v>0</v>
      </c>
      <c r="AO137">
        <f t="shared" si="453"/>
        <v>0</v>
      </c>
      <c r="AP137">
        <f t="shared" si="453"/>
        <v>0</v>
      </c>
      <c r="AQ137">
        <f t="shared" si="453"/>
        <v>0</v>
      </c>
      <c r="AR137">
        <f t="shared" si="453"/>
        <v>0</v>
      </c>
      <c r="AS137">
        <f t="shared" si="453"/>
        <v>0</v>
      </c>
      <c r="AT137">
        <f t="shared" si="453"/>
        <v>0</v>
      </c>
      <c r="AU137">
        <f t="shared" si="453"/>
        <v>0</v>
      </c>
      <c r="AV137">
        <f t="shared" si="453"/>
        <v>0</v>
      </c>
      <c r="AW137">
        <f t="shared" si="453"/>
        <v>0</v>
      </c>
      <c r="AX137">
        <f t="shared" si="453"/>
        <v>0</v>
      </c>
      <c r="AY137">
        <f t="shared" ref="AY137:BJ137" si="454">+AX142</f>
        <v>0</v>
      </c>
      <c r="AZ137">
        <f t="shared" si="454"/>
        <v>0</v>
      </c>
      <c r="BA137">
        <f t="shared" si="454"/>
        <v>0</v>
      </c>
      <c r="BB137">
        <f t="shared" si="454"/>
        <v>0</v>
      </c>
      <c r="BC137">
        <f t="shared" si="454"/>
        <v>0</v>
      </c>
      <c r="BD137">
        <f t="shared" si="454"/>
        <v>0</v>
      </c>
      <c r="BE137">
        <f t="shared" si="454"/>
        <v>0</v>
      </c>
      <c r="BF137">
        <f t="shared" si="454"/>
        <v>0</v>
      </c>
      <c r="BG137">
        <f t="shared" si="454"/>
        <v>0</v>
      </c>
      <c r="BH137">
        <f t="shared" si="454"/>
        <v>0</v>
      </c>
      <c r="BI137">
        <f t="shared" si="454"/>
        <v>0</v>
      </c>
      <c r="BJ137">
        <f t="shared" si="454"/>
        <v>0</v>
      </c>
    </row>
    <row r="138" spans="2:62" outlineLevel="1">
      <c r="B138" t="s">
        <v>396</v>
      </c>
      <c r="C138">
        <f>-C132</f>
        <v>0</v>
      </c>
      <c r="D138">
        <f t="shared" ref="D138:L138" si="455">-D132</f>
        <v>0</v>
      </c>
      <c r="E138">
        <f t="shared" si="455"/>
        <v>0</v>
      </c>
      <c r="F138">
        <f t="shared" si="455"/>
        <v>0</v>
      </c>
      <c r="G138">
        <f t="shared" si="455"/>
        <v>0</v>
      </c>
      <c r="H138">
        <f t="shared" si="455"/>
        <v>0</v>
      </c>
      <c r="I138">
        <f t="shared" si="455"/>
        <v>0</v>
      </c>
      <c r="J138">
        <f t="shared" si="455"/>
        <v>0</v>
      </c>
      <c r="K138">
        <f t="shared" si="455"/>
        <v>0</v>
      </c>
      <c r="L138">
        <f t="shared" si="455"/>
        <v>0</v>
      </c>
      <c r="M138">
        <f t="shared" ref="M138:AX138" si="456">-M132</f>
        <v>0</v>
      </c>
      <c r="N138">
        <f t="shared" si="456"/>
        <v>0</v>
      </c>
      <c r="O138">
        <f t="shared" si="456"/>
        <v>0</v>
      </c>
      <c r="P138">
        <f t="shared" si="456"/>
        <v>0</v>
      </c>
      <c r="Q138">
        <f t="shared" si="456"/>
        <v>0</v>
      </c>
      <c r="R138">
        <f t="shared" si="456"/>
        <v>0</v>
      </c>
      <c r="S138">
        <f t="shared" si="456"/>
        <v>0</v>
      </c>
      <c r="T138">
        <f t="shared" si="456"/>
        <v>0</v>
      </c>
      <c r="U138">
        <f t="shared" si="456"/>
        <v>0</v>
      </c>
      <c r="V138">
        <f t="shared" si="456"/>
        <v>0</v>
      </c>
      <c r="W138">
        <f t="shared" si="456"/>
        <v>0</v>
      </c>
      <c r="X138">
        <f t="shared" si="456"/>
        <v>0</v>
      </c>
      <c r="Y138">
        <f t="shared" si="456"/>
        <v>0</v>
      </c>
      <c r="Z138">
        <f t="shared" si="456"/>
        <v>0</v>
      </c>
      <c r="AA138">
        <f t="shared" si="456"/>
        <v>0</v>
      </c>
      <c r="AB138">
        <f t="shared" si="456"/>
        <v>0</v>
      </c>
      <c r="AC138">
        <f t="shared" si="456"/>
        <v>3</v>
      </c>
      <c r="AD138">
        <f t="shared" si="456"/>
        <v>0</v>
      </c>
      <c r="AE138">
        <f t="shared" si="456"/>
        <v>5</v>
      </c>
      <c r="AF138">
        <f t="shared" si="456"/>
        <v>0</v>
      </c>
      <c r="AG138">
        <f t="shared" si="456"/>
        <v>0</v>
      </c>
      <c r="AH138">
        <f t="shared" si="456"/>
        <v>0</v>
      </c>
      <c r="AI138">
        <f t="shared" si="456"/>
        <v>0</v>
      </c>
      <c r="AJ138">
        <f t="shared" si="456"/>
        <v>0</v>
      </c>
      <c r="AK138">
        <f t="shared" si="456"/>
        <v>0</v>
      </c>
      <c r="AL138">
        <f t="shared" si="456"/>
        <v>0</v>
      </c>
      <c r="AM138">
        <f t="shared" si="456"/>
        <v>0</v>
      </c>
      <c r="AN138">
        <f t="shared" si="456"/>
        <v>0</v>
      </c>
      <c r="AO138">
        <f t="shared" si="456"/>
        <v>0</v>
      </c>
      <c r="AP138">
        <f t="shared" si="456"/>
        <v>0</v>
      </c>
      <c r="AQ138">
        <f t="shared" si="456"/>
        <v>0</v>
      </c>
      <c r="AR138">
        <f t="shared" si="456"/>
        <v>0</v>
      </c>
      <c r="AS138">
        <f t="shared" si="456"/>
        <v>0</v>
      </c>
      <c r="AT138">
        <f t="shared" si="456"/>
        <v>0</v>
      </c>
      <c r="AU138">
        <f t="shared" si="456"/>
        <v>0</v>
      </c>
      <c r="AV138">
        <f t="shared" si="456"/>
        <v>0</v>
      </c>
      <c r="AW138">
        <f t="shared" si="456"/>
        <v>0</v>
      </c>
      <c r="AX138">
        <f t="shared" si="456"/>
        <v>0</v>
      </c>
      <c r="AY138">
        <f t="shared" ref="AY138:BJ138" si="457">-AY132</f>
        <v>0</v>
      </c>
      <c r="AZ138">
        <f t="shared" si="457"/>
        <v>0</v>
      </c>
      <c r="BA138">
        <f t="shared" si="457"/>
        <v>0</v>
      </c>
      <c r="BB138">
        <f t="shared" si="457"/>
        <v>0</v>
      </c>
      <c r="BC138">
        <f t="shared" si="457"/>
        <v>0</v>
      </c>
      <c r="BD138">
        <f t="shared" si="457"/>
        <v>0</v>
      </c>
      <c r="BE138">
        <f t="shared" si="457"/>
        <v>0</v>
      </c>
      <c r="BF138">
        <f t="shared" si="457"/>
        <v>0</v>
      </c>
      <c r="BG138">
        <f t="shared" si="457"/>
        <v>0</v>
      </c>
      <c r="BH138">
        <f t="shared" si="457"/>
        <v>0</v>
      </c>
      <c r="BI138">
        <f t="shared" si="457"/>
        <v>0</v>
      </c>
      <c r="BJ138">
        <f t="shared" si="457"/>
        <v>0</v>
      </c>
    </row>
    <row r="139" spans="2:62" outlineLevel="1">
      <c r="B139" t="s">
        <v>397</v>
      </c>
      <c r="C139" s="56"/>
      <c r="D139" s="56"/>
      <c r="E139" s="56"/>
      <c r="F139" s="56"/>
      <c r="G139" s="56"/>
      <c r="H139" s="56"/>
      <c r="I139" s="56"/>
      <c r="J139" s="123">
        <v>2</v>
      </c>
      <c r="K139" s="56"/>
      <c r="L139" s="56"/>
      <c r="M139" s="56"/>
      <c r="N139" s="56"/>
      <c r="O139" s="56"/>
      <c r="P139" s="56"/>
      <c r="Q139" s="123">
        <f>1+1</f>
        <v>2</v>
      </c>
      <c r="R139" s="123">
        <v>2</v>
      </c>
      <c r="S139" s="56"/>
      <c r="T139" s="56"/>
      <c r="U139" s="56"/>
      <c r="V139" s="56"/>
      <c r="W139" s="56"/>
      <c r="X139" s="56"/>
      <c r="Y139" s="56"/>
      <c r="Z139" s="56"/>
      <c r="AA139" s="56"/>
      <c r="AB139" s="56"/>
      <c r="AC139" s="56"/>
      <c r="AD139" s="123">
        <v>3</v>
      </c>
      <c r="AE139" s="56"/>
      <c r="AF139" s="56"/>
      <c r="AG139" s="56"/>
      <c r="AH139" s="56"/>
      <c r="AI139" s="126">
        <v>1</v>
      </c>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row>
    <row r="140" spans="2:62" outlineLevel="1">
      <c r="B140" t="s">
        <v>253</v>
      </c>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123">
        <v>-1</v>
      </c>
      <c r="AE140" s="123">
        <v>-1</v>
      </c>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row>
    <row r="141" spans="2:62" outlineLevel="1">
      <c r="B141" t="s">
        <v>392</v>
      </c>
      <c r="C141" s="56"/>
      <c r="D141" s="56"/>
      <c r="E141" s="56"/>
      <c r="F141" s="56"/>
      <c r="G141" s="56"/>
      <c r="H141" s="123">
        <f>-8</f>
        <v>-8</v>
      </c>
      <c r="I141" s="56"/>
      <c r="J141" s="56"/>
      <c r="K141" s="56"/>
      <c r="L141" s="56"/>
      <c r="M141" s="123">
        <v>-2</v>
      </c>
      <c r="N141" s="56"/>
      <c r="O141" s="56"/>
      <c r="P141" s="56"/>
      <c r="Q141" s="115"/>
      <c r="R141" s="115"/>
      <c r="S141" s="56"/>
      <c r="T141" s="123">
        <v>-1</v>
      </c>
      <c r="U141" s="56"/>
      <c r="V141" s="123">
        <v>-4</v>
      </c>
      <c r="W141" s="56"/>
      <c r="X141" s="56"/>
      <c r="Y141" s="56"/>
      <c r="Z141" s="56"/>
      <c r="AA141" s="56"/>
      <c r="AB141" s="56"/>
      <c r="AC141" s="56"/>
      <c r="AD141" s="56"/>
      <c r="AE141" s="56"/>
      <c r="AF141" s="56"/>
      <c r="AG141" s="123">
        <v>-3</v>
      </c>
      <c r="AH141" s="56"/>
      <c r="AI141" s="56"/>
      <c r="AJ141" s="56"/>
      <c r="AK141" s="56"/>
      <c r="AL141" s="56">
        <v>-7</v>
      </c>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row>
    <row r="142" spans="2:62" outlineLevel="1">
      <c r="B142" t="s">
        <v>394</v>
      </c>
      <c r="C142" s="54">
        <f t="shared" ref="C142:AX142" si="458">SUM(C137:C141)</f>
        <v>9</v>
      </c>
      <c r="D142" s="54">
        <f t="shared" si="458"/>
        <v>9</v>
      </c>
      <c r="E142" s="54">
        <f t="shared" si="458"/>
        <v>9</v>
      </c>
      <c r="F142" s="54">
        <f t="shared" si="458"/>
        <v>9</v>
      </c>
      <c r="G142" s="54">
        <f t="shared" si="458"/>
        <v>9</v>
      </c>
      <c r="H142" s="54">
        <f t="shared" si="458"/>
        <v>1</v>
      </c>
      <c r="I142" s="54">
        <f t="shared" si="458"/>
        <v>1</v>
      </c>
      <c r="J142" s="54">
        <f t="shared" si="458"/>
        <v>3</v>
      </c>
      <c r="K142" s="54">
        <f t="shared" si="458"/>
        <v>3</v>
      </c>
      <c r="L142" s="54">
        <f t="shared" si="458"/>
        <v>3</v>
      </c>
      <c r="M142" s="54">
        <f t="shared" si="458"/>
        <v>1</v>
      </c>
      <c r="N142" s="54">
        <f t="shared" si="458"/>
        <v>1</v>
      </c>
      <c r="O142" s="54">
        <f t="shared" si="458"/>
        <v>1</v>
      </c>
      <c r="P142" s="54">
        <f t="shared" si="458"/>
        <v>1</v>
      </c>
      <c r="Q142" s="54">
        <f t="shared" si="458"/>
        <v>3</v>
      </c>
      <c r="R142" s="54">
        <f t="shared" si="458"/>
        <v>5</v>
      </c>
      <c r="S142" s="54">
        <f t="shared" si="458"/>
        <v>5</v>
      </c>
      <c r="T142" s="54">
        <f t="shared" si="458"/>
        <v>4</v>
      </c>
      <c r="U142" s="54">
        <f t="shared" si="458"/>
        <v>4</v>
      </c>
      <c r="V142" s="54">
        <f t="shared" si="458"/>
        <v>0</v>
      </c>
      <c r="W142" s="54">
        <f t="shared" si="458"/>
        <v>0</v>
      </c>
      <c r="X142" s="54">
        <f t="shared" si="458"/>
        <v>0</v>
      </c>
      <c r="Y142" s="54">
        <f t="shared" si="458"/>
        <v>0</v>
      </c>
      <c r="Z142" s="54">
        <f t="shared" si="458"/>
        <v>0</v>
      </c>
      <c r="AA142" s="54">
        <f t="shared" si="458"/>
        <v>0</v>
      </c>
      <c r="AB142" s="54">
        <f t="shared" si="458"/>
        <v>0</v>
      </c>
      <c r="AC142" s="54">
        <f t="shared" si="458"/>
        <v>3</v>
      </c>
      <c r="AD142" s="54">
        <f t="shared" si="458"/>
        <v>5</v>
      </c>
      <c r="AE142" s="54">
        <f t="shared" si="458"/>
        <v>9</v>
      </c>
      <c r="AF142" s="54">
        <f t="shared" si="458"/>
        <v>9</v>
      </c>
      <c r="AG142" s="54">
        <f t="shared" si="458"/>
        <v>6</v>
      </c>
      <c r="AH142">
        <f t="shared" si="458"/>
        <v>6</v>
      </c>
      <c r="AI142">
        <f t="shared" si="458"/>
        <v>7</v>
      </c>
      <c r="AJ142">
        <f t="shared" si="458"/>
        <v>7</v>
      </c>
      <c r="AK142">
        <f t="shared" si="458"/>
        <v>7</v>
      </c>
      <c r="AL142">
        <f t="shared" si="458"/>
        <v>0</v>
      </c>
      <c r="AM142">
        <f t="shared" si="458"/>
        <v>0</v>
      </c>
      <c r="AN142">
        <f t="shared" si="458"/>
        <v>0</v>
      </c>
      <c r="AO142">
        <f t="shared" si="458"/>
        <v>0</v>
      </c>
      <c r="AP142">
        <f t="shared" si="458"/>
        <v>0</v>
      </c>
      <c r="AQ142">
        <f t="shared" si="458"/>
        <v>0</v>
      </c>
      <c r="AR142">
        <f t="shared" si="458"/>
        <v>0</v>
      </c>
      <c r="AS142">
        <f t="shared" si="458"/>
        <v>0</v>
      </c>
      <c r="AT142">
        <f t="shared" si="458"/>
        <v>0</v>
      </c>
      <c r="AU142">
        <f t="shared" si="458"/>
        <v>0</v>
      </c>
      <c r="AV142">
        <f t="shared" si="458"/>
        <v>0</v>
      </c>
      <c r="AW142">
        <f t="shared" si="458"/>
        <v>0</v>
      </c>
      <c r="AX142">
        <f t="shared" si="458"/>
        <v>0</v>
      </c>
      <c r="AY142">
        <f t="shared" ref="AY142:BJ142" si="459">SUM(AY137:AY141)</f>
        <v>0</v>
      </c>
      <c r="AZ142">
        <f t="shared" si="459"/>
        <v>0</v>
      </c>
      <c r="BA142">
        <f t="shared" si="459"/>
        <v>0</v>
      </c>
      <c r="BB142">
        <f t="shared" si="459"/>
        <v>0</v>
      </c>
      <c r="BC142">
        <f t="shared" si="459"/>
        <v>0</v>
      </c>
      <c r="BD142">
        <f t="shared" si="459"/>
        <v>0</v>
      </c>
      <c r="BE142">
        <f t="shared" si="459"/>
        <v>0</v>
      </c>
      <c r="BF142">
        <f t="shared" si="459"/>
        <v>0</v>
      </c>
      <c r="BG142">
        <f t="shared" si="459"/>
        <v>0</v>
      </c>
      <c r="BH142">
        <f t="shared" si="459"/>
        <v>0</v>
      </c>
      <c r="BI142">
        <f t="shared" si="459"/>
        <v>0</v>
      </c>
      <c r="BJ142">
        <f t="shared" si="459"/>
        <v>0</v>
      </c>
    </row>
    <row r="143" spans="2:62" outlineLevel="1">
      <c r="H143" s="54"/>
      <c r="Q143" s="460"/>
    </row>
    <row r="144" spans="2:62" outlineLevel="1">
      <c r="B144" s="60" t="s">
        <v>436</v>
      </c>
      <c r="H144" s="54"/>
      <c r="Q144" s="460"/>
    </row>
    <row r="145" spans="2:62" outlineLevel="1">
      <c r="B145" t="s">
        <v>256</v>
      </c>
      <c r="C145" s="56">
        <v>0</v>
      </c>
      <c r="D145" s="56">
        <v>0</v>
      </c>
      <c r="E145" s="56">
        <v>0</v>
      </c>
      <c r="F145" s="56">
        <v>0</v>
      </c>
      <c r="G145" s="56">
        <v>0</v>
      </c>
      <c r="H145" s="56">
        <v>0</v>
      </c>
      <c r="I145" s="56">
        <v>0</v>
      </c>
      <c r="J145" s="56">
        <v>0</v>
      </c>
      <c r="K145" s="56">
        <v>0</v>
      </c>
      <c r="L145" s="56">
        <v>0</v>
      </c>
      <c r="M145" s="56">
        <v>0</v>
      </c>
      <c r="N145" s="56">
        <v>0</v>
      </c>
      <c r="O145" s="56">
        <v>0</v>
      </c>
      <c r="P145" s="56">
        <v>1</v>
      </c>
      <c r="Q145" s="56">
        <v>1</v>
      </c>
      <c r="R145" s="56">
        <v>1</v>
      </c>
      <c r="S145" s="56">
        <v>1</v>
      </c>
      <c r="T145" s="56">
        <v>0</v>
      </c>
      <c r="U145" s="56">
        <v>0</v>
      </c>
      <c r="V145" s="56">
        <v>0</v>
      </c>
      <c r="W145" s="56">
        <v>0</v>
      </c>
      <c r="X145" s="56">
        <v>0</v>
      </c>
      <c r="Y145" s="56">
        <v>0</v>
      </c>
      <c r="Z145" s="56">
        <v>0</v>
      </c>
      <c r="AA145" s="56">
        <v>0</v>
      </c>
      <c r="AB145" s="56">
        <v>0</v>
      </c>
      <c r="AC145" s="56">
        <v>1.47</v>
      </c>
      <c r="AD145" s="56">
        <v>2.5</v>
      </c>
      <c r="AE145" s="56">
        <v>2.68</v>
      </c>
      <c r="AF145" s="56">
        <v>1.35</v>
      </c>
      <c r="AG145" s="56">
        <v>0</v>
      </c>
      <c r="AH145" s="56">
        <v>0</v>
      </c>
      <c r="AI145" s="56">
        <v>0</v>
      </c>
      <c r="AJ145" s="56">
        <v>0</v>
      </c>
      <c r="AK145" s="56">
        <v>0</v>
      </c>
      <c r="AL145" s="56">
        <v>0</v>
      </c>
      <c r="AM145" s="56"/>
      <c r="AN145" s="56">
        <v>1.47</v>
      </c>
      <c r="AO145" s="56">
        <v>2.5</v>
      </c>
      <c r="AP145" s="56">
        <v>2.68</v>
      </c>
      <c r="AQ145" s="56">
        <v>1.35</v>
      </c>
      <c r="AR145" s="56">
        <v>0</v>
      </c>
      <c r="AS145" s="56">
        <v>0</v>
      </c>
      <c r="AT145" s="56">
        <v>0</v>
      </c>
      <c r="AU145" s="56">
        <v>0</v>
      </c>
      <c r="AV145" s="56">
        <v>0</v>
      </c>
      <c r="AW145" s="56">
        <v>0</v>
      </c>
      <c r="AX145" s="56">
        <v>0</v>
      </c>
      <c r="AY145" s="56"/>
      <c r="AZ145" s="56">
        <v>1.47</v>
      </c>
      <c r="BA145" s="56">
        <v>2.5</v>
      </c>
      <c r="BB145" s="56">
        <v>2.68</v>
      </c>
      <c r="BC145" s="56">
        <v>1.35</v>
      </c>
      <c r="BD145" s="56">
        <v>0</v>
      </c>
      <c r="BE145" s="56">
        <v>0</v>
      </c>
      <c r="BF145" s="56">
        <v>0</v>
      </c>
      <c r="BG145" s="56">
        <v>0</v>
      </c>
      <c r="BH145" s="56">
        <v>0</v>
      </c>
      <c r="BI145" s="56">
        <v>0</v>
      </c>
      <c r="BJ145" s="56">
        <v>0</v>
      </c>
    </row>
    <row r="146" spans="2:62" outlineLevel="1">
      <c r="B146" s="57" t="s">
        <v>398</v>
      </c>
      <c r="C146" s="68">
        <f t="shared" ref="C146:AH146" si="460">C145*C91*C3</f>
        <v>0</v>
      </c>
      <c r="D146" s="68">
        <f t="shared" si="460"/>
        <v>0</v>
      </c>
      <c r="E146" s="68">
        <f t="shared" si="460"/>
        <v>0</v>
      </c>
      <c r="F146" s="68">
        <f t="shared" si="460"/>
        <v>0</v>
      </c>
      <c r="G146" s="68">
        <f t="shared" si="460"/>
        <v>0</v>
      </c>
      <c r="H146" s="68">
        <f t="shared" si="460"/>
        <v>0</v>
      </c>
      <c r="I146" s="68">
        <f t="shared" si="460"/>
        <v>0</v>
      </c>
      <c r="J146" s="68">
        <f t="shared" si="460"/>
        <v>0</v>
      </c>
      <c r="K146" s="68">
        <f t="shared" si="460"/>
        <v>0</v>
      </c>
      <c r="L146" s="68">
        <f t="shared" si="460"/>
        <v>0</v>
      </c>
      <c r="M146" s="68">
        <f t="shared" si="460"/>
        <v>0</v>
      </c>
      <c r="N146" s="68">
        <f t="shared" si="460"/>
        <v>0</v>
      </c>
      <c r="O146" s="68">
        <f t="shared" si="460"/>
        <v>0</v>
      </c>
      <c r="P146" s="68">
        <f t="shared" si="460"/>
        <v>5487</v>
      </c>
      <c r="Q146" s="68">
        <f t="shared" si="460"/>
        <v>5280</v>
      </c>
      <c r="R146" s="68">
        <f t="shared" si="460"/>
        <v>5332</v>
      </c>
      <c r="S146" s="68">
        <f t="shared" si="460"/>
        <v>5239</v>
      </c>
      <c r="T146" s="68">
        <f t="shared" si="460"/>
        <v>0</v>
      </c>
      <c r="U146" s="68">
        <f t="shared" si="460"/>
        <v>0</v>
      </c>
      <c r="V146" s="68">
        <f t="shared" si="460"/>
        <v>0</v>
      </c>
      <c r="W146" s="68">
        <f t="shared" si="460"/>
        <v>0</v>
      </c>
      <c r="X146" s="68">
        <f t="shared" si="460"/>
        <v>0</v>
      </c>
      <c r="Y146" s="68">
        <f t="shared" si="460"/>
        <v>0</v>
      </c>
      <c r="Z146" s="68">
        <f t="shared" si="460"/>
        <v>0</v>
      </c>
      <c r="AA146" s="68">
        <f t="shared" si="460"/>
        <v>0</v>
      </c>
      <c r="AB146" s="68">
        <f t="shared" si="460"/>
        <v>0</v>
      </c>
      <c r="AC146" s="68">
        <f t="shared" si="460"/>
        <v>7188.2999999999993</v>
      </c>
      <c r="AD146" s="68">
        <f t="shared" si="460"/>
        <v>12632.5</v>
      </c>
      <c r="AE146" s="68">
        <f t="shared" si="460"/>
        <v>13292.800000000001</v>
      </c>
      <c r="AF146" s="68">
        <f t="shared" si="460"/>
        <v>5972.4000000000005</v>
      </c>
      <c r="AG146" s="68">
        <f t="shared" si="460"/>
        <v>0</v>
      </c>
      <c r="AH146" s="68">
        <f t="shared" si="460"/>
        <v>0</v>
      </c>
      <c r="AI146" s="68">
        <f t="shared" ref="AI146:BJ146" si="461">AI145*AI91*AI3</f>
        <v>0</v>
      </c>
      <c r="AJ146" s="68">
        <f t="shared" si="461"/>
        <v>0</v>
      </c>
      <c r="AK146" s="68">
        <f t="shared" si="461"/>
        <v>0</v>
      </c>
      <c r="AL146" s="68">
        <f t="shared" si="461"/>
        <v>0</v>
      </c>
      <c r="AM146" s="68">
        <f t="shared" si="461"/>
        <v>0</v>
      </c>
      <c r="AN146" s="68">
        <f t="shared" si="461"/>
        <v>8931.7199999999993</v>
      </c>
      <c r="AO146" s="68">
        <f t="shared" si="461"/>
        <v>14700</v>
      </c>
      <c r="AP146" s="68">
        <f t="shared" si="461"/>
        <v>17779.12</v>
      </c>
      <c r="AQ146" s="68">
        <f t="shared" si="461"/>
        <v>9081.4500000000007</v>
      </c>
      <c r="AR146" s="68">
        <f t="shared" si="461"/>
        <v>0</v>
      </c>
      <c r="AS146" s="68">
        <f t="shared" si="461"/>
        <v>0</v>
      </c>
      <c r="AT146" s="68">
        <f t="shared" si="461"/>
        <v>0</v>
      </c>
      <c r="AU146" s="68">
        <f t="shared" si="461"/>
        <v>0</v>
      </c>
      <c r="AV146" s="68">
        <f t="shared" si="461"/>
        <v>0</v>
      </c>
      <c r="AW146" s="68">
        <f t="shared" si="461"/>
        <v>0</v>
      </c>
      <c r="AX146" s="68">
        <f t="shared" si="461"/>
        <v>0</v>
      </c>
      <c r="AY146" s="68">
        <f t="shared" si="461"/>
        <v>0</v>
      </c>
      <c r="AZ146" s="68">
        <f t="shared" si="461"/>
        <v>11438.07</v>
      </c>
      <c r="BA146" s="68">
        <f t="shared" si="461"/>
        <v>19950</v>
      </c>
      <c r="BB146" s="68">
        <f t="shared" si="461"/>
        <v>22348.520000000004</v>
      </c>
      <c r="BC146" s="68">
        <f t="shared" si="461"/>
        <v>11257.650000000001</v>
      </c>
      <c r="BD146" s="68">
        <f t="shared" si="461"/>
        <v>0</v>
      </c>
      <c r="BE146" s="68">
        <f t="shared" si="461"/>
        <v>0</v>
      </c>
      <c r="BF146" s="68">
        <f t="shared" si="461"/>
        <v>0</v>
      </c>
      <c r="BG146" s="68">
        <f t="shared" si="461"/>
        <v>0</v>
      </c>
      <c r="BH146" s="68">
        <f t="shared" si="461"/>
        <v>0</v>
      </c>
      <c r="BI146" s="68">
        <f t="shared" si="461"/>
        <v>0</v>
      </c>
      <c r="BJ146" s="68">
        <f t="shared" si="461"/>
        <v>0</v>
      </c>
    </row>
    <row r="147" spans="2:62" outlineLevel="1">
      <c r="B147" s="60" t="s">
        <v>399</v>
      </c>
    </row>
    <row r="148" spans="2:62" outlineLevel="1">
      <c r="B148" t="s">
        <v>256</v>
      </c>
      <c r="C148" s="56">
        <v>0</v>
      </c>
      <c r="D148" s="56">
        <v>0</v>
      </c>
      <c r="E148" s="56">
        <v>0.25</v>
      </c>
      <c r="F148" s="56">
        <v>0.25</v>
      </c>
      <c r="G148" s="56">
        <v>0.25</v>
      </c>
      <c r="H148" s="56">
        <v>0.25</v>
      </c>
      <c r="I148" s="56">
        <v>0.25</v>
      </c>
      <c r="J148" s="56">
        <v>0.25</v>
      </c>
      <c r="K148" s="56">
        <v>0.25</v>
      </c>
      <c r="L148" s="56">
        <v>0.25</v>
      </c>
      <c r="M148" s="56">
        <v>0.25</v>
      </c>
      <c r="N148" s="56">
        <v>0.25</v>
      </c>
      <c r="O148" s="56">
        <v>0.25</v>
      </c>
      <c r="P148" s="56">
        <v>0.25</v>
      </c>
      <c r="Q148" s="56">
        <v>0.25</v>
      </c>
      <c r="R148" s="56">
        <v>0.25</v>
      </c>
      <c r="S148" s="56">
        <v>0.1</v>
      </c>
      <c r="T148" s="56">
        <v>0.1</v>
      </c>
      <c r="U148" s="56">
        <v>0.1</v>
      </c>
      <c r="V148" s="56">
        <v>0.1</v>
      </c>
      <c r="W148" s="56">
        <v>0.1</v>
      </c>
      <c r="X148" s="56">
        <v>0.1</v>
      </c>
      <c r="Y148" s="56">
        <v>0.1</v>
      </c>
      <c r="Z148" s="56">
        <v>0.1</v>
      </c>
      <c r="AA148" s="56">
        <v>0.1</v>
      </c>
      <c r="AB148" s="56">
        <v>0.1</v>
      </c>
      <c r="AC148" s="56">
        <v>0.1</v>
      </c>
      <c r="AD148" s="56"/>
      <c r="AE148" s="56"/>
      <c r="AF148" s="56"/>
      <c r="AG148" s="56"/>
      <c r="AH148" s="56"/>
      <c r="AI148" s="56"/>
      <c r="AJ148" s="56">
        <v>0.1</v>
      </c>
      <c r="AK148" s="56">
        <v>0.1</v>
      </c>
      <c r="AL148" s="56">
        <v>0.1</v>
      </c>
      <c r="AM148" s="56">
        <v>0.1</v>
      </c>
      <c r="AN148" s="56">
        <v>0.1</v>
      </c>
      <c r="AO148" s="56">
        <v>0.1</v>
      </c>
      <c r="AP148" s="56">
        <v>0.1</v>
      </c>
      <c r="AQ148" s="56">
        <v>0.1</v>
      </c>
      <c r="AR148" s="56">
        <v>0.1</v>
      </c>
      <c r="AS148" s="56">
        <v>0.1</v>
      </c>
      <c r="AT148" s="56">
        <v>0.1</v>
      </c>
      <c r="AU148" s="56">
        <v>0.1</v>
      </c>
      <c r="AV148" s="56">
        <v>0.1</v>
      </c>
      <c r="AW148" s="56">
        <v>0.1</v>
      </c>
      <c r="AX148" s="56">
        <v>0.1</v>
      </c>
      <c r="AY148" s="56">
        <v>0.1</v>
      </c>
      <c r="AZ148" s="56">
        <v>0.1</v>
      </c>
      <c r="BA148" s="56">
        <v>0.1</v>
      </c>
      <c r="BB148" s="56">
        <v>0.1</v>
      </c>
      <c r="BC148" s="56">
        <v>0.1</v>
      </c>
      <c r="BD148" s="56">
        <v>0.1</v>
      </c>
      <c r="BE148" s="56">
        <v>0.1</v>
      </c>
      <c r="BF148" s="56">
        <v>0.1</v>
      </c>
      <c r="BG148" s="56">
        <v>0.1</v>
      </c>
      <c r="BH148" s="56">
        <v>0.1</v>
      </c>
      <c r="BI148" s="56">
        <v>0.1</v>
      </c>
      <c r="BJ148" s="56">
        <v>0.1</v>
      </c>
    </row>
    <row r="149" spans="2:62" outlineLevel="1">
      <c r="B149" s="57" t="s">
        <v>398</v>
      </c>
      <c r="C149" s="57"/>
      <c r="D149" s="57"/>
      <c r="E149" s="78">
        <f t="shared" ref="E149:AJ149" si="462">+E148*C117*E3</f>
        <v>150</v>
      </c>
      <c r="F149" s="78">
        <f t="shared" si="462"/>
        <v>193.75</v>
      </c>
      <c r="G149" s="78">
        <f t="shared" si="462"/>
        <v>255.75</v>
      </c>
      <c r="H149" s="78">
        <f t="shared" si="462"/>
        <v>385</v>
      </c>
      <c r="I149" s="78">
        <f t="shared" si="462"/>
        <v>379.75</v>
      </c>
      <c r="J149" s="78">
        <f t="shared" si="462"/>
        <v>367.5</v>
      </c>
      <c r="K149" s="78">
        <f t="shared" si="462"/>
        <v>379.75</v>
      </c>
      <c r="L149" s="78">
        <f t="shared" si="462"/>
        <v>225</v>
      </c>
      <c r="M149" s="78">
        <f t="shared" si="462"/>
        <v>240.25</v>
      </c>
      <c r="N149" s="78">
        <f t="shared" si="462"/>
        <v>224.75</v>
      </c>
      <c r="O149" s="78">
        <f t="shared" si="462"/>
        <v>105</v>
      </c>
      <c r="P149" s="78">
        <f t="shared" si="462"/>
        <v>46.5</v>
      </c>
      <c r="Q149" s="78">
        <f t="shared" si="462"/>
        <v>120</v>
      </c>
      <c r="R149" s="78">
        <f t="shared" si="462"/>
        <v>147.25</v>
      </c>
      <c r="S149" s="78">
        <f t="shared" si="462"/>
        <v>120.9</v>
      </c>
      <c r="T149" s="78">
        <f t="shared" si="462"/>
        <v>182</v>
      </c>
      <c r="U149" s="78">
        <f t="shared" si="462"/>
        <v>210.8</v>
      </c>
      <c r="V149" s="78">
        <f t="shared" si="462"/>
        <v>183.00000000000003</v>
      </c>
      <c r="W149" s="78">
        <f t="shared" si="462"/>
        <v>142.60000000000002</v>
      </c>
      <c r="X149" s="78">
        <f t="shared" si="462"/>
        <v>186</v>
      </c>
      <c r="Y149" s="78">
        <f t="shared" si="462"/>
        <v>151.9</v>
      </c>
      <c r="Z149" s="78">
        <f t="shared" si="462"/>
        <v>114.7</v>
      </c>
      <c r="AA149" s="78">
        <f t="shared" si="462"/>
        <v>87.000000000000014</v>
      </c>
      <c r="AB149" s="78">
        <f t="shared" si="462"/>
        <v>80.600000000000009</v>
      </c>
      <c r="AC149" s="78">
        <f t="shared" si="462"/>
        <v>84.000000000000014</v>
      </c>
      <c r="AD149" s="78">
        <f t="shared" si="462"/>
        <v>0</v>
      </c>
      <c r="AE149" s="78">
        <f t="shared" si="462"/>
        <v>0</v>
      </c>
      <c r="AF149" s="78">
        <f t="shared" si="462"/>
        <v>0</v>
      </c>
      <c r="AG149" s="78">
        <f t="shared" si="462"/>
        <v>0</v>
      </c>
      <c r="AH149" s="78">
        <f t="shared" si="462"/>
        <v>0</v>
      </c>
      <c r="AI149" s="78">
        <f t="shared" si="462"/>
        <v>0</v>
      </c>
      <c r="AJ149" s="78">
        <f t="shared" si="462"/>
        <v>249.00000000000003</v>
      </c>
      <c r="AK149" s="78">
        <f t="shared" ref="AK149:BJ149" si="463">+AK148*AI117*AK3</f>
        <v>210.8</v>
      </c>
      <c r="AL149" s="78">
        <f t="shared" si="463"/>
        <v>176.70000000000002</v>
      </c>
      <c r="AM149" s="78">
        <f t="shared" si="463"/>
        <v>144.00000000000003</v>
      </c>
      <c r="AN149" s="78">
        <f t="shared" si="463"/>
        <v>71.300000000000011</v>
      </c>
      <c r="AO149" s="78">
        <f t="shared" si="463"/>
        <v>48</v>
      </c>
      <c r="AP149" s="78">
        <f t="shared" si="463"/>
        <v>15.5</v>
      </c>
      <c r="AQ149" s="78">
        <f t="shared" si="463"/>
        <v>58.900000000000006</v>
      </c>
      <c r="AR149" s="78">
        <f t="shared" si="463"/>
        <v>72.8</v>
      </c>
      <c r="AS149" s="78">
        <f t="shared" si="463"/>
        <v>143.22</v>
      </c>
      <c r="AT149" s="78">
        <f t="shared" si="463"/>
        <v>222.48000000000005</v>
      </c>
      <c r="AU149" s="78">
        <f t="shared" si="463"/>
        <v>262.27377777777787</v>
      </c>
      <c r="AV149" s="78">
        <f t="shared" si="463"/>
        <v>316.37912280701761</v>
      </c>
      <c r="AW149" s="78">
        <f t="shared" si="463"/>
        <v>335.48109356725155</v>
      </c>
      <c r="AX149" s="78">
        <f t="shared" si="463"/>
        <v>264.27409356725144</v>
      </c>
      <c r="AY149" s="78">
        <f t="shared" si="463"/>
        <v>187.3957894736842</v>
      </c>
      <c r="AZ149" s="78">
        <f t="shared" si="463"/>
        <v>112.83929545454548</v>
      </c>
      <c r="BA149" s="78">
        <f t="shared" si="463"/>
        <v>37.729844497607679</v>
      </c>
      <c r="BB149" s="78">
        <f t="shared" si="463"/>
        <v>25.770084928229693</v>
      </c>
      <c r="BC149" s="78">
        <f t="shared" si="463"/>
        <v>76.619874401913904</v>
      </c>
      <c r="BD149" s="78">
        <f t="shared" si="463"/>
        <v>92.721220442410399</v>
      </c>
      <c r="BE149" s="78">
        <f t="shared" si="463"/>
        <v>181.09542639206717</v>
      </c>
      <c r="BF149" s="78">
        <f t="shared" si="463"/>
        <v>277.11469107551494</v>
      </c>
      <c r="BG149" s="78">
        <f t="shared" si="463"/>
        <v>315.71749587951132</v>
      </c>
      <c r="BH149" s="78">
        <f t="shared" si="463"/>
        <v>373.73100103199181</v>
      </c>
      <c r="BI149" s="78">
        <f t="shared" si="463"/>
        <v>386.18870106639156</v>
      </c>
      <c r="BJ149" s="78">
        <f t="shared" si="463"/>
        <v>296.84670106639157</v>
      </c>
    </row>
    <row r="150" spans="2:62" outlineLevel="1">
      <c r="B150" s="85" t="s">
        <v>400</v>
      </c>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row>
    <row r="151" spans="2:62" outlineLevel="1">
      <c r="B151" t="s">
        <v>268</v>
      </c>
      <c r="C151" s="56">
        <v>6.3</v>
      </c>
      <c r="D151" s="56">
        <f>C151</f>
        <v>6.3</v>
      </c>
      <c r="E151" s="56">
        <f>D151</f>
        <v>6.3</v>
      </c>
      <c r="F151" s="56">
        <f>E151</f>
        <v>6.3</v>
      </c>
      <c r="G151" s="56">
        <f>F151</f>
        <v>6.3</v>
      </c>
      <c r="H151" s="56">
        <f>G151</f>
        <v>6.3</v>
      </c>
      <c r="I151" s="56"/>
      <c r="J151" s="56"/>
      <c r="K151" s="56"/>
      <c r="L151" s="56">
        <v>6</v>
      </c>
      <c r="M151" s="56">
        <v>6</v>
      </c>
      <c r="N151" s="56">
        <v>6</v>
      </c>
      <c r="O151" s="56">
        <v>6</v>
      </c>
      <c r="P151" s="56">
        <v>5</v>
      </c>
      <c r="Q151" s="56">
        <v>5</v>
      </c>
      <c r="R151" s="56">
        <v>5</v>
      </c>
      <c r="S151" s="56">
        <v>5</v>
      </c>
      <c r="T151" s="56">
        <v>5</v>
      </c>
      <c r="U151" s="56">
        <v>5</v>
      </c>
      <c r="V151" s="56">
        <v>5</v>
      </c>
      <c r="W151" s="56">
        <v>5</v>
      </c>
      <c r="X151" s="56">
        <v>5</v>
      </c>
      <c r="Y151" s="56">
        <v>5</v>
      </c>
      <c r="Z151" s="56">
        <v>5</v>
      </c>
      <c r="AA151" s="56">
        <v>5</v>
      </c>
      <c r="AB151" s="56">
        <v>5</v>
      </c>
      <c r="AC151" s="56">
        <v>5</v>
      </c>
      <c r="AD151" s="56">
        <v>5</v>
      </c>
      <c r="AE151" s="56">
        <v>4</v>
      </c>
      <c r="AF151" s="56">
        <v>4</v>
      </c>
      <c r="AG151" s="56">
        <v>4</v>
      </c>
      <c r="AH151" s="56">
        <v>4</v>
      </c>
      <c r="AI151" s="56">
        <v>4</v>
      </c>
      <c r="AJ151" s="56">
        <v>4</v>
      </c>
      <c r="AK151" s="56">
        <v>4</v>
      </c>
      <c r="AL151" s="56">
        <v>4</v>
      </c>
      <c r="AM151" s="56">
        <v>4</v>
      </c>
      <c r="AN151" s="56">
        <v>4</v>
      </c>
      <c r="AO151" s="56">
        <v>4</v>
      </c>
      <c r="AP151" s="56">
        <v>4</v>
      </c>
      <c r="AQ151" s="56">
        <v>4</v>
      </c>
      <c r="AR151" s="56">
        <v>4</v>
      </c>
      <c r="AS151" s="56">
        <v>4</v>
      </c>
      <c r="AT151" s="56">
        <v>4</v>
      </c>
      <c r="AU151" s="56">
        <v>4</v>
      </c>
      <c r="AV151" s="56">
        <v>4</v>
      </c>
      <c r="AW151" s="56">
        <v>4</v>
      </c>
      <c r="AX151" s="56">
        <v>4</v>
      </c>
      <c r="AY151" s="56">
        <v>4</v>
      </c>
      <c r="AZ151" s="56">
        <v>4</v>
      </c>
      <c r="BA151" s="56">
        <v>4</v>
      </c>
      <c r="BB151" s="56">
        <v>4</v>
      </c>
      <c r="BC151" s="56">
        <v>4</v>
      </c>
      <c r="BD151" s="56">
        <v>4</v>
      </c>
      <c r="BE151" s="56">
        <v>4</v>
      </c>
      <c r="BF151" s="56">
        <v>4</v>
      </c>
      <c r="BG151" s="56">
        <v>4</v>
      </c>
      <c r="BH151" s="56">
        <v>4</v>
      </c>
      <c r="BI151" s="56">
        <v>4</v>
      </c>
      <c r="BJ151" s="56">
        <v>4</v>
      </c>
    </row>
    <row r="152" spans="2:62" outlineLevel="1">
      <c r="B152" s="57" t="s">
        <v>398</v>
      </c>
      <c r="C152" s="68">
        <f t="shared" ref="C152:AH152" si="464">C151*C121*C3</f>
        <v>24759</v>
      </c>
      <c r="D152" s="68">
        <f t="shared" si="464"/>
        <v>25584.3</v>
      </c>
      <c r="E152" s="68">
        <f t="shared" si="464"/>
        <v>13230</v>
      </c>
      <c r="F152" s="68">
        <f t="shared" si="464"/>
        <v>13671</v>
      </c>
      <c r="G152" s="68">
        <f t="shared" si="464"/>
        <v>13671</v>
      </c>
      <c r="H152" s="68">
        <f t="shared" si="464"/>
        <v>2116.7999999999997</v>
      </c>
      <c r="I152" s="68">
        <f t="shared" si="464"/>
        <v>0</v>
      </c>
      <c r="J152" s="68">
        <f t="shared" si="464"/>
        <v>0</v>
      </c>
      <c r="K152" s="68">
        <f t="shared" si="464"/>
        <v>0</v>
      </c>
      <c r="L152" s="68">
        <f t="shared" si="464"/>
        <v>6660</v>
      </c>
      <c r="M152" s="68">
        <f t="shared" si="464"/>
        <v>3534</v>
      </c>
      <c r="N152" s="68">
        <f t="shared" si="464"/>
        <v>6696</v>
      </c>
      <c r="O152" s="68">
        <f t="shared" si="464"/>
        <v>4860</v>
      </c>
      <c r="P152" s="68">
        <f t="shared" si="464"/>
        <v>930</v>
      </c>
      <c r="Q152" s="68">
        <f t="shared" si="464"/>
        <v>1500</v>
      </c>
      <c r="R152" s="68">
        <f t="shared" si="464"/>
        <v>1550</v>
      </c>
      <c r="S152" s="68">
        <f t="shared" si="464"/>
        <v>1085</v>
      </c>
      <c r="T152" s="68">
        <f t="shared" si="464"/>
        <v>1400</v>
      </c>
      <c r="U152" s="68">
        <f t="shared" si="464"/>
        <v>4650</v>
      </c>
      <c r="V152" s="68">
        <f t="shared" si="464"/>
        <v>6750</v>
      </c>
      <c r="W152" s="68">
        <f t="shared" si="464"/>
        <v>5270</v>
      </c>
      <c r="X152" s="68">
        <f t="shared" si="464"/>
        <v>8400</v>
      </c>
      <c r="Y152" s="68">
        <f t="shared" si="464"/>
        <v>0</v>
      </c>
      <c r="Z152" s="68">
        <f t="shared" si="464"/>
        <v>0</v>
      </c>
      <c r="AA152" s="68">
        <f t="shared" si="464"/>
        <v>0</v>
      </c>
      <c r="AB152" s="68">
        <f t="shared" si="464"/>
        <v>0</v>
      </c>
      <c r="AC152" s="68">
        <f t="shared" si="464"/>
        <v>0</v>
      </c>
      <c r="AD152" s="68">
        <f t="shared" si="464"/>
        <v>0</v>
      </c>
      <c r="AE152" s="68">
        <f t="shared" si="464"/>
        <v>0</v>
      </c>
      <c r="AF152" s="68">
        <f t="shared" si="464"/>
        <v>0</v>
      </c>
      <c r="AG152" s="68">
        <f t="shared" si="464"/>
        <v>0</v>
      </c>
      <c r="AH152" s="68">
        <f t="shared" si="464"/>
        <v>0</v>
      </c>
      <c r="AI152" s="68">
        <f t="shared" ref="AI152:BJ152" si="465">AI151*AI121*AI3</f>
        <v>0</v>
      </c>
      <c r="AJ152" s="68">
        <f t="shared" si="465"/>
        <v>0</v>
      </c>
      <c r="AK152" s="68">
        <f t="shared" si="465"/>
        <v>0</v>
      </c>
      <c r="AL152" s="68">
        <f t="shared" si="465"/>
        <v>0</v>
      </c>
      <c r="AM152" s="68">
        <f t="shared" si="465"/>
        <v>0</v>
      </c>
      <c r="AN152" s="68">
        <f t="shared" si="465"/>
        <v>372</v>
      </c>
      <c r="AO152" s="68">
        <f t="shared" si="465"/>
        <v>1920</v>
      </c>
      <c r="AP152" s="68">
        <f t="shared" si="465"/>
        <v>868</v>
      </c>
      <c r="AQ152" s="68">
        <f t="shared" si="465"/>
        <v>-124</v>
      </c>
      <c r="AR152" s="68">
        <f t="shared" si="465"/>
        <v>224</v>
      </c>
      <c r="AS152" s="68">
        <f t="shared" si="465"/>
        <v>-124</v>
      </c>
      <c r="AT152" s="68">
        <f t="shared" si="465"/>
        <v>1320</v>
      </c>
      <c r="AU152" s="68">
        <f t="shared" si="465"/>
        <v>2604</v>
      </c>
      <c r="AV152" s="68">
        <f t="shared" si="465"/>
        <v>3624.0000000000005</v>
      </c>
      <c r="AW152" s="68">
        <f t="shared" si="465"/>
        <v>5971.8400000000011</v>
      </c>
      <c r="AX152" s="68">
        <f t="shared" si="465"/>
        <v>6250.1511111111122</v>
      </c>
      <c r="AY152" s="68">
        <f t="shared" si="465"/>
        <v>6395.9649122807023</v>
      </c>
      <c r="AZ152" s="68">
        <f t="shared" si="465"/>
        <v>6673.0926315789466</v>
      </c>
      <c r="BA152" s="68">
        <f t="shared" si="465"/>
        <v>3353.9999999999995</v>
      </c>
      <c r="BB152" s="68">
        <f t="shared" si="465"/>
        <v>576.60000000000025</v>
      </c>
      <c r="BC152" s="68">
        <f t="shared" si="465"/>
        <v>551.7718181818185</v>
      </c>
      <c r="BD152" s="68">
        <f t="shared" si="465"/>
        <v>551.78086124401921</v>
      </c>
      <c r="BE152" s="68">
        <f t="shared" si="465"/>
        <v>107.03157894736864</v>
      </c>
      <c r="BF152" s="68">
        <f t="shared" si="465"/>
        <v>2134.7368421052633</v>
      </c>
      <c r="BG152" s="68">
        <f t="shared" si="465"/>
        <v>3751.1938977879477</v>
      </c>
      <c r="BH152" s="68">
        <f t="shared" si="465"/>
        <v>4755.4086956521724</v>
      </c>
      <c r="BI152" s="68">
        <f t="shared" si="465"/>
        <v>7578.8799999999992</v>
      </c>
      <c r="BJ152" s="68">
        <f t="shared" si="465"/>
        <v>7714.7775163398674</v>
      </c>
    </row>
    <row r="153" spans="2:62" outlineLevel="1">
      <c r="B153" s="85" t="s">
        <v>401</v>
      </c>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row>
    <row r="154" spans="2:62" outlineLevel="1">
      <c r="B154" t="s">
        <v>268</v>
      </c>
      <c r="C154" s="56">
        <v>12</v>
      </c>
      <c r="D154" s="56">
        <f>C154</f>
        <v>12</v>
      </c>
      <c r="E154" s="56">
        <f t="shared" ref="E154:F154" si="466">D154</f>
        <v>12</v>
      </c>
      <c r="F154" s="56">
        <f t="shared" si="466"/>
        <v>12</v>
      </c>
      <c r="G154" s="56">
        <f t="shared" ref="G154:X154" si="467">F154</f>
        <v>12</v>
      </c>
      <c r="H154" s="56">
        <f t="shared" si="467"/>
        <v>12</v>
      </c>
      <c r="I154" s="56">
        <f t="shared" si="467"/>
        <v>12</v>
      </c>
      <c r="J154" s="56">
        <f t="shared" si="467"/>
        <v>12</v>
      </c>
      <c r="K154" s="56">
        <f t="shared" si="467"/>
        <v>12</v>
      </c>
      <c r="L154" s="56">
        <f t="shared" si="467"/>
        <v>12</v>
      </c>
      <c r="M154" s="123">
        <f t="shared" si="467"/>
        <v>12</v>
      </c>
      <c r="N154" s="123">
        <f t="shared" si="467"/>
        <v>12</v>
      </c>
      <c r="O154" s="123">
        <f t="shared" si="467"/>
        <v>12</v>
      </c>
      <c r="P154" s="123">
        <f t="shared" si="467"/>
        <v>12</v>
      </c>
      <c r="Q154" s="123">
        <f t="shared" si="467"/>
        <v>12</v>
      </c>
      <c r="R154" s="123">
        <f t="shared" si="467"/>
        <v>12</v>
      </c>
      <c r="S154" s="123">
        <f t="shared" si="467"/>
        <v>12</v>
      </c>
      <c r="T154" s="123">
        <f t="shared" si="467"/>
        <v>12</v>
      </c>
      <c r="U154" s="123">
        <f t="shared" si="467"/>
        <v>12</v>
      </c>
      <c r="V154" s="123">
        <f t="shared" si="467"/>
        <v>12</v>
      </c>
      <c r="W154" s="123">
        <v>7</v>
      </c>
      <c r="X154" s="123">
        <f t="shared" si="467"/>
        <v>7</v>
      </c>
      <c r="Y154" s="123">
        <v>0</v>
      </c>
      <c r="Z154" s="123">
        <v>7</v>
      </c>
      <c r="AA154" s="123">
        <v>5.65</v>
      </c>
      <c r="AB154" s="123">
        <v>6.26</v>
      </c>
      <c r="AC154" s="123">
        <v>5.71</v>
      </c>
      <c r="AD154" s="123">
        <v>4.92</v>
      </c>
      <c r="AE154" s="123">
        <v>3.66</v>
      </c>
      <c r="AF154" s="123">
        <v>1.1599999999999999</v>
      </c>
      <c r="AG154" s="123">
        <v>1.17</v>
      </c>
      <c r="AH154" s="123">
        <v>2.2200000000000002</v>
      </c>
      <c r="AI154" s="56">
        <v>1.5</v>
      </c>
      <c r="AJ154" s="56">
        <v>1.5</v>
      </c>
      <c r="AK154" s="56">
        <v>2.5</v>
      </c>
      <c r="AL154" s="56">
        <v>3</v>
      </c>
      <c r="AM154" s="56">
        <v>5.65</v>
      </c>
      <c r="AN154" s="56">
        <v>6.26</v>
      </c>
      <c r="AO154" s="56">
        <v>5.71</v>
      </c>
      <c r="AP154" s="56">
        <v>4.92</v>
      </c>
      <c r="AQ154" s="56">
        <v>3.66</v>
      </c>
      <c r="AR154" s="56">
        <v>1.1599999999999999</v>
      </c>
      <c r="AS154" s="56">
        <v>1.5</v>
      </c>
      <c r="AT154" s="56">
        <v>1.5</v>
      </c>
      <c r="AU154" s="56">
        <v>1.5</v>
      </c>
      <c r="AV154" s="56">
        <v>1.5</v>
      </c>
      <c r="AW154" s="56">
        <v>2.5</v>
      </c>
      <c r="AX154" s="56">
        <v>3</v>
      </c>
      <c r="AY154" s="56">
        <v>5.65</v>
      </c>
      <c r="AZ154" s="56">
        <v>6.26</v>
      </c>
      <c r="BA154" s="56">
        <v>5.71</v>
      </c>
      <c r="BB154" s="56">
        <v>4.92</v>
      </c>
      <c r="BC154" s="56">
        <v>3.66</v>
      </c>
      <c r="BD154" s="56">
        <v>1.1599999999999999</v>
      </c>
      <c r="BE154" s="56">
        <v>1.5</v>
      </c>
      <c r="BF154" s="56">
        <v>1.5</v>
      </c>
      <c r="BG154" s="56">
        <v>1.5</v>
      </c>
      <c r="BH154" s="56">
        <v>1.5</v>
      </c>
      <c r="BI154" s="56">
        <v>2.5</v>
      </c>
      <c r="BJ154" s="56">
        <v>3</v>
      </c>
    </row>
    <row r="155" spans="2:62" outlineLevel="1">
      <c r="B155" s="57" t="s">
        <v>398</v>
      </c>
      <c r="C155" s="68">
        <f t="shared" ref="C155:AH155" si="468">C154*C129*C3</f>
        <v>19080</v>
      </c>
      <c r="D155" s="68">
        <f t="shared" si="468"/>
        <v>19716</v>
      </c>
      <c r="E155" s="68">
        <f t="shared" si="468"/>
        <v>19080</v>
      </c>
      <c r="F155" s="68">
        <f t="shared" si="468"/>
        <v>0</v>
      </c>
      <c r="G155" s="68">
        <f t="shared" si="468"/>
        <v>0</v>
      </c>
      <c r="H155" s="68">
        <f t="shared" si="468"/>
        <v>0</v>
      </c>
      <c r="I155" s="68">
        <f t="shared" si="468"/>
        <v>0</v>
      </c>
      <c r="J155" s="68">
        <f t="shared" si="468"/>
        <v>0</v>
      </c>
      <c r="K155" s="68">
        <f t="shared" si="468"/>
        <v>0</v>
      </c>
      <c r="L155" s="68">
        <f t="shared" si="468"/>
        <v>0</v>
      </c>
      <c r="M155" s="68">
        <f t="shared" si="468"/>
        <v>0</v>
      </c>
      <c r="N155" s="68">
        <f t="shared" si="468"/>
        <v>0</v>
      </c>
      <c r="O155" s="68">
        <f t="shared" si="468"/>
        <v>0</v>
      </c>
      <c r="P155" s="68">
        <f t="shared" si="468"/>
        <v>0</v>
      </c>
      <c r="Q155" s="68">
        <f t="shared" si="468"/>
        <v>0</v>
      </c>
      <c r="R155" s="68">
        <f t="shared" si="468"/>
        <v>0</v>
      </c>
      <c r="S155" s="68">
        <f t="shared" si="468"/>
        <v>0</v>
      </c>
      <c r="T155" s="68">
        <f t="shared" si="468"/>
        <v>0</v>
      </c>
      <c r="U155" s="68">
        <f t="shared" si="468"/>
        <v>0</v>
      </c>
      <c r="V155" s="68">
        <f t="shared" si="468"/>
        <v>0</v>
      </c>
      <c r="W155" s="68">
        <f t="shared" si="468"/>
        <v>0</v>
      </c>
      <c r="X155" s="68">
        <f t="shared" si="468"/>
        <v>0</v>
      </c>
      <c r="Y155" s="68">
        <f t="shared" si="468"/>
        <v>0</v>
      </c>
      <c r="Z155" s="68">
        <f t="shared" si="468"/>
        <v>16926</v>
      </c>
      <c r="AA155" s="68">
        <f t="shared" si="468"/>
        <v>10848</v>
      </c>
      <c r="AB155" s="68">
        <f t="shared" si="468"/>
        <v>16106.979999999998</v>
      </c>
      <c r="AC155" s="68">
        <f t="shared" si="468"/>
        <v>13018.8</v>
      </c>
      <c r="AD155" s="68">
        <f t="shared" si="468"/>
        <v>8846.16</v>
      </c>
      <c r="AE155" s="68">
        <f t="shared" si="468"/>
        <v>5899.92</v>
      </c>
      <c r="AF155" s="68">
        <f t="shared" si="468"/>
        <v>1526.56</v>
      </c>
      <c r="AG155" s="68">
        <f t="shared" si="468"/>
        <v>2829.0599999999995</v>
      </c>
      <c r="AH155" s="68">
        <f t="shared" si="468"/>
        <v>6260.4000000000005</v>
      </c>
      <c r="AI155" s="68">
        <f t="shared" ref="AI155:BJ155" si="469">AI154*AI129*AI3</f>
        <v>4324.5</v>
      </c>
      <c r="AJ155" s="68">
        <f t="shared" si="469"/>
        <v>4950</v>
      </c>
      <c r="AK155" s="68">
        <f t="shared" si="469"/>
        <v>8060</v>
      </c>
      <c r="AL155" s="68">
        <f t="shared" si="469"/>
        <v>7998</v>
      </c>
      <c r="AM155" s="68">
        <f t="shared" si="469"/>
        <v>15255.000000000002</v>
      </c>
      <c r="AN155" s="68">
        <f t="shared" si="469"/>
        <v>17853.52</v>
      </c>
      <c r="AO155" s="68">
        <f t="shared" si="469"/>
        <v>13190.1</v>
      </c>
      <c r="AP155" s="68">
        <f t="shared" si="469"/>
        <v>8388.6</v>
      </c>
      <c r="AQ155" s="68">
        <f t="shared" si="469"/>
        <v>5899.92</v>
      </c>
      <c r="AR155" s="68">
        <f t="shared" si="469"/>
        <v>1688.9599999999998</v>
      </c>
      <c r="AS155" s="68">
        <f t="shared" si="469"/>
        <v>2232</v>
      </c>
      <c r="AT155" s="68">
        <f t="shared" si="469"/>
        <v>1845</v>
      </c>
      <c r="AU155" s="68">
        <f t="shared" si="469"/>
        <v>1627.5</v>
      </c>
      <c r="AV155" s="68">
        <f t="shared" si="469"/>
        <v>1305</v>
      </c>
      <c r="AW155" s="68">
        <f t="shared" si="469"/>
        <v>2247.5</v>
      </c>
      <c r="AX155" s="68">
        <f t="shared" si="469"/>
        <v>2697</v>
      </c>
      <c r="AY155" s="68">
        <f t="shared" si="469"/>
        <v>3898.5000000000005</v>
      </c>
      <c r="AZ155" s="68">
        <f t="shared" si="469"/>
        <v>3493.08</v>
      </c>
      <c r="BA155" s="68">
        <f t="shared" si="469"/>
        <v>513.9</v>
      </c>
      <c r="BB155" s="68">
        <f t="shared" si="469"/>
        <v>0</v>
      </c>
      <c r="BC155" s="68">
        <f t="shared" si="469"/>
        <v>0</v>
      </c>
      <c r="BD155" s="68">
        <f t="shared" si="469"/>
        <v>0</v>
      </c>
      <c r="BE155" s="68">
        <f t="shared" si="469"/>
        <v>0</v>
      </c>
      <c r="BF155" s="68">
        <f t="shared" si="469"/>
        <v>0</v>
      </c>
      <c r="BG155" s="68">
        <f t="shared" si="469"/>
        <v>0</v>
      </c>
      <c r="BH155" s="68">
        <f t="shared" si="469"/>
        <v>0</v>
      </c>
      <c r="BI155" s="68">
        <f t="shared" si="469"/>
        <v>0</v>
      </c>
      <c r="BJ155" s="68">
        <f t="shared" si="469"/>
        <v>0</v>
      </c>
    </row>
    <row r="156" spans="2:62" outlineLevel="1">
      <c r="B156" s="85" t="s">
        <v>402</v>
      </c>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row>
    <row r="157" spans="2:62" outlineLevel="1">
      <c r="B157" t="s">
        <v>268</v>
      </c>
      <c r="C157" s="56">
        <v>13</v>
      </c>
      <c r="D157" s="56">
        <f>C157</f>
        <v>13</v>
      </c>
      <c r="E157" s="56">
        <f t="shared" ref="E157:H157" si="470">D157</f>
        <v>13</v>
      </c>
      <c r="F157" s="56">
        <f t="shared" si="470"/>
        <v>13</v>
      </c>
      <c r="G157" s="56">
        <f t="shared" si="470"/>
        <v>13</v>
      </c>
      <c r="H157" s="56">
        <f t="shared" si="470"/>
        <v>13</v>
      </c>
      <c r="I157" s="56"/>
      <c r="J157" s="56"/>
      <c r="K157" s="56"/>
      <c r="L157" s="56"/>
      <c r="M157" s="56"/>
      <c r="N157" s="56"/>
      <c r="O157" s="56"/>
      <c r="P157" s="56"/>
      <c r="Q157" s="56"/>
      <c r="R157" s="56"/>
      <c r="S157" s="56"/>
      <c r="T157" s="56"/>
      <c r="U157" s="56"/>
      <c r="V157" s="56"/>
      <c r="W157" s="56"/>
      <c r="X157" s="56"/>
      <c r="Y157" s="56"/>
      <c r="Z157" s="56"/>
      <c r="AA157" s="56"/>
      <c r="AB157" s="56">
        <v>8.5</v>
      </c>
      <c r="AC157" s="56">
        <v>8.5</v>
      </c>
      <c r="AD157" s="56">
        <v>8.5</v>
      </c>
      <c r="AE157" s="123">
        <v>11</v>
      </c>
      <c r="AF157" s="123">
        <v>9.5399999999999991</v>
      </c>
      <c r="AG157" s="123">
        <v>10</v>
      </c>
      <c r="AH157" s="123">
        <v>11</v>
      </c>
      <c r="AI157" s="56">
        <v>11</v>
      </c>
      <c r="AJ157" s="56">
        <v>11</v>
      </c>
      <c r="AK157" s="56">
        <v>11</v>
      </c>
      <c r="AL157" s="56">
        <v>11</v>
      </c>
      <c r="AM157" s="56">
        <v>8.5</v>
      </c>
      <c r="AN157" s="56">
        <v>8.5</v>
      </c>
      <c r="AO157" s="56">
        <v>8.5</v>
      </c>
      <c r="AP157" s="56">
        <v>11</v>
      </c>
      <c r="AQ157" s="56">
        <v>9.5399999999999991</v>
      </c>
      <c r="AR157" s="56">
        <v>9</v>
      </c>
      <c r="AS157" s="56">
        <v>8</v>
      </c>
      <c r="AT157" s="56">
        <v>8</v>
      </c>
      <c r="AU157" s="56">
        <v>8</v>
      </c>
      <c r="AV157" s="56">
        <v>8</v>
      </c>
      <c r="AW157" s="56">
        <v>8</v>
      </c>
      <c r="AX157" s="56">
        <v>8</v>
      </c>
      <c r="AY157" s="56">
        <v>8.5</v>
      </c>
      <c r="AZ157" s="56">
        <v>8.5</v>
      </c>
      <c r="BA157" s="56">
        <v>8.5</v>
      </c>
      <c r="BB157" s="56">
        <v>11</v>
      </c>
      <c r="BC157" s="56">
        <v>9.5399999999999991</v>
      </c>
      <c r="BD157" s="56">
        <v>9</v>
      </c>
      <c r="BE157" s="56">
        <v>8</v>
      </c>
      <c r="BF157" s="56">
        <v>8</v>
      </c>
      <c r="BG157" s="56">
        <v>8</v>
      </c>
      <c r="BH157" s="56">
        <v>8</v>
      </c>
      <c r="BI157" s="56">
        <v>8</v>
      </c>
      <c r="BJ157" s="56">
        <v>8</v>
      </c>
    </row>
    <row r="158" spans="2:62" outlineLevel="1">
      <c r="B158" s="57" t="s">
        <v>398</v>
      </c>
      <c r="C158" s="68">
        <f t="shared" ref="C158:AH158" si="471">C157*C137*C3</f>
        <v>3510</v>
      </c>
      <c r="D158" s="68">
        <f t="shared" si="471"/>
        <v>3627</v>
      </c>
      <c r="E158" s="68">
        <f t="shared" si="471"/>
        <v>3510</v>
      </c>
      <c r="F158" s="68">
        <f t="shared" si="471"/>
        <v>3627</v>
      </c>
      <c r="G158" s="68">
        <f t="shared" si="471"/>
        <v>3627</v>
      </c>
      <c r="H158" s="68">
        <f t="shared" si="471"/>
        <v>3276</v>
      </c>
      <c r="I158" s="68">
        <f t="shared" si="471"/>
        <v>0</v>
      </c>
      <c r="J158" s="68">
        <f t="shared" si="471"/>
        <v>0</v>
      </c>
      <c r="K158" s="68">
        <f t="shared" si="471"/>
        <v>0</v>
      </c>
      <c r="L158" s="68">
        <f t="shared" si="471"/>
        <v>0</v>
      </c>
      <c r="M158" s="68">
        <f t="shared" si="471"/>
        <v>0</v>
      </c>
      <c r="N158" s="68">
        <f t="shared" si="471"/>
        <v>0</v>
      </c>
      <c r="O158" s="68">
        <f t="shared" si="471"/>
        <v>0</v>
      </c>
      <c r="P158" s="68">
        <f t="shared" si="471"/>
        <v>0</v>
      </c>
      <c r="Q158" s="68">
        <f t="shared" si="471"/>
        <v>0</v>
      </c>
      <c r="R158" s="68">
        <f t="shared" si="471"/>
        <v>0</v>
      </c>
      <c r="S158" s="68">
        <f t="shared" si="471"/>
        <v>0</v>
      </c>
      <c r="T158" s="68">
        <f t="shared" si="471"/>
        <v>0</v>
      </c>
      <c r="U158" s="68">
        <f t="shared" si="471"/>
        <v>0</v>
      </c>
      <c r="V158" s="68">
        <f t="shared" si="471"/>
        <v>0</v>
      </c>
      <c r="W158" s="68">
        <f t="shared" si="471"/>
        <v>0</v>
      </c>
      <c r="X158" s="68">
        <f t="shared" si="471"/>
        <v>0</v>
      </c>
      <c r="Y158" s="68">
        <f t="shared" si="471"/>
        <v>0</v>
      </c>
      <c r="Z158" s="68">
        <f t="shared" si="471"/>
        <v>0</v>
      </c>
      <c r="AA158" s="68">
        <f t="shared" si="471"/>
        <v>0</v>
      </c>
      <c r="AB158" s="68">
        <f t="shared" si="471"/>
        <v>0</v>
      </c>
      <c r="AC158" s="68">
        <f t="shared" si="471"/>
        <v>0</v>
      </c>
      <c r="AD158" s="68">
        <f t="shared" si="471"/>
        <v>790.5</v>
      </c>
      <c r="AE158" s="68">
        <f t="shared" si="471"/>
        <v>1705</v>
      </c>
      <c r="AF158" s="68">
        <f t="shared" si="471"/>
        <v>2404.0799999999995</v>
      </c>
      <c r="AG158" s="68">
        <f t="shared" si="471"/>
        <v>2790</v>
      </c>
      <c r="AH158" s="68">
        <f t="shared" si="471"/>
        <v>1980</v>
      </c>
      <c r="AI158" s="68">
        <f t="shared" ref="AI158:BJ158" si="472">AI157*AI137*AI3</f>
        <v>2046</v>
      </c>
      <c r="AJ158" s="68">
        <f t="shared" si="472"/>
        <v>2310</v>
      </c>
      <c r="AK158" s="68">
        <f t="shared" si="472"/>
        <v>2387</v>
      </c>
      <c r="AL158" s="68">
        <f t="shared" si="472"/>
        <v>2387</v>
      </c>
      <c r="AM158" s="68">
        <f t="shared" si="472"/>
        <v>0</v>
      </c>
      <c r="AN158" s="68">
        <f t="shared" si="472"/>
        <v>0</v>
      </c>
      <c r="AO158" s="68">
        <f t="shared" si="472"/>
        <v>0</v>
      </c>
      <c r="AP158" s="68">
        <f t="shared" si="472"/>
        <v>0</v>
      </c>
      <c r="AQ158" s="68">
        <f t="shared" si="472"/>
        <v>0</v>
      </c>
      <c r="AR158" s="68">
        <f t="shared" si="472"/>
        <v>0</v>
      </c>
      <c r="AS158" s="68">
        <f t="shared" si="472"/>
        <v>0</v>
      </c>
      <c r="AT158" s="68">
        <f t="shared" si="472"/>
        <v>0</v>
      </c>
      <c r="AU158" s="68">
        <f t="shared" si="472"/>
        <v>0</v>
      </c>
      <c r="AV158" s="68">
        <f t="shared" si="472"/>
        <v>0</v>
      </c>
      <c r="AW158" s="68">
        <f t="shared" si="472"/>
        <v>0</v>
      </c>
      <c r="AX158" s="68">
        <f t="shared" si="472"/>
        <v>0</v>
      </c>
      <c r="AY158" s="68">
        <f t="shared" si="472"/>
        <v>0</v>
      </c>
      <c r="AZ158" s="68">
        <f t="shared" si="472"/>
        <v>0</v>
      </c>
      <c r="BA158" s="68">
        <f t="shared" si="472"/>
        <v>0</v>
      </c>
      <c r="BB158" s="68">
        <f t="shared" si="472"/>
        <v>0</v>
      </c>
      <c r="BC158" s="68">
        <f t="shared" si="472"/>
        <v>0</v>
      </c>
      <c r="BD158" s="68">
        <f t="shared" si="472"/>
        <v>0</v>
      </c>
      <c r="BE158" s="68">
        <f t="shared" si="472"/>
        <v>0</v>
      </c>
      <c r="BF158" s="68">
        <f t="shared" si="472"/>
        <v>0</v>
      </c>
      <c r="BG158" s="68">
        <f t="shared" si="472"/>
        <v>0</v>
      </c>
      <c r="BH158" s="68">
        <f t="shared" si="472"/>
        <v>0</v>
      </c>
      <c r="BI158" s="68">
        <f t="shared" si="472"/>
        <v>0</v>
      </c>
      <c r="BJ158" s="68">
        <f t="shared" si="472"/>
        <v>0</v>
      </c>
    </row>
    <row r="159" spans="2:62" outlineLevel="1"/>
    <row r="160" spans="2:62" outlineLevel="1">
      <c r="B160" s="54" t="s">
        <v>269</v>
      </c>
    </row>
    <row r="161" spans="2:62" outlineLevel="1">
      <c r="B161" t="s">
        <v>270</v>
      </c>
      <c r="C161" s="62">
        <f t="shared" ref="C161:AH161" si="473">C101</f>
        <v>56760</v>
      </c>
      <c r="D161" s="62">
        <f t="shared" si="473"/>
        <v>69316</v>
      </c>
      <c r="E161" s="62">
        <f t="shared" si="473"/>
        <v>66690</v>
      </c>
      <c r="F161" s="62">
        <f t="shared" si="473"/>
        <v>71331</v>
      </c>
      <c r="G161" s="62">
        <f t="shared" si="473"/>
        <v>71331</v>
      </c>
      <c r="H161" s="62">
        <f t="shared" si="473"/>
        <v>49560</v>
      </c>
      <c r="I161" s="62">
        <f t="shared" si="473"/>
        <v>54870</v>
      </c>
      <c r="J161" s="62">
        <f t="shared" si="473"/>
        <v>52200</v>
      </c>
      <c r="K161" s="62">
        <f t="shared" si="473"/>
        <v>53940</v>
      </c>
      <c r="L161" s="62">
        <f t="shared" si="473"/>
        <v>52200</v>
      </c>
      <c r="M161" s="62">
        <f t="shared" si="473"/>
        <v>53940</v>
      </c>
      <c r="N161" s="62">
        <f t="shared" si="473"/>
        <v>55180</v>
      </c>
      <c r="O161" s="62">
        <f t="shared" si="473"/>
        <v>53100</v>
      </c>
      <c r="P161" s="62">
        <f t="shared" si="473"/>
        <v>49104</v>
      </c>
      <c r="Q161" s="62">
        <f t="shared" si="473"/>
        <v>46440</v>
      </c>
      <c r="R161" s="62">
        <f t="shared" si="473"/>
        <v>47151</v>
      </c>
      <c r="S161" s="62">
        <f t="shared" si="473"/>
        <v>46872</v>
      </c>
      <c r="T161" s="62">
        <f t="shared" si="473"/>
        <v>46760</v>
      </c>
      <c r="U161" s="62">
        <f t="shared" si="473"/>
        <v>51770</v>
      </c>
      <c r="V161" s="62">
        <f t="shared" si="473"/>
        <v>49500</v>
      </c>
      <c r="W161" s="62">
        <f t="shared" si="473"/>
        <v>51150</v>
      </c>
      <c r="X161" s="62">
        <f t="shared" si="473"/>
        <v>49500</v>
      </c>
      <c r="Y161" s="62">
        <f t="shared" si="473"/>
        <v>50840</v>
      </c>
      <c r="Z161" s="62">
        <f t="shared" si="473"/>
        <v>50840</v>
      </c>
      <c r="AA161" s="62">
        <f t="shared" si="473"/>
        <v>44280</v>
      </c>
      <c r="AB161" s="62">
        <f t="shared" si="473"/>
        <v>45477</v>
      </c>
      <c r="AC161" s="62">
        <f t="shared" si="473"/>
        <v>44010</v>
      </c>
      <c r="AD161" s="62">
        <f t="shared" si="473"/>
        <v>44640</v>
      </c>
      <c r="AE161" s="62">
        <f t="shared" si="473"/>
        <v>48980</v>
      </c>
      <c r="AF161" s="62">
        <f t="shared" si="473"/>
        <v>44240</v>
      </c>
      <c r="AG161" s="62">
        <f t="shared" si="473"/>
        <v>48670</v>
      </c>
      <c r="AH161" s="62">
        <f t="shared" si="473"/>
        <v>46800</v>
      </c>
      <c r="AI161" s="62">
        <f t="shared" ref="AI161:BJ161" si="474">AI101</f>
        <v>50840</v>
      </c>
      <c r="AJ161" s="62">
        <f t="shared" si="474"/>
        <v>51300</v>
      </c>
      <c r="AK161" s="62">
        <f t="shared" si="474"/>
        <v>56420</v>
      </c>
      <c r="AL161" s="62">
        <f t="shared" si="474"/>
        <v>60760</v>
      </c>
      <c r="AM161" s="62">
        <f t="shared" si="474"/>
        <v>52920</v>
      </c>
      <c r="AN161" s="62">
        <f t="shared" si="474"/>
        <v>54684</v>
      </c>
      <c r="AO161" s="62">
        <f t="shared" si="474"/>
        <v>57780</v>
      </c>
      <c r="AP161" s="62">
        <f t="shared" si="474"/>
        <v>60543</v>
      </c>
      <c r="AQ161" s="62">
        <f t="shared" si="474"/>
        <v>67270</v>
      </c>
      <c r="AR161" s="62">
        <f t="shared" si="474"/>
        <v>61880</v>
      </c>
      <c r="AS161" s="62">
        <f t="shared" si="474"/>
        <v>70680</v>
      </c>
      <c r="AT161" s="62">
        <f t="shared" si="474"/>
        <v>70200</v>
      </c>
      <c r="AU161" s="62">
        <f t="shared" si="474"/>
        <v>74400</v>
      </c>
      <c r="AV161" s="62">
        <f t="shared" si="474"/>
        <v>72000</v>
      </c>
      <c r="AW161" s="62">
        <f t="shared" si="474"/>
        <v>74400</v>
      </c>
      <c r="AX161" s="62">
        <f t="shared" si="474"/>
        <v>76260</v>
      </c>
      <c r="AY161" s="62">
        <f t="shared" si="474"/>
        <v>67770</v>
      </c>
      <c r="AZ161" s="62">
        <f t="shared" si="474"/>
        <v>74214</v>
      </c>
      <c r="BA161" s="62">
        <f t="shared" si="474"/>
        <v>72630</v>
      </c>
      <c r="BB161" s="62">
        <f t="shared" si="474"/>
        <v>75051</v>
      </c>
      <c r="BC161" s="62">
        <f t="shared" si="474"/>
        <v>83390</v>
      </c>
      <c r="BD161" s="62">
        <f t="shared" si="474"/>
        <v>75320</v>
      </c>
      <c r="BE161" s="62">
        <f t="shared" si="474"/>
        <v>83390</v>
      </c>
      <c r="BF161" s="62">
        <f t="shared" si="474"/>
        <v>80700</v>
      </c>
      <c r="BG161" s="62">
        <f t="shared" si="474"/>
        <v>83390</v>
      </c>
      <c r="BH161" s="62">
        <f t="shared" si="474"/>
        <v>80700</v>
      </c>
      <c r="BI161" s="62">
        <f t="shared" si="474"/>
        <v>83390</v>
      </c>
      <c r="BJ161" s="62">
        <f t="shared" si="474"/>
        <v>83390</v>
      </c>
    </row>
    <row r="162" spans="2:62" outlineLevel="1">
      <c r="B162" t="s">
        <v>271</v>
      </c>
      <c r="C162" s="62">
        <f t="shared" ref="C162" si="475">C149</f>
        <v>0</v>
      </c>
      <c r="D162" s="62">
        <f t="shared" ref="D162:AX162" si="476">D149</f>
        <v>0</v>
      </c>
      <c r="E162" s="62">
        <f t="shared" si="476"/>
        <v>150</v>
      </c>
      <c r="F162" s="62">
        <f t="shared" si="476"/>
        <v>193.75</v>
      </c>
      <c r="G162" s="62">
        <f t="shared" si="476"/>
        <v>255.75</v>
      </c>
      <c r="H162" s="62">
        <f t="shared" si="476"/>
        <v>385</v>
      </c>
      <c r="I162" s="62">
        <f t="shared" si="476"/>
        <v>379.75</v>
      </c>
      <c r="J162" s="62">
        <f t="shared" si="476"/>
        <v>367.5</v>
      </c>
      <c r="K162" s="62">
        <f t="shared" si="476"/>
        <v>379.75</v>
      </c>
      <c r="L162" s="62">
        <f t="shared" si="476"/>
        <v>225</v>
      </c>
      <c r="M162" s="62">
        <f t="shared" si="476"/>
        <v>240.25</v>
      </c>
      <c r="N162" s="62">
        <f t="shared" si="476"/>
        <v>224.75</v>
      </c>
      <c r="O162" s="62">
        <f t="shared" si="476"/>
        <v>105</v>
      </c>
      <c r="P162" s="62">
        <f t="shared" si="476"/>
        <v>46.5</v>
      </c>
      <c r="Q162" s="62">
        <f>Q149</f>
        <v>120</v>
      </c>
      <c r="R162" s="62">
        <f t="shared" si="476"/>
        <v>147.25</v>
      </c>
      <c r="S162" s="62">
        <f t="shared" si="476"/>
        <v>120.9</v>
      </c>
      <c r="T162" s="62">
        <f t="shared" si="476"/>
        <v>182</v>
      </c>
      <c r="U162" s="62">
        <f t="shared" si="476"/>
        <v>210.8</v>
      </c>
      <c r="V162" s="62">
        <f t="shared" si="476"/>
        <v>183.00000000000003</v>
      </c>
      <c r="W162" s="62">
        <f t="shared" si="476"/>
        <v>142.60000000000002</v>
      </c>
      <c r="X162" s="62">
        <f t="shared" si="476"/>
        <v>186</v>
      </c>
      <c r="Y162" s="62">
        <f t="shared" si="476"/>
        <v>151.9</v>
      </c>
      <c r="Z162" s="62">
        <f>Z149</f>
        <v>114.7</v>
      </c>
      <c r="AA162" s="62">
        <f t="shared" si="476"/>
        <v>87.000000000000014</v>
      </c>
      <c r="AB162" s="62">
        <f t="shared" si="476"/>
        <v>80.600000000000009</v>
      </c>
      <c r="AC162" s="62">
        <f t="shared" si="476"/>
        <v>84.000000000000014</v>
      </c>
      <c r="AD162" s="62">
        <f t="shared" si="476"/>
        <v>0</v>
      </c>
      <c r="AE162" s="62">
        <f t="shared" si="476"/>
        <v>0</v>
      </c>
      <c r="AF162" s="62">
        <f t="shared" si="476"/>
        <v>0</v>
      </c>
      <c r="AG162" s="62">
        <f t="shared" si="476"/>
        <v>0</v>
      </c>
      <c r="AH162" s="62">
        <f t="shared" si="476"/>
        <v>0</v>
      </c>
      <c r="AI162" s="62">
        <f t="shared" si="476"/>
        <v>0</v>
      </c>
      <c r="AJ162" s="62">
        <f t="shared" si="476"/>
        <v>249.00000000000003</v>
      </c>
      <c r="AK162" s="62">
        <f t="shared" si="476"/>
        <v>210.8</v>
      </c>
      <c r="AL162" s="62">
        <f t="shared" si="476"/>
        <v>176.70000000000002</v>
      </c>
      <c r="AM162" s="62">
        <f t="shared" si="476"/>
        <v>144.00000000000003</v>
      </c>
      <c r="AN162" s="62">
        <f t="shared" si="476"/>
        <v>71.300000000000011</v>
      </c>
      <c r="AO162" s="62">
        <f>AO149</f>
        <v>48</v>
      </c>
      <c r="AP162" s="62">
        <f t="shared" si="476"/>
        <v>15.5</v>
      </c>
      <c r="AQ162" s="62">
        <f t="shared" si="476"/>
        <v>58.900000000000006</v>
      </c>
      <c r="AR162" s="62">
        <f t="shared" si="476"/>
        <v>72.8</v>
      </c>
      <c r="AS162" s="62">
        <f t="shared" si="476"/>
        <v>143.22</v>
      </c>
      <c r="AT162" s="62">
        <f t="shared" si="476"/>
        <v>222.48000000000005</v>
      </c>
      <c r="AU162" s="62">
        <f t="shared" si="476"/>
        <v>262.27377777777787</v>
      </c>
      <c r="AV162" s="62">
        <f t="shared" si="476"/>
        <v>316.37912280701761</v>
      </c>
      <c r="AW162" s="62">
        <f t="shared" si="476"/>
        <v>335.48109356725155</v>
      </c>
      <c r="AX162" s="62">
        <f t="shared" si="476"/>
        <v>264.27409356725144</v>
      </c>
      <c r="AY162" s="62">
        <f t="shared" ref="AY162:BJ162" si="477">AY149</f>
        <v>187.3957894736842</v>
      </c>
      <c r="AZ162" s="62">
        <f t="shared" si="477"/>
        <v>112.83929545454548</v>
      </c>
      <c r="BA162" s="62">
        <f t="shared" si="477"/>
        <v>37.729844497607679</v>
      </c>
      <c r="BB162" s="62">
        <f t="shared" si="477"/>
        <v>25.770084928229693</v>
      </c>
      <c r="BC162" s="62">
        <f t="shared" si="477"/>
        <v>76.619874401913904</v>
      </c>
      <c r="BD162" s="62">
        <f t="shared" si="477"/>
        <v>92.721220442410399</v>
      </c>
      <c r="BE162" s="62">
        <f t="shared" si="477"/>
        <v>181.09542639206717</v>
      </c>
      <c r="BF162" s="62">
        <f t="shared" si="477"/>
        <v>277.11469107551494</v>
      </c>
      <c r="BG162" s="62">
        <f t="shared" si="477"/>
        <v>315.71749587951132</v>
      </c>
      <c r="BH162" s="62">
        <f t="shared" si="477"/>
        <v>373.73100103199181</v>
      </c>
      <c r="BI162" s="62">
        <f t="shared" si="477"/>
        <v>386.18870106639156</v>
      </c>
      <c r="BJ162" s="62">
        <f t="shared" si="477"/>
        <v>296.84670106639157</v>
      </c>
    </row>
    <row r="163" spans="2:62" outlineLevel="1">
      <c r="B163" t="s">
        <v>437</v>
      </c>
      <c r="C163" s="62">
        <f t="shared" ref="C163:O163" si="478">C158+C155+C152</f>
        <v>47349</v>
      </c>
      <c r="D163" s="62">
        <f t="shared" si="478"/>
        <v>48927.3</v>
      </c>
      <c r="E163" s="62">
        <f t="shared" si="478"/>
        <v>35820</v>
      </c>
      <c r="F163" s="62">
        <f t="shared" si="478"/>
        <v>17298</v>
      </c>
      <c r="G163" s="62">
        <f t="shared" si="478"/>
        <v>17298</v>
      </c>
      <c r="H163" s="62">
        <f t="shared" si="478"/>
        <v>5392.7999999999993</v>
      </c>
      <c r="I163" s="62">
        <f t="shared" si="478"/>
        <v>0</v>
      </c>
      <c r="J163" s="62">
        <f t="shared" si="478"/>
        <v>0</v>
      </c>
      <c r="K163" s="62">
        <f t="shared" si="478"/>
        <v>0</v>
      </c>
      <c r="L163" s="62">
        <f t="shared" si="478"/>
        <v>6660</v>
      </c>
      <c r="M163" s="62">
        <f t="shared" si="478"/>
        <v>3534</v>
      </c>
      <c r="N163" s="62">
        <f t="shared" si="478"/>
        <v>6696</v>
      </c>
      <c r="O163" s="62">
        <f t="shared" si="478"/>
        <v>4860</v>
      </c>
      <c r="P163" s="62">
        <f t="shared" ref="P163:AN163" si="479">P158+P155+P152</f>
        <v>930</v>
      </c>
      <c r="Q163" s="62">
        <f t="shared" si="479"/>
        <v>1500</v>
      </c>
      <c r="R163" s="62">
        <f t="shared" si="479"/>
        <v>1550</v>
      </c>
      <c r="S163" s="62">
        <f t="shared" si="479"/>
        <v>1085</v>
      </c>
      <c r="T163" s="62">
        <f t="shared" si="479"/>
        <v>1400</v>
      </c>
      <c r="U163" s="62">
        <f t="shared" si="479"/>
        <v>4650</v>
      </c>
      <c r="V163" s="62">
        <f t="shared" si="479"/>
        <v>6750</v>
      </c>
      <c r="W163" s="62">
        <f t="shared" si="479"/>
        <v>5270</v>
      </c>
      <c r="X163" s="62">
        <f t="shared" si="479"/>
        <v>8400</v>
      </c>
      <c r="Y163" s="62">
        <f t="shared" si="479"/>
        <v>0</v>
      </c>
      <c r="Z163" s="62">
        <f>Z158+Z155+Z152</f>
        <v>16926</v>
      </c>
      <c r="AA163" s="62">
        <f t="shared" si="479"/>
        <v>10848</v>
      </c>
      <c r="AB163" s="62">
        <f t="shared" si="479"/>
        <v>16106.979999999998</v>
      </c>
      <c r="AC163" s="62">
        <f t="shared" si="479"/>
        <v>13018.8</v>
      </c>
      <c r="AD163" s="62">
        <f>AD158+AD155+AD152</f>
        <v>9636.66</v>
      </c>
      <c r="AE163" s="62">
        <f t="shared" si="479"/>
        <v>7604.92</v>
      </c>
      <c r="AF163" s="62">
        <f>AF158+AF155+AF152</f>
        <v>3930.6399999999994</v>
      </c>
      <c r="AG163" s="62">
        <f t="shared" si="479"/>
        <v>5619.0599999999995</v>
      </c>
      <c r="AH163" s="62">
        <f t="shared" si="479"/>
        <v>8240.4000000000015</v>
      </c>
      <c r="AI163" s="62">
        <f t="shared" si="479"/>
        <v>6370.5</v>
      </c>
      <c r="AJ163" s="62">
        <f t="shared" si="479"/>
        <v>7260</v>
      </c>
      <c r="AK163" s="62">
        <f t="shared" si="479"/>
        <v>10447</v>
      </c>
      <c r="AL163" s="62">
        <f t="shared" si="479"/>
        <v>10385</v>
      </c>
      <c r="AM163" s="62">
        <f t="shared" si="479"/>
        <v>15255.000000000002</v>
      </c>
      <c r="AN163" s="62">
        <f t="shared" si="479"/>
        <v>18225.52</v>
      </c>
      <c r="AO163" s="62">
        <f>AO158+AO155+AO152</f>
        <v>15110.1</v>
      </c>
      <c r="AP163" s="62">
        <f t="shared" ref="AP163:BJ163" si="480">AP158+AP155+AP152</f>
        <v>9256.6</v>
      </c>
      <c r="AQ163" s="62">
        <f t="shared" si="480"/>
        <v>5775.92</v>
      </c>
      <c r="AR163" s="62">
        <f t="shared" si="480"/>
        <v>1912.9599999999998</v>
      </c>
      <c r="AS163" s="62">
        <f t="shared" si="480"/>
        <v>2108</v>
      </c>
      <c r="AT163" s="62">
        <f t="shared" si="480"/>
        <v>3165</v>
      </c>
      <c r="AU163" s="62">
        <f t="shared" si="480"/>
        <v>4231.5</v>
      </c>
      <c r="AV163" s="62">
        <f t="shared" si="480"/>
        <v>4929</v>
      </c>
      <c r="AW163" s="62">
        <f t="shared" si="480"/>
        <v>8219.34</v>
      </c>
      <c r="AX163" s="62">
        <f t="shared" si="480"/>
        <v>8947.1511111111122</v>
      </c>
      <c r="AY163" s="62">
        <f t="shared" si="480"/>
        <v>10294.464912280702</v>
      </c>
      <c r="AZ163" s="62">
        <f t="shared" si="480"/>
        <v>10166.172631578946</v>
      </c>
      <c r="BA163" s="62">
        <f t="shared" si="480"/>
        <v>3867.8999999999996</v>
      </c>
      <c r="BB163" s="62">
        <f t="shared" si="480"/>
        <v>576.60000000000025</v>
      </c>
      <c r="BC163" s="62">
        <f t="shared" si="480"/>
        <v>551.7718181818185</v>
      </c>
      <c r="BD163" s="62">
        <f t="shared" si="480"/>
        <v>551.78086124401921</v>
      </c>
      <c r="BE163" s="62">
        <f t="shared" si="480"/>
        <v>107.03157894736864</v>
      </c>
      <c r="BF163" s="62">
        <f t="shared" si="480"/>
        <v>2134.7368421052633</v>
      </c>
      <c r="BG163" s="62">
        <f t="shared" si="480"/>
        <v>3751.1938977879477</v>
      </c>
      <c r="BH163" s="62">
        <f t="shared" si="480"/>
        <v>4755.4086956521724</v>
      </c>
      <c r="BI163" s="62">
        <f t="shared" si="480"/>
        <v>7578.8799999999992</v>
      </c>
      <c r="BJ163" s="62">
        <f t="shared" si="480"/>
        <v>7714.7775163398674</v>
      </c>
    </row>
    <row r="164" spans="2:62" outlineLevel="1">
      <c r="B164" t="s">
        <v>434</v>
      </c>
      <c r="C164" s="62"/>
      <c r="D164" s="62"/>
      <c r="E164" s="62"/>
      <c r="F164" s="62"/>
      <c r="G164" s="62"/>
      <c r="H164" s="62"/>
      <c r="I164" s="62"/>
      <c r="J164" s="62"/>
      <c r="K164" s="62"/>
      <c r="L164" s="62"/>
      <c r="M164" s="62"/>
      <c r="N164" s="62"/>
      <c r="O164" s="62"/>
      <c r="P164" s="62">
        <f t="shared" ref="P164:AX164" si="481">+P146</f>
        <v>5487</v>
      </c>
      <c r="Q164" s="62">
        <f>+Q146</f>
        <v>5280</v>
      </c>
      <c r="R164" s="62">
        <f t="shared" si="481"/>
        <v>5332</v>
      </c>
      <c r="S164" s="62">
        <f t="shared" si="481"/>
        <v>5239</v>
      </c>
      <c r="T164" s="62">
        <f t="shared" si="481"/>
        <v>0</v>
      </c>
      <c r="U164" s="62">
        <f t="shared" si="481"/>
        <v>0</v>
      </c>
      <c r="V164" s="62">
        <f t="shared" si="481"/>
        <v>0</v>
      </c>
      <c r="W164" s="62">
        <f t="shared" si="481"/>
        <v>0</v>
      </c>
      <c r="X164" s="62">
        <f t="shared" si="481"/>
        <v>0</v>
      </c>
      <c r="Y164" s="62">
        <f t="shared" si="481"/>
        <v>0</v>
      </c>
      <c r="Z164" s="62">
        <f t="shared" si="481"/>
        <v>0</v>
      </c>
      <c r="AA164" s="62">
        <f t="shared" si="481"/>
        <v>0</v>
      </c>
      <c r="AB164" s="62">
        <f t="shared" si="481"/>
        <v>0</v>
      </c>
      <c r="AC164" s="62">
        <f t="shared" si="481"/>
        <v>7188.2999999999993</v>
      </c>
      <c r="AD164" s="62">
        <f t="shared" si="481"/>
        <v>12632.5</v>
      </c>
      <c r="AE164" s="62">
        <f t="shared" si="481"/>
        <v>13292.800000000001</v>
      </c>
      <c r="AF164" s="62">
        <f t="shared" si="481"/>
        <v>5972.4000000000005</v>
      </c>
      <c r="AG164" s="62">
        <f t="shared" si="481"/>
        <v>0</v>
      </c>
      <c r="AH164" s="62">
        <f t="shared" si="481"/>
        <v>0</v>
      </c>
      <c r="AI164" s="62">
        <f t="shared" si="481"/>
        <v>0</v>
      </c>
      <c r="AJ164" s="62">
        <f t="shared" si="481"/>
        <v>0</v>
      </c>
      <c r="AK164" s="62">
        <f t="shared" si="481"/>
        <v>0</v>
      </c>
      <c r="AL164" s="62">
        <f t="shared" si="481"/>
        <v>0</v>
      </c>
      <c r="AM164" s="62">
        <f t="shared" si="481"/>
        <v>0</v>
      </c>
      <c r="AN164" s="62">
        <f t="shared" si="481"/>
        <v>8931.7199999999993</v>
      </c>
      <c r="AO164" s="62">
        <f>+AO146</f>
        <v>14700</v>
      </c>
      <c r="AP164" s="62">
        <f t="shared" si="481"/>
        <v>17779.12</v>
      </c>
      <c r="AQ164" s="62">
        <f t="shared" si="481"/>
        <v>9081.4500000000007</v>
      </c>
      <c r="AR164" s="62">
        <f t="shared" si="481"/>
        <v>0</v>
      </c>
      <c r="AS164" s="62">
        <f t="shared" si="481"/>
        <v>0</v>
      </c>
      <c r="AT164" s="62">
        <f t="shared" si="481"/>
        <v>0</v>
      </c>
      <c r="AU164" s="62">
        <f t="shared" si="481"/>
        <v>0</v>
      </c>
      <c r="AV164" s="62">
        <f t="shared" si="481"/>
        <v>0</v>
      </c>
      <c r="AW164" s="62">
        <f t="shared" si="481"/>
        <v>0</v>
      </c>
      <c r="AX164" s="62">
        <f t="shared" si="481"/>
        <v>0</v>
      </c>
      <c r="AY164" s="62">
        <f t="shared" ref="AY164:BJ164" si="482">+AY146</f>
        <v>0</v>
      </c>
      <c r="AZ164" s="62">
        <f t="shared" si="482"/>
        <v>11438.07</v>
      </c>
      <c r="BA164" s="62">
        <f t="shared" si="482"/>
        <v>19950</v>
      </c>
      <c r="BB164" s="62">
        <f t="shared" si="482"/>
        <v>22348.520000000004</v>
      </c>
      <c r="BC164" s="62">
        <f t="shared" si="482"/>
        <v>11257.650000000001</v>
      </c>
      <c r="BD164" s="62">
        <f t="shared" si="482"/>
        <v>0</v>
      </c>
      <c r="BE164" s="62">
        <f t="shared" si="482"/>
        <v>0</v>
      </c>
      <c r="BF164" s="62">
        <f t="shared" si="482"/>
        <v>0</v>
      </c>
      <c r="BG164" s="62">
        <f t="shared" si="482"/>
        <v>0</v>
      </c>
      <c r="BH164" s="62">
        <f t="shared" si="482"/>
        <v>0</v>
      </c>
      <c r="BI164" s="62">
        <f t="shared" si="482"/>
        <v>0</v>
      </c>
      <c r="BJ164" s="62">
        <f t="shared" si="482"/>
        <v>0</v>
      </c>
    </row>
    <row r="165" spans="2:62" outlineLevel="1">
      <c r="B165" s="54" t="s">
        <v>272</v>
      </c>
      <c r="C165" s="79">
        <f>SUM(C161:C163)</f>
        <v>104109</v>
      </c>
      <c r="D165" s="79">
        <f t="shared" ref="D165:AX165" si="483">SUM(D161:D163)</f>
        <v>118243.3</v>
      </c>
      <c r="E165" s="79">
        <f t="shared" si="483"/>
        <v>102660</v>
      </c>
      <c r="F165" s="79">
        <f t="shared" si="483"/>
        <v>88822.75</v>
      </c>
      <c r="G165" s="79">
        <f t="shared" si="483"/>
        <v>88884.75</v>
      </c>
      <c r="H165" s="79">
        <f t="shared" si="483"/>
        <v>55337.8</v>
      </c>
      <c r="I165" s="79">
        <f t="shared" si="483"/>
        <v>55249.75</v>
      </c>
      <c r="J165" s="79">
        <f t="shared" si="483"/>
        <v>52567.5</v>
      </c>
      <c r="K165" s="79">
        <f t="shared" si="483"/>
        <v>54319.75</v>
      </c>
      <c r="L165" s="79">
        <f t="shared" si="483"/>
        <v>59085</v>
      </c>
      <c r="M165" s="79">
        <f t="shared" si="483"/>
        <v>57714.25</v>
      </c>
      <c r="N165" s="79">
        <f t="shared" si="483"/>
        <v>62100.75</v>
      </c>
      <c r="O165" s="79">
        <f t="shared" si="483"/>
        <v>58065</v>
      </c>
      <c r="P165" s="79">
        <f>SUM(P161:P164)</f>
        <v>55567.5</v>
      </c>
      <c r="Q165" s="79">
        <f t="shared" si="483"/>
        <v>48060</v>
      </c>
      <c r="R165" s="79">
        <f t="shared" si="483"/>
        <v>48848.25</v>
      </c>
      <c r="S165" s="79">
        <f t="shared" si="483"/>
        <v>48077.9</v>
      </c>
      <c r="T165" s="79">
        <f t="shared" si="483"/>
        <v>48342</v>
      </c>
      <c r="U165" s="79">
        <f t="shared" si="483"/>
        <v>56630.8</v>
      </c>
      <c r="V165" s="79">
        <f t="shared" si="483"/>
        <v>56433</v>
      </c>
      <c r="W165" s="79">
        <f t="shared" si="483"/>
        <v>56562.6</v>
      </c>
      <c r="X165" s="79">
        <f t="shared" si="483"/>
        <v>58086</v>
      </c>
      <c r="Y165" s="79">
        <f t="shared" si="483"/>
        <v>50991.9</v>
      </c>
      <c r="Z165" s="79">
        <f t="shared" si="483"/>
        <v>67880.7</v>
      </c>
      <c r="AA165" s="79">
        <f t="shared" si="483"/>
        <v>55215</v>
      </c>
      <c r="AB165" s="79">
        <f t="shared" si="483"/>
        <v>61664.579999999994</v>
      </c>
      <c r="AC165" s="79">
        <f t="shared" si="483"/>
        <v>57112.800000000003</v>
      </c>
      <c r="AD165" s="79">
        <f t="shared" si="483"/>
        <v>54276.66</v>
      </c>
      <c r="AE165" s="79">
        <f t="shared" si="483"/>
        <v>56584.92</v>
      </c>
      <c r="AF165" s="79">
        <f t="shared" si="483"/>
        <v>48170.64</v>
      </c>
      <c r="AG165" s="79">
        <f t="shared" si="483"/>
        <v>54289.06</v>
      </c>
      <c r="AH165" s="79">
        <f t="shared" si="483"/>
        <v>55040.4</v>
      </c>
      <c r="AI165" s="79">
        <f t="shared" si="483"/>
        <v>57210.5</v>
      </c>
      <c r="AJ165" s="79">
        <f t="shared" si="483"/>
        <v>58809</v>
      </c>
      <c r="AK165" s="79">
        <f t="shared" si="483"/>
        <v>67077.8</v>
      </c>
      <c r="AL165" s="79">
        <f t="shared" si="483"/>
        <v>71321.7</v>
      </c>
      <c r="AM165" s="79">
        <f t="shared" si="483"/>
        <v>68319</v>
      </c>
      <c r="AN165" s="79">
        <f t="shared" si="483"/>
        <v>72980.820000000007</v>
      </c>
      <c r="AO165" s="79">
        <f t="shared" si="483"/>
        <v>72938.100000000006</v>
      </c>
      <c r="AP165" s="79">
        <f t="shared" si="483"/>
        <v>69815.100000000006</v>
      </c>
      <c r="AQ165" s="79">
        <f t="shared" si="483"/>
        <v>73104.819999999992</v>
      </c>
      <c r="AR165" s="79">
        <f t="shared" si="483"/>
        <v>63865.760000000002</v>
      </c>
      <c r="AS165" s="79">
        <f t="shared" si="483"/>
        <v>72931.22</v>
      </c>
      <c r="AT165" s="79">
        <f t="shared" si="483"/>
        <v>73587.48</v>
      </c>
      <c r="AU165" s="79">
        <f t="shared" si="483"/>
        <v>78893.77377777778</v>
      </c>
      <c r="AV165" s="79">
        <f t="shared" si="483"/>
        <v>77245.379122807019</v>
      </c>
      <c r="AW165" s="79">
        <f t="shared" si="483"/>
        <v>82954.821093567254</v>
      </c>
      <c r="AX165" s="79">
        <f t="shared" si="483"/>
        <v>85471.425204678366</v>
      </c>
      <c r="AY165" s="79">
        <f t="shared" ref="AY165:BJ165" si="484">SUM(AY161:AY163)</f>
        <v>78251.860701754384</v>
      </c>
      <c r="AZ165" s="79">
        <f t="shared" si="484"/>
        <v>84493.011927033484</v>
      </c>
      <c r="BA165" s="79">
        <f t="shared" si="484"/>
        <v>76535.629844497598</v>
      </c>
      <c r="BB165" s="79">
        <f t="shared" si="484"/>
        <v>75653.370084928232</v>
      </c>
      <c r="BC165" s="79">
        <f t="shared" si="484"/>
        <v>84018.39169258374</v>
      </c>
      <c r="BD165" s="79">
        <f t="shared" si="484"/>
        <v>75964.502081686427</v>
      </c>
      <c r="BE165" s="79">
        <f t="shared" si="484"/>
        <v>83678.12700533944</v>
      </c>
      <c r="BF165" s="79">
        <f t="shared" si="484"/>
        <v>83111.851533180787</v>
      </c>
      <c r="BG165" s="79">
        <f t="shared" si="484"/>
        <v>87456.911393667455</v>
      </c>
      <c r="BH165" s="79">
        <f t="shared" si="484"/>
        <v>85829.139696684171</v>
      </c>
      <c r="BI165" s="79">
        <f t="shared" si="484"/>
        <v>91355.068701066397</v>
      </c>
      <c r="BJ165" s="79">
        <f t="shared" si="484"/>
        <v>91401.62421740625</v>
      </c>
    </row>
    <row r="166" spans="2:62" outlineLevel="1"/>
    <row r="167" spans="2:62" outlineLevel="1">
      <c r="B167" s="54" t="s">
        <v>178</v>
      </c>
    </row>
    <row r="168" spans="2:62" outlineLevel="1">
      <c r="B168" t="s">
        <v>273</v>
      </c>
      <c r="C168" s="56">
        <v>70</v>
      </c>
      <c r="D168" s="56">
        <v>60</v>
      </c>
      <c r="E168" s="56">
        <v>110</v>
      </c>
      <c r="F168" s="56"/>
      <c r="G168" s="56"/>
      <c r="H168" s="56"/>
      <c r="I168" s="56"/>
      <c r="J168" s="56"/>
      <c r="K168" s="56"/>
      <c r="L168" s="56"/>
      <c r="M168" s="56"/>
      <c r="N168" s="56"/>
      <c r="O168" s="56"/>
      <c r="P168" s="56">
        <v>120</v>
      </c>
      <c r="Q168" s="56">
        <v>100</v>
      </c>
      <c r="R168" s="56"/>
      <c r="S168" s="56"/>
      <c r="T168" s="56"/>
      <c r="U168" s="56"/>
      <c r="V168" s="56"/>
      <c r="W168" s="56"/>
      <c r="X168" s="56"/>
      <c r="Y168" s="56"/>
      <c r="Z168" s="56"/>
      <c r="AA168" s="56">
        <v>155</v>
      </c>
      <c r="AB168" s="56"/>
      <c r="AC168" s="56"/>
      <c r="AD168" s="56"/>
      <c r="AE168" s="56"/>
      <c r="AF168" s="56"/>
      <c r="AG168" s="56"/>
      <c r="AH168" s="56"/>
      <c r="AI168" s="56"/>
      <c r="AJ168" s="56"/>
      <c r="AK168" s="56"/>
      <c r="AL168" s="56"/>
      <c r="AM168" s="56">
        <v>155</v>
      </c>
      <c r="AN168" s="56"/>
      <c r="AO168" s="56"/>
      <c r="AP168" s="56"/>
      <c r="AQ168" s="56"/>
      <c r="AR168" s="56"/>
      <c r="AS168" s="56"/>
      <c r="AT168" s="56"/>
      <c r="AU168" s="56"/>
      <c r="AV168" s="56"/>
      <c r="AW168" s="56">
        <v>55</v>
      </c>
      <c r="AX168" s="56">
        <v>55</v>
      </c>
      <c r="AY168" s="56">
        <v>55</v>
      </c>
      <c r="AZ168" s="56"/>
      <c r="BA168" s="56"/>
      <c r="BB168" s="56"/>
      <c r="BC168" s="56"/>
      <c r="BD168" s="56"/>
      <c r="BE168" s="56"/>
      <c r="BF168" s="56"/>
      <c r="BG168" s="56"/>
      <c r="BH168" s="56"/>
      <c r="BI168" s="56">
        <v>55</v>
      </c>
      <c r="BJ168" s="56">
        <v>55</v>
      </c>
    </row>
    <row r="169" spans="2:62" outlineLevel="1">
      <c r="B169" t="s">
        <v>274</v>
      </c>
      <c r="C169" s="56">
        <v>200</v>
      </c>
      <c r="D169" s="56">
        <v>200</v>
      </c>
      <c r="E169" s="56">
        <v>200</v>
      </c>
      <c r="F169" s="56"/>
      <c r="G169" s="56"/>
      <c r="H169" s="56"/>
      <c r="I169" s="56"/>
      <c r="J169" s="56"/>
      <c r="K169" s="56"/>
      <c r="L169" s="56"/>
      <c r="M169" s="56"/>
      <c r="N169" s="56"/>
      <c r="O169" s="56"/>
      <c r="P169" s="56">
        <v>200</v>
      </c>
      <c r="Q169" s="56">
        <v>200</v>
      </c>
      <c r="R169" s="56"/>
      <c r="S169" s="56"/>
      <c r="T169" s="56"/>
      <c r="U169" s="56"/>
      <c r="V169" s="56"/>
      <c r="W169" s="56"/>
      <c r="X169" s="56"/>
      <c r="Y169" s="56"/>
      <c r="Z169" s="56"/>
      <c r="AA169" s="56">
        <v>200</v>
      </c>
      <c r="AB169" s="56"/>
      <c r="AC169" s="56"/>
      <c r="AD169" s="56"/>
      <c r="AE169" s="56"/>
      <c r="AF169" s="56"/>
      <c r="AG169" s="56"/>
      <c r="AH169" s="56"/>
      <c r="AI169" s="56"/>
      <c r="AJ169" s="56"/>
      <c r="AK169" s="56"/>
      <c r="AL169" s="56"/>
      <c r="AM169" s="56">
        <v>200</v>
      </c>
      <c r="AN169" s="56"/>
      <c r="AO169" s="56"/>
      <c r="AP169" s="56"/>
      <c r="AQ169" s="56"/>
      <c r="AR169" s="56"/>
      <c r="AS169" s="56"/>
      <c r="AT169" s="56"/>
      <c r="AU169" s="56"/>
      <c r="AV169" s="56"/>
      <c r="AW169" s="56">
        <v>200</v>
      </c>
      <c r="AX169" s="56">
        <v>200</v>
      </c>
      <c r="AY169" s="56">
        <v>200</v>
      </c>
      <c r="AZ169" s="56"/>
      <c r="BA169" s="56"/>
      <c r="BB169" s="56"/>
      <c r="BC169" s="56"/>
      <c r="BD169" s="56"/>
      <c r="BE169" s="56"/>
      <c r="BF169" s="56"/>
      <c r="BG169" s="56"/>
      <c r="BH169" s="56"/>
      <c r="BI169" s="56">
        <v>200</v>
      </c>
      <c r="BJ169" s="56">
        <v>200</v>
      </c>
    </row>
    <row r="170" spans="2:62" outlineLevel="1">
      <c r="B170" t="s">
        <v>275</v>
      </c>
      <c r="C170" s="56">
        <v>0.85</v>
      </c>
      <c r="D170" s="56">
        <v>0.85</v>
      </c>
      <c r="E170" s="56">
        <v>0.85</v>
      </c>
      <c r="F170" s="56"/>
      <c r="G170" s="56"/>
      <c r="H170" s="56"/>
      <c r="I170" s="56"/>
      <c r="J170" s="56"/>
      <c r="K170" s="56"/>
      <c r="L170" s="56"/>
      <c r="M170" s="56"/>
      <c r="N170" s="56"/>
      <c r="O170" s="56"/>
      <c r="P170" s="56">
        <v>0.62</v>
      </c>
      <c r="Q170" s="56">
        <v>0.62</v>
      </c>
      <c r="R170" s="56"/>
      <c r="S170" s="56"/>
      <c r="T170" s="56"/>
      <c r="U170" s="56"/>
      <c r="V170" s="56"/>
      <c r="W170" s="56"/>
      <c r="X170" s="56"/>
      <c r="Y170" s="56"/>
      <c r="Z170" s="56"/>
      <c r="AA170" s="56">
        <v>0.59</v>
      </c>
      <c r="AB170" s="56"/>
      <c r="AC170" s="56"/>
      <c r="AD170" s="56"/>
      <c r="AE170" s="56"/>
      <c r="AF170" s="56"/>
      <c r="AG170" s="56"/>
      <c r="AH170" s="56"/>
      <c r="AI170" s="56"/>
      <c r="AJ170" s="56"/>
      <c r="AK170" s="56"/>
      <c r="AL170" s="56"/>
      <c r="AM170" s="56">
        <v>0.5</v>
      </c>
      <c r="AN170" s="56"/>
      <c r="AO170" s="56"/>
      <c r="AP170" s="56"/>
      <c r="AQ170" s="56"/>
      <c r="AR170" s="56"/>
      <c r="AS170" s="56"/>
      <c r="AT170" s="56"/>
      <c r="AU170" s="56"/>
      <c r="AV170" s="56"/>
      <c r="AW170" s="56">
        <v>0.5</v>
      </c>
      <c r="AX170" s="56">
        <v>0.5</v>
      </c>
      <c r="AY170" s="56">
        <v>0.5</v>
      </c>
      <c r="AZ170" s="56"/>
      <c r="BA170" s="56"/>
      <c r="BB170" s="56"/>
      <c r="BC170" s="56"/>
      <c r="BD170" s="56"/>
      <c r="BE170" s="56"/>
      <c r="BF170" s="56"/>
      <c r="BG170" s="56"/>
      <c r="BH170" s="56"/>
      <c r="BI170" s="56">
        <v>0.5</v>
      </c>
      <c r="BJ170" s="56">
        <v>0.5</v>
      </c>
    </row>
    <row r="171" spans="2:62" outlineLevel="1"/>
    <row r="172" spans="2:62" outlineLevel="1">
      <c r="B172" s="54" t="s">
        <v>276</v>
      </c>
      <c r="C172" s="80"/>
      <c r="D172" s="80"/>
      <c r="E172" s="80"/>
      <c r="F172" s="80"/>
      <c r="G172" s="80"/>
      <c r="H172" s="80"/>
      <c r="I172" s="80"/>
      <c r="J172" s="80"/>
      <c r="K172" s="80">
        <v>50</v>
      </c>
      <c r="L172" s="80">
        <v>50</v>
      </c>
      <c r="M172" s="80"/>
      <c r="N172" s="80"/>
      <c r="O172" s="80"/>
      <c r="P172" s="80"/>
      <c r="Q172" s="80"/>
      <c r="R172" s="80"/>
      <c r="S172" s="80"/>
      <c r="T172" s="80"/>
      <c r="U172" s="80"/>
      <c r="V172" s="80"/>
      <c r="W172" s="80">
        <v>50</v>
      </c>
      <c r="X172" s="80">
        <v>50</v>
      </c>
      <c r="Y172" s="80"/>
      <c r="Z172" s="80"/>
      <c r="AA172" s="80"/>
      <c r="AB172" s="80"/>
      <c r="AC172" s="80"/>
      <c r="AD172" s="80"/>
      <c r="AE172" s="80"/>
      <c r="AF172" s="80"/>
      <c r="AG172" s="80"/>
      <c r="AH172" s="80"/>
      <c r="AI172" s="80">
        <v>50</v>
      </c>
      <c r="AJ172" s="80">
        <v>50</v>
      </c>
      <c r="AK172" s="80"/>
      <c r="AL172" s="80"/>
      <c r="AM172" s="80"/>
      <c r="AN172" s="80"/>
      <c r="AO172" s="80"/>
      <c r="AP172" s="80"/>
      <c r="AQ172" s="80"/>
      <c r="AR172" s="80"/>
      <c r="AS172" s="80"/>
      <c r="AT172" s="80"/>
      <c r="AU172" s="80">
        <v>50</v>
      </c>
      <c r="AV172" s="80">
        <v>50</v>
      </c>
      <c r="AW172" s="80"/>
      <c r="AX172" s="80"/>
      <c r="AY172" s="80"/>
      <c r="AZ172" s="80"/>
      <c r="BA172" s="80"/>
      <c r="BB172" s="80"/>
      <c r="BC172" s="80"/>
      <c r="BD172" s="80"/>
      <c r="BE172" s="80"/>
      <c r="BF172" s="80"/>
      <c r="BG172" s="80">
        <v>50</v>
      </c>
      <c r="BH172" s="80">
        <v>50</v>
      </c>
      <c r="BI172" s="80"/>
      <c r="BJ172" s="80"/>
    </row>
    <row r="173" spans="2:62" outlineLevel="1">
      <c r="B173" t="s">
        <v>277</v>
      </c>
      <c r="C173" s="62">
        <f t="shared" ref="C173:J173" si="485">SUM(C174:C175)</f>
        <v>0</v>
      </c>
      <c r="D173" s="62">
        <f t="shared" si="485"/>
        <v>0</v>
      </c>
      <c r="E173" s="62">
        <f t="shared" si="485"/>
        <v>0</v>
      </c>
      <c r="F173" s="62">
        <f t="shared" si="485"/>
        <v>0</v>
      </c>
      <c r="G173" s="62">
        <f t="shared" si="485"/>
        <v>0</v>
      </c>
      <c r="H173" s="62">
        <f t="shared" si="485"/>
        <v>0</v>
      </c>
      <c r="I173" s="62">
        <f t="shared" si="485"/>
        <v>0</v>
      </c>
      <c r="J173" s="62">
        <f t="shared" si="485"/>
        <v>0</v>
      </c>
      <c r="K173" s="62">
        <f>SUM(K174:K175)</f>
        <v>4500</v>
      </c>
      <c r="L173" s="62">
        <f t="shared" ref="L173:V173" si="486">SUM(L174:L175)</f>
        <v>4500</v>
      </c>
      <c r="M173" s="62">
        <f t="shared" si="486"/>
        <v>0</v>
      </c>
      <c r="N173" s="62">
        <f t="shared" si="486"/>
        <v>0</v>
      </c>
      <c r="O173" s="62">
        <f t="shared" si="486"/>
        <v>0</v>
      </c>
      <c r="P173" s="62">
        <f t="shared" si="486"/>
        <v>0</v>
      </c>
      <c r="Q173" s="62">
        <f t="shared" si="486"/>
        <v>0</v>
      </c>
      <c r="R173" s="62">
        <f t="shared" si="486"/>
        <v>0</v>
      </c>
      <c r="S173" s="62">
        <f t="shared" si="486"/>
        <v>0</v>
      </c>
      <c r="T173" s="62">
        <f t="shared" si="486"/>
        <v>0</v>
      </c>
      <c r="U173" s="62">
        <f t="shared" si="486"/>
        <v>0</v>
      </c>
      <c r="V173" s="62">
        <f t="shared" si="486"/>
        <v>0</v>
      </c>
      <c r="W173" s="62">
        <f>SUM(W174:W175)</f>
        <v>3000</v>
      </c>
      <c r="X173" s="62">
        <f t="shared" ref="X173:AX173" si="487">SUM(X174:X175)</f>
        <v>3000</v>
      </c>
      <c r="Y173" s="62">
        <f t="shared" si="487"/>
        <v>0</v>
      </c>
      <c r="Z173" s="62">
        <f t="shared" si="487"/>
        <v>0</v>
      </c>
      <c r="AA173" s="62">
        <f t="shared" si="487"/>
        <v>0</v>
      </c>
      <c r="AB173" s="62">
        <f t="shared" si="487"/>
        <v>0</v>
      </c>
      <c r="AC173" s="62">
        <f t="shared" si="487"/>
        <v>0</v>
      </c>
      <c r="AD173" s="62">
        <f t="shared" si="487"/>
        <v>0</v>
      </c>
      <c r="AE173" s="62">
        <f t="shared" si="487"/>
        <v>0</v>
      </c>
      <c r="AF173" s="62">
        <f t="shared" si="487"/>
        <v>0</v>
      </c>
      <c r="AG173" s="62">
        <f t="shared" si="487"/>
        <v>0</v>
      </c>
      <c r="AH173" s="62">
        <f t="shared" si="487"/>
        <v>0</v>
      </c>
      <c r="AI173" s="62">
        <f t="shared" si="487"/>
        <v>3000</v>
      </c>
      <c r="AJ173" s="62">
        <f t="shared" si="487"/>
        <v>3000</v>
      </c>
      <c r="AK173" s="62">
        <f t="shared" si="487"/>
        <v>0</v>
      </c>
      <c r="AL173" s="62">
        <f t="shared" si="487"/>
        <v>0</v>
      </c>
      <c r="AM173" s="62">
        <f t="shared" si="487"/>
        <v>0</v>
      </c>
      <c r="AN173" s="62">
        <f t="shared" si="487"/>
        <v>0</v>
      </c>
      <c r="AO173" s="62">
        <f t="shared" si="487"/>
        <v>0</v>
      </c>
      <c r="AP173" s="62">
        <f t="shared" si="487"/>
        <v>0</v>
      </c>
      <c r="AQ173" s="62">
        <f t="shared" si="487"/>
        <v>0</v>
      </c>
      <c r="AR173" s="62">
        <f t="shared" si="487"/>
        <v>0</v>
      </c>
      <c r="AS173" s="62">
        <f t="shared" si="487"/>
        <v>0</v>
      </c>
      <c r="AT173" s="62">
        <f t="shared" si="487"/>
        <v>0</v>
      </c>
      <c r="AU173" s="62">
        <f t="shared" si="487"/>
        <v>3000</v>
      </c>
      <c r="AV173" s="62">
        <f>SUM(AV174:AV175)</f>
        <v>3000</v>
      </c>
      <c r="AW173" s="62">
        <f t="shared" si="487"/>
        <v>0</v>
      </c>
      <c r="AX173" s="62">
        <f t="shared" si="487"/>
        <v>0</v>
      </c>
      <c r="AY173" s="62">
        <f t="shared" ref="AY173:BJ173" si="488">SUM(AY174:AY175)</f>
        <v>0</v>
      </c>
      <c r="AZ173" s="62">
        <f t="shared" si="488"/>
        <v>0</v>
      </c>
      <c r="BA173" s="62">
        <f t="shared" si="488"/>
        <v>0</v>
      </c>
      <c r="BB173" s="62">
        <f t="shared" si="488"/>
        <v>0</v>
      </c>
      <c r="BC173" s="62">
        <f t="shared" si="488"/>
        <v>0</v>
      </c>
      <c r="BD173" s="62">
        <f t="shared" si="488"/>
        <v>0</v>
      </c>
      <c r="BE173" s="62">
        <f t="shared" si="488"/>
        <v>0</v>
      </c>
      <c r="BF173" s="62">
        <f t="shared" si="488"/>
        <v>0</v>
      </c>
      <c r="BG173" s="62">
        <f t="shared" si="488"/>
        <v>3000</v>
      </c>
      <c r="BH173" s="62">
        <f t="shared" si="488"/>
        <v>3000</v>
      </c>
      <c r="BI173" s="62">
        <f t="shared" si="488"/>
        <v>0</v>
      </c>
      <c r="BJ173" s="62">
        <f t="shared" si="488"/>
        <v>0</v>
      </c>
    </row>
    <row r="174" spans="2:62" outlineLevel="1">
      <c r="B174" s="81" t="s">
        <v>244</v>
      </c>
      <c r="C174" s="80"/>
      <c r="D174" s="80"/>
      <c r="E174" s="80"/>
      <c r="F174" s="80"/>
      <c r="G174" s="80"/>
      <c r="H174" s="80"/>
      <c r="I174" s="80"/>
      <c r="J174" s="80"/>
      <c r="K174" s="80">
        <v>4000</v>
      </c>
      <c r="L174" s="80">
        <v>4000</v>
      </c>
      <c r="M174" s="80">
        <v>0</v>
      </c>
      <c r="N174" s="80"/>
      <c r="O174" s="80"/>
      <c r="P174" s="80"/>
      <c r="Q174" s="80"/>
      <c r="R174" s="80"/>
      <c r="S174" s="80"/>
      <c r="T174" s="80"/>
      <c r="U174" s="80"/>
      <c r="V174" s="80"/>
      <c r="W174" s="80">
        <v>2500</v>
      </c>
      <c r="X174" s="80">
        <v>2500</v>
      </c>
      <c r="Y174" s="80"/>
      <c r="Z174" s="80"/>
      <c r="AA174" s="80"/>
      <c r="AB174" s="80"/>
      <c r="AC174" s="80"/>
      <c r="AD174" s="80"/>
      <c r="AE174" s="80"/>
      <c r="AF174" s="80"/>
      <c r="AG174" s="80"/>
      <c r="AH174" s="80"/>
      <c r="AI174" s="80">
        <v>2500</v>
      </c>
      <c r="AJ174" s="80">
        <v>2500</v>
      </c>
      <c r="AK174" s="80"/>
      <c r="AL174" s="80"/>
      <c r="AM174" s="80"/>
      <c r="AN174" s="80"/>
      <c r="AO174" s="80"/>
      <c r="AP174" s="80"/>
      <c r="AQ174" s="80"/>
      <c r="AR174" s="80"/>
      <c r="AS174" s="80"/>
      <c r="AT174" s="80"/>
      <c r="AU174" s="80">
        <v>2500</v>
      </c>
      <c r="AV174" s="80">
        <v>2500</v>
      </c>
      <c r="AW174" s="80"/>
      <c r="AX174" s="80"/>
      <c r="AY174" s="80"/>
      <c r="AZ174" s="80"/>
      <c r="BA174" s="80"/>
      <c r="BB174" s="80"/>
      <c r="BC174" s="80"/>
      <c r="BD174" s="80"/>
      <c r="BE174" s="80"/>
      <c r="BF174" s="80"/>
      <c r="BG174" s="80">
        <v>2500</v>
      </c>
      <c r="BH174" s="80">
        <v>2500</v>
      </c>
      <c r="BI174" s="80"/>
      <c r="BJ174" s="80"/>
    </row>
    <row r="175" spans="2:62" outlineLevel="1">
      <c r="B175" s="81" t="s">
        <v>278</v>
      </c>
      <c r="C175" s="80"/>
      <c r="D175" s="80"/>
      <c r="E175" s="80"/>
      <c r="F175" s="80"/>
      <c r="G175" s="80"/>
      <c r="H175" s="80"/>
      <c r="I175" s="80"/>
      <c r="J175" s="80"/>
      <c r="K175" s="80">
        <v>500</v>
      </c>
      <c r="L175" s="80">
        <v>500</v>
      </c>
      <c r="M175" s="80">
        <v>0</v>
      </c>
      <c r="N175" s="80"/>
      <c r="O175" s="80"/>
      <c r="P175" s="80"/>
      <c r="Q175" s="80"/>
      <c r="R175" s="80"/>
      <c r="S175" s="80"/>
      <c r="T175" s="80"/>
      <c r="U175" s="80"/>
      <c r="V175" s="80"/>
      <c r="W175" s="80">
        <v>500</v>
      </c>
      <c r="X175" s="80">
        <v>500</v>
      </c>
      <c r="Y175" s="80"/>
      <c r="Z175" s="80"/>
      <c r="AA175" s="80"/>
      <c r="AB175" s="80"/>
      <c r="AC175" s="80"/>
      <c r="AD175" s="80"/>
      <c r="AE175" s="80"/>
      <c r="AF175" s="80"/>
      <c r="AG175" s="80"/>
      <c r="AH175" s="80"/>
      <c r="AI175" s="80">
        <v>500</v>
      </c>
      <c r="AJ175" s="80">
        <v>500</v>
      </c>
      <c r="AK175" s="80"/>
      <c r="AL175" s="80"/>
      <c r="AM175" s="80"/>
      <c r="AN175" s="80"/>
      <c r="AO175" s="80"/>
      <c r="AP175" s="80"/>
      <c r="AQ175" s="80"/>
      <c r="AR175" s="80"/>
      <c r="AS175" s="80"/>
      <c r="AT175" s="80"/>
      <c r="AU175" s="80">
        <v>500</v>
      </c>
      <c r="AV175" s="80">
        <v>500</v>
      </c>
      <c r="AW175" s="80"/>
      <c r="AX175" s="80"/>
      <c r="AY175" s="80"/>
      <c r="AZ175" s="80"/>
      <c r="BA175" s="80"/>
      <c r="BB175" s="80"/>
      <c r="BC175" s="80"/>
      <c r="BD175" s="80"/>
      <c r="BE175" s="80"/>
      <c r="BF175" s="80"/>
      <c r="BG175" s="80">
        <v>500</v>
      </c>
      <c r="BH175" s="80">
        <v>500</v>
      </c>
      <c r="BI175" s="80"/>
      <c r="BJ175" s="80"/>
    </row>
    <row r="176" spans="2:62" outlineLevel="1">
      <c r="B176" t="s">
        <v>279</v>
      </c>
      <c r="C176" s="62">
        <f t="shared" ref="C176:J176" si="489">C174*C172</f>
        <v>0</v>
      </c>
      <c r="D176" s="62">
        <f t="shared" si="489"/>
        <v>0</v>
      </c>
      <c r="E176" s="62">
        <f t="shared" si="489"/>
        <v>0</v>
      </c>
      <c r="F176" s="62">
        <f t="shared" si="489"/>
        <v>0</v>
      </c>
      <c r="G176" s="62">
        <f t="shared" si="489"/>
        <v>0</v>
      </c>
      <c r="H176" s="62">
        <f t="shared" si="489"/>
        <v>0</v>
      </c>
      <c r="I176" s="62">
        <f t="shared" si="489"/>
        <v>0</v>
      </c>
      <c r="J176" s="62">
        <f t="shared" si="489"/>
        <v>0</v>
      </c>
      <c r="K176" s="62">
        <f>K174*K172</f>
        <v>200000</v>
      </c>
      <c r="L176" s="62">
        <f>L174*L172</f>
        <v>200000</v>
      </c>
      <c r="M176" s="62">
        <f>M174*M172</f>
        <v>0</v>
      </c>
      <c r="N176" s="62">
        <f>N174*N172</f>
        <v>0</v>
      </c>
      <c r="O176" s="62">
        <f t="shared" ref="O176:V176" si="490">O174*O172</f>
        <v>0</v>
      </c>
      <c r="P176" s="62">
        <f t="shared" si="490"/>
        <v>0</v>
      </c>
      <c r="Q176" s="62">
        <f t="shared" si="490"/>
        <v>0</v>
      </c>
      <c r="R176" s="62">
        <f t="shared" si="490"/>
        <v>0</v>
      </c>
      <c r="S176" s="62">
        <f t="shared" si="490"/>
        <v>0</v>
      </c>
      <c r="T176" s="62">
        <f t="shared" si="490"/>
        <v>0</v>
      </c>
      <c r="U176" s="62">
        <f t="shared" si="490"/>
        <v>0</v>
      </c>
      <c r="V176" s="62">
        <f t="shared" si="490"/>
        <v>0</v>
      </c>
      <c r="W176" s="62">
        <f>W174*W172</f>
        <v>125000</v>
      </c>
      <c r="X176" s="62">
        <f>X174*X172</f>
        <v>125000</v>
      </c>
      <c r="Y176" s="62">
        <f>Y174*Y172</f>
        <v>0</v>
      </c>
      <c r="Z176" s="62">
        <f>Z174*Z172</f>
        <v>0</v>
      </c>
      <c r="AA176" s="62">
        <f t="shared" ref="AA176:AX176" si="491">AA174*AA172</f>
        <v>0</v>
      </c>
      <c r="AB176" s="62">
        <f t="shared" si="491"/>
        <v>0</v>
      </c>
      <c r="AC176" s="62">
        <f t="shared" si="491"/>
        <v>0</v>
      </c>
      <c r="AD176" s="62">
        <f t="shared" si="491"/>
        <v>0</v>
      </c>
      <c r="AE176" s="62">
        <f t="shared" si="491"/>
        <v>0</v>
      </c>
      <c r="AF176" s="62">
        <f t="shared" si="491"/>
        <v>0</v>
      </c>
      <c r="AG176" s="62">
        <f t="shared" si="491"/>
        <v>0</v>
      </c>
      <c r="AH176" s="62">
        <f t="shared" si="491"/>
        <v>0</v>
      </c>
      <c r="AI176" s="62">
        <f t="shared" si="491"/>
        <v>125000</v>
      </c>
      <c r="AJ176" s="62">
        <f t="shared" si="491"/>
        <v>125000</v>
      </c>
      <c r="AK176" s="62">
        <f t="shared" si="491"/>
        <v>0</v>
      </c>
      <c r="AL176" s="62">
        <f t="shared" si="491"/>
        <v>0</v>
      </c>
      <c r="AM176" s="62">
        <f t="shared" si="491"/>
        <v>0</v>
      </c>
      <c r="AN176" s="62">
        <f t="shared" si="491"/>
        <v>0</v>
      </c>
      <c r="AO176" s="62">
        <f t="shared" si="491"/>
        <v>0</v>
      </c>
      <c r="AP176" s="62">
        <f t="shared" si="491"/>
        <v>0</v>
      </c>
      <c r="AQ176" s="62">
        <f t="shared" si="491"/>
        <v>0</v>
      </c>
      <c r="AR176" s="62">
        <f t="shared" si="491"/>
        <v>0</v>
      </c>
      <c r="AS176" s="62">
        <f t="shared" si="491"/>
        <v>0</v>
      </c>
      <c r="AT176" s="62">
        <f t="shared" si="491"/>
        <v>0</v>
      </c>
      <c r="AU176" s="62">
        <f t="shared" si="491"/>
        <v>125000</v>
      </c>
      <c r="AV176" s="62">
        <f>AV174*AV172</f>
        <v>125000</v>
      </c>
      <c r="AW176" s="62">
        <f t="shared" si="491"/>
        <v>0</v>
      </c>
      <c r="AX176" s="62">
        <f t="shared" si="491"/>
        <v>0</v>
      </c>
      <c r="AY176" s="62">
        <f t="shared" ref="AY176:BJ176" si="492">AY174*AY172</f>
        <v>0</v>
      </c>
      <c r="AZ176" s="62">
        <f t="shared" si="492"/>
        <v>0</v>
      </c>
      <c r="BA176" s="62">
        <f t="shared" si="492"/>
        <v>0</v>
      </c>
      <c r="BB176" s="62">
        <f t="shared" si="492"/>
        <v>0</v>
      </c>
      <c r="BC176" s="62">
        <f t="shared" si="492"/>
        <v>0</v>
      </c>
      <c r="BD176" s="62">
        <f t="shared" si="492"/>
        <v>0</v>
      </c>
      <c r="BE176" s="62">
        <f t="shared" si="492"/>
        <v>0</v>
      </c>
      <c r="BF176" s="62">
        <f t="shared" si="492"/>
        <v>0</v>
      </c>
      <c r="BG176" s="62">
        <f t="shared" si="492"/>
        <v>125000</v>
      </c>
      <c r="BH176" s="62">
        <f t="shared" si="492"/>
        <v>125000</v>
      </c>
      <c r="BI176" s="62">
        <f t="shared" si="492"/>
        <v>0</v>
      </c>
      <c r="BJ176" s="62">
        <f t="shared" si="492"/>
        <v>0</v>
      </c>
    </row>
    <row r="177" spans="2:62" outlineLevel="1">
      <c r="B177" t="s">
        <v>280</v>
      </c>
      <c r="C177" s="62">
        <f t="shared" ref="C177:J177" si="493">+C175*C172</f>
        <v>0</v>
      </c>
      <c r="D177" s="62">
        <f t="shared" si="493"/>
        <v>0</v>
      </c>
      <c r="E177" s="62">
        <f t="shared" si="493"/>
        <v>0</v>
      </c>
      <c r="F177" s="62">
        <f t="shared" si="493"/>
        <v>0</v>
      </c>
      <c r="G177" s="62">
        <f t="shared" si="493"/>
        <v>0</v>
      </c>
      <c r="H177" s="62">
        <f t="shared" si="493"/>
        <v>0</v>
      </c>
      <c r="I177" s="62">
        <f t="shared" si="493"/>
        <v>0</v>
      </c>
      <c r="J177" s="62">
        <f t="shared" si="493"/>
        <v>0</v>
      </c>
      <c r="K177" s="62">
        <f>+K175*K172</f>
        <v>25000</v>
      </c>
      <c r="L177" s="62">
        <f t="shared" ref="L177:V177" si="494">+L175*L172</f>
        <v>25000</v>
      </c>
      <c r="M177" s="62">
        <f t="shared" si="494"/>
        <v>0</v>
      </c>
      <c r="N177" s="62">
        <f t="shared" si="494"/>
        <v>0</v>
      </c>
      <c r="O177" s="62">
        <f t="shared" si="494"/>
        <v>0</v>
      </c>
      <c r="P177" s="62">
        <f t="shared" si="494"/>
        <v>0</v>
      </c>
      <c r="Q177" s="62">
        <f t="shared" si="494"/>
        <v>0</v>
      </c>
      <c r="R177" s="62">
        <f t="shared" si="494"/>
        <v>0</v>
      </c>
      <c r="S177" s="62">
        <f t="shared" si="494"/>
        <v>0</v>
      </c>
      <c r="T177" s="62">
        <f t="shared" si="494"/>
        <v>0</v>
      </c>
      <c r="U177" s="62">
        <f t="shared" si="494"/>
        <v>0</v>
      </c>
      <c r="V177" s="62">
        <f t="shared" si="494"/>
        <v>0</v>
      </c>
      <c r="W177" s="62">
        <f>+W175*W172</f>
        <v>25000</v>
      </c>
      <c r="X177" s="62">
        <f t="shared" ref="X177:AX177" si="495">+X175*X172</f>
        <v>25000</v>
      </c>
      <c r="Y177" s="62">
        <f t="shared" si="495"/>
        <v>0</v>
      </c>
      <c r="Z177" s="62">
        <f t="shared" si="495"/>
        <v>0</v>
      </c>
      <c r="AA177" s="62">
        <f t="shared" si="495"/>
        <v>0</v>
      </c>
      <c r="AB177" s="62">
        <f t="shared" si="495"/>
        <v>0</v>
      </c>
      <c r="AC177" s="62">
        <f t="shared" si="495"/>
        <v>0</v>
      </c>
      <c r="AD177" s="62">
        <f t="shared" si="495"/>
        <v>0</v>
      </c>
      <c r="AE177" s="62">
        <f t="shared" si="495"/>
        <v>0</v>
      </c>
      <c r="AF177" s="62">
        <f t="shared" si="495"/>
        <v>0</v>
      </c>
      <c r="AG177" s="62">
        <f t="shared" si="495"/>
        <v>0</v>
      </c>
      <c r="AH177" s="62">
        <f t="shared" si="495"/>
        <v>0</v>
      </c>
      <c r="AI177" s="62">
        <f t="shared" si="495"/>
        <v>25000</v>
      </c>
      <c r="AJ177" s="62">
        <f t="shared" si="495"/>
        <v>25000</v>
      </c>
      <c r="AK177" s="62">
        <f t="shared" si="495"/>
        <v>0</v>
      </c>
      <c r="AL177" s="62">
        <f t="shared" si="495"/>
        <v>0</v>
      </c>
      <c r="AM177" s="62">
        <f t="shared" si="495"/>
        <v>0</v>
      </c>
      <c r="AN177" s="62">
        <f t="shared" si="495"/>
        <v>0</v>
      </c>
      <c r="AO177" s="62">
        <f t="shared" si="495"/>
        <v>0</v>
      </c>
      <c r="AP177" s="62">
        <f t="shared" si="495"/>
        <v>0</v>
      </c>
      <c r="AQ177" s="62">
        <f t="shared" si="495"/>
        <v>0</v>
      </c>
      <c r="AR177" s="62">
        <f t="shared" si="495"/>
        <v>0</v>
      </c>
      <c r="AS177" s="62">
        <f t="shared" si="495"/>
        <v>0</v>
      </c>
      <c r="AT177" s="62">
        <f t="shared" si="495"/>
        <v>0</v>
      </c>
      <c r="AU177" s="62">
        <f t="shared" si="495"/>
        <v>25000</v>
      </c>
      <c r="AV177" s="62">
        <f t="shared" si="495"/>
        <v>25000</v>
      </c>
      <c r="AW177" s="62">
        <f t="shared" si="495"/>
        <v>0</v>
      </c>
      <c r="AX177" s="62">
        <f t="shared" si="495"/>
        <v>0</v>
      </c>
      <c r="AY177" s="62">
        <f t="shared" ref="AY177:BJ177" si="496">+AY175*AY172</f>
        <v>0</v>
      </c>
      <c r="AZ177" s="62">
        <f t="shared" si="496"/>
        <v>0</v>
      </c>
      <c r="BA177" s="62">
        <f t="shared" si="496"/>
        <v>0</v>
      </c>
      <c r="BB177" s="62">
        <f t="shared" si="496"/>
        <v>0</v>
      </c>
      <c r="BC177" s="62">
        <f t="shared" si="496"/>
        <v>0</v>
      </c>
      <c r="BD177" s="62">
        <f t="shared" si="496"/>
        <v>0</v>
      </c>
      <c r="BE177" s="62">
        <f t="shared" si="496"/>
        <v>0</v>
      </c>
      <c r="BF177" s="62">
        <f t="shared" si="496"/>
        <v>0</v>
      </c>
      <c r="BG177" s="62">
        <f t="shared" si="496"/>
        <v>25000</v>
      </c>
      <c r="BH177" s="62">
        <f t="shared" si="496"/>
        <v>25000</v>
      </c>
      <c r="BI177" s="62">
        <f t="shared" si="496"/>
        <v>0</v>
      </c>
      <c r="BJ177" s="62">
        <f t="shared" si="496"/>
        <v>0</v>
      </c>
    </row>
    <row r="178" spans="2:62" outlineLevel="1">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row>
    <row r="179" spans="2:62" outlineLevel="1">
      <c r="B179" s="54" t="s">
        <v>281</v>
      </c>
      <c r="C179" s="80"/>
      <c r="D179" s="80"/>
      <c r="E179" s="80"/>
      <c r="F179" s="80"/>
      <c r="G179" s="80"/>
      <c r="H179" s="80"/>
      <c r="I179" s="80"/>
      <c r="J179" s="80"/>
      <c r="K179" s="80">
        <v>40</v>
      </c>
      <c r="L179" s="80">
        <v>40</v>
      </c>
      <c r="M179" s="80">
        <v>60</v>
      </c>
      <c r="N179" s="80"/>
      <c r="O179" s="80"/>
      <c r="P179" s="80"/>
      <c r="Q179" s="80"/>
      <c r="R179" s="80"/>
      <c r="S179" s="80"/>
      <c r="T179" s="80"/>
      <c r="U179" s="80"/>
      <c r="V179" s="80"/>
      <c r="W179" s="80">
        <v>20</v>
      </c>
      <c r="X179" s="80">
        <v>40</v>
      </c>
      <c r="Y179" s="80">
        <v>60</v>
      </c>
      <c r="Z179" s="80"/>
      <c r="AA179" s="80"/>
      <c r="AB179" s="80"/>
      <c r="AC179" s="80"/>
      <c r="AD179" s="80"/>
      <c r="AE179" s="80"/>
      <c r="AF179" s="80"/>
      <c r="AG179" s="80"/>
      <c r="AH179" s="80"/>
      <c r="AI179" s="80">
        <v>20</v>
      </c>
      <c r="AJ179" s="80">
        <v>40</v>
      </c>
      <c r="AK179" s="80">
        <v>60</v>
      </c>
      <c r="AL179" s="80"/>
      <c r="AM179" s="80"/>
      <c r="AN179" s="80"/>
      <c r="AO179" s="80"/>
      <c r="AP179" s="80"/>
      <c r="AQ179" s="80"/>
      <c r="AR179" s="80"/>
      <c r="AS179" s="80"/>
      <c r="AT179" s="80"/>
      <c r="AU179" s="80">
        <v>20</v>
      </c>
      <c r="AV179" s="80">
        <v>40</v>
      </c>
      <c r="AW179" s="80">
        <v>60</v>
      </c>
      <c r="AX179" s="80"/>
      <c r="AY179" s="80"/>
      <c r="AZ179" s="80"/>
      <c r="BA179" s="80"/>
      <c r="BB179" s="80"/>
      <c r="BC179" s="80"/>
      <c r="BD179" s="80"/>
      <c r="BE179" s="80"/>
      <c r="BF179" s="80"/>
      <c r="BG179" s="80">
        <v>20</v>
      </c>
      <c r="BH179" s="80">
        <v>40</v>
      </c>
      <c r="BI179" s="80">
        <v>60</v>
      </c>
      <c r="BJ179" s="80"/>
    </row>
    <row r="180" spans="2:62" outlineLevel="1">
      <c r="B180" t="s">
        <v>277</v>
      </c>
      <c r="C180" s="80">
        <v>0</v>
      </c>
      <c r="D180" s="80">
        <v>0</v>
      </c>
      <c r="E180" s="80">
        <v>0</v>
      </c>
      <c r="F180" s="80">
        <v>0</v>
      </c>
      <c r="G180" s="80">
        <v>0</v>
      </c>
      <c r="H180" s="80">
        <v>0</v>
      </c>
      <c r="I180" s="80">
        <v>0</v>
      </c>
      <c r="J180" s="80">
        <v>0</v>
      </c>
      <c r="K180" s="80">
        <v>3000</v>
      </c>
      <c r="L180" s="80">
        <v>3000</v>
      </c>
      <c r="M180" s="80">
        <v>3000</v>
      </c>
      <c r="N180" s="80">
        <v>0</v>
      </c>
      <c r="O180" s="80">
        <v>0</v>
      </c>
      <c r="P180" s="80">
        <v>0</v>
      </c>
      <c r="Q180" s="80">
        <v>0</v>
      </c>
      <c r="R180" s="80">
        <v>0</v>
      </c>
      <c r="S180" s="80">
        <v>0</v>
      </c>
      <c r="T180" s="80">
        <v>0</v>
      </c>
      <c r="U180" s="80">
        <v>0</v>
      </c>
      <c r="V180" s="80">
        <v>0</v>
      </c>
      <c r="W180" s="80">
        <v>3000</v>
      </c>
      <c r="X180" s="80">
        <v>3000</v>
      </c>
      <c r="Y180" s="80">
        <v>3000</v>
      </c>
      <c r="Z180" s="80">
        <v>0</v>
      </c>
      <c r="AA180" s="80">
        <v>0</v>
      </c>
      <c r="AB180" s="80">
        <v>0</v>
      </c>
      <c r="AC180" s="80">
        <v>0</v>
      </c>
      <c r="AD180" s="80">
        <v>0</v>
      </c>
      <c r="AE180" s="80">
        <v>0</v>
      </c>
      <c r="AF180" s="80">
        <v>0</v>
      </c>
      <c r="AG180" s="80">
        <v>0</v>
      </c>
      <c r="AH180" s="80">
        <v>0</v>
      </c>
      <c r="AI180" s="80">
        <v>3000</v>
      </c>
      <c r="AJ180" s="80">
        <v>3000</v>
      </c>
      <c r="AK180" s="80">
        <v>3000</v>
      </c>
      <c r="AL180" s="80">
        <v>0</v>
      </c>
      <c r="AM180" s="80">
        <v>0</v>
      </c>
      <c r="AN180" s="80">
        <v>0</v>
      </c>
      <c r="AO180" s="80">
        <v>0</v>
      </c>
      <c r="AP180" s="80">
        <v>0</v>
      </c>
      <c r="AQ180" s="80">
        <v>0</v>
      </c>
      <c r="AR180" s="80">
        <v>0</v>
      </c>
      <c r="AS180" s="80">
        <v>0</v>
      </c>
      <c r="AT180" s="80">
        <v>0</v>
      </c>
      <c r="AU180" s="80">
        <v>3000</v>
      </c>
      <c r="AV180" s="80">
        <v>3000</v>
      </c>
      <c r="AW180" s="80">
        <v>3000</v>
      </c>
      <c r="AX180" s="80">
        <v>0</v>
      </c>
      <c r="AY180" s="80">
        <v>0</v>
      </c>
      <c r="AZ180" s="80">
        <v>0</v>
      </c>
      <c r="BA180" s="80">
        <v>0</v>
      </c>
      <c r="BB180" s="80">
        <v>0</v>
      </c>
      <c r="BC180" s="80">
        <v>0</v>
      </c>
      <c r="BD180" s="80">
        <v>0</v>
      </c>
      <c r="BE180" s="80">
        <v>0</v>
      </c>
      <c r="BF180" s="80">
        <v>0</v>
      </c>
      <c r="BG180" s="80">
        <v>3000</v>
      </c>
      <c r="BH180" s="80">
        <v>3000</v>
      </c>
      <c r="BI180" s="80">
        <v>3000</v>
      </c>
      <c r="BJ180" s="80">
        <v>0</v>
      </c>
    </row>
    <row r="181" spans="2:62" outlineLevel="1">
      <c r="B181" t="s">
        <v>282</v>
      </c>
      <c r="C181" s="62">
        <f>+C180*C179</f>
        <v>0</v>
      </c>
      <c r="D181" s="62">
        <f t="shared" ref="D181:N181" si="497">+D180*D179</f>
        <v>0</v>
      </c>
      <c r="E181" s="62">
        <f t="shared" si="497"/>
        <v>0</v>
      </c>
      <c r="F181" s="62">
        <f t="shared" si="497"/>
        <v>0</v>
      </c>
      <c r="G181" s="62">
        <f t="shared" si="497"/>
        <v>0</v>
      </c>
      <c r="H181" s="62">
        <f t="shared" si="497"/>
        <v>0</v>
      </c>
      <c r="I181" s="62">
        <f t="shared" si="497"/>
        <v>0</v>
      </c>
      <c r="J181" s="62">
        <f t="shared" si="497"/>
        <v>0</v>
      </c>
      <c r="K181" s="62">
        <f t="shared" si="497"/>
        <v>120000</v>
      </c>
      <c r="L181" s="62">
        <f t="shared" si="497"/>
        <v>120000</v>
      </c>
      <c r="M181" s="62">
        <f t="shared" si="497"/>
        <v>180000</v>
      </c>
      <c r="N181" s="62">
        <f t="shared" si="497"/>
        <v>0</v>
      </c>
      <c r="O181" s="62">
        <f t="shared" ref="O181" si="498">+O180*O179</f>
        <v>0</v>
      </c>
      <c r="P181" s="62">
        <f t="shared" ref="P181" si="499">+P180*P179</f>
        <v>0</v>
      </c>
      <c r="Q181" s="62">
        <f t="shared" ref="Q181" si="500">+Q180*Q179</f>
        <v>0</v>
      </c>
      <c r="R181" s="62">
        <f t="shared" ref="R181" si="501">+R180*R179</f>
        <v>0</v>
      </c>
      <c r="S181" s="62">
        <f t="shared" ref="S181" si="502">+S180*S179</f>
        <v>0</v>
      </c>
      <c r="T181" s="62">
        <f t="shared" ref="T181" si="503">+T180*T179</f>
        <v>0</v>
      </c>
      <c r="U181" s="62">
        <f t="shared" ref="U181" si="504">+U180*U179</f>
        <v>0</v>
      </c>
      <c r="V181" s="62">
        <f t="shared" ref="V181" si="505">+V180*V179</f>
        <v>0</v>
      </c>
      <c r="W181" s="62">
        <f t="shared" ref="W181" si="506">+W180*W179</f>
        <v>60000</v>
      </c>
      <c r="X181" s="62">
        <f t="shared" ref="X181" si="507">+X180*X179</f>
        <v>120000</v>
      </c>
      <c r="Y181" s="62">
        <f t="shared" ref="Y181" si="508">+Y180*Y179</f>
        <v>180000</v>
      </c>
      <c r="Z181" s="62">
        <f t="shared" ref="Z181" si="509">+Z180*Z179</f>
        <v>0</v>
      </c>
      <c r="AA181" s="62">
        <f t="shared" ref="AA181" si="510">+AA180*AA179</f>
        <v>0</v>
      </c>
      <c r="AB181" s="62">
        <f t="shared" ref="AB181" si="511">+AB180*AB179</f>
        <v>0</v>
      </c>
      <c r="AC181" s="62">
        <f t="shared" ref="AC181" si="512">+AC180*AC179</f>
        <v>0</v>
      </c>
      <c r="AD181" s="62">
        <f t="shared" ref="AD181" si="513">+AD180*AD179</f>
        <v>0</v>
      </c>
      <c r="AE181" s="62">
        <f t="shared" ref="AE181" si="514">+AE180*AE179</f>
        <v>0</v>
      </c>
      <c r="AF181" s="62">
        <f t="shared" ref="AF181" si="515">+AF180*AF179</f>
        <v>0</v>
      </c>
      <c r="AG181" s="62">
        <f t="shared" ref="AG181" si="516">+AG180*AG179</f>
        <v>0</v>
      </c>
      <c r="AH181" s="62">
        <f t="shared" ref="AH181" si="517">+AH180*AH179</f>
        <v>0</v>
      </c>
      <c r="AI181" s="62">
        <f t="shared" ref="AI181" si="518">+AI180*AI179</f>
        <v>60000</v>
      </c>
      <c r="AJ181" s="62">
        <f t="shared" ref="AJ181" si="519">+AJ180*AJ179</f>
        <v>120000</v>
      </c>
      <c r="AK181" s="62">
        <f t="shared" ref="AK181" si="520">+AK180*AK179</f>
        <v>180000</v>
      </c>
      <c r="AL181" s="62">
        <f t="shared" ref="AL181" si="521">+AL180*AL179</f>
        <v>0</v>
      </c>
      <c r="AM181" s="62">
        <f t="shared" ref="AM181" si="522">+AM180*AM179</f>
        <v>0</v>
      </c>
      <c r="AN181" s="62">
        <f t="shared" ref="AN181" si="523">+AN180*AN179</f>
        <v>0</v>
      </c>
      <c r="AO181" s="62">
        <f t="shared" ref="AO181" si="524">+AO180*AO179</f>
        <v>0</v>
      </c>
      <c r="AP181" s="62">
        <f t="shared" ref="AP181" si="525">+AP180*AP179</f>
        <v>0</v>
      </c>
      <c r="AQ181" s="62">
        <f t="shared" ref="AQ181" si="526">+AQ180*AQ179</f>
        <v>0</v>
      </c>
      <c r="AR181" s="62">
        <f t="shared" ref="AR181" si="527">+AR180*AR179</f>
        <v>0</v>
      </c>
      <c r="AS181" s="62">
        <f t="shared" ref="AS181" si="528">+AS180*AS179</f>
        <v>0</v>
      </c>
      <c r="AT181" s="62">
        <f t="shared" ref="AT181" si="529">+AT180*AT179</f>
        <v>0</v>
      </c>
      <c r="AU181" s="62">
        <f t="shared" ref="AU181" si="530">+AU180*AU179</f>
        <v>60000</v>
      </c>
      <c r="AV181" s="62">
        <f t="shared" ref="AV181" si="531">+AV180*AV179</f>
        <v>120000</v>
      </c>
      <c r="AW181" s="62">
        <f t="shared" ref="AW181" si="532">+AW180*AW179</f>
        <v>180000</v>
      </c>
      <c r="AX181" s="62">
        <f t="shared" ref="AX181" si="533">+AX180*AX179</f>
        <v>0</v>
      </c>
      <c r="AY181" s="62">
        <v>0</v>
      </c>
      <c r="AZ181" s="62">
        <v>0</v>
      </c>
      <c r="BA181" s="62">
        <v>0</v>
      </c>
      <c r="BB181" s="62">
        <v>0</v>
      </c>
      <c r="BC181" s="62">
        <v>0</v>
      </c>
      <c r="BD181" s="62">
        <v>0</v>
      </c>
      <c r="BE181" s="62">
        <v>0</v>
      </c>
      <c r="BF181" s="62">
        <v>0</v>
      </c>
      <c r="BG181" s="62">
        <v>60000</v>
      </c>
      <c r="BH181" s="62">
        <v>120000</v>
      </c>
      <c r="BI181" s="62">
        <v>180000</v>
      </c>
      <c r="BJ181" s="62">
        <v>0</v>
      </c>
    </row>
    <row r="182" spans="2:62" outlineLevel="1">
      <c r="B182" s="64" t="s">
        <v>31</v>
      </c>
      <c r="C182" s="64"/>
      <c r="D182" s="64"/>
      <c r="E182" s="64"/>
      <c r="F182" s="65"/>
      <c r="G182" s="65"/>
      <c r="H182" s="65"/>
      <c r="I182" s="65"/>
      <c r="J182" s="65"/>
      <c r="K182" s="65"/>
      <c r="L182" s="65"/>
      <c r="N182" s="65">
        <f>SUM(C172:N172,C179:N179)-SUM(C168:N168)</f>
        <v>0</v>
      </c>
      <c r="O182" s="62"/>
      <c r="P182" s="62"/>
      <c r="Q182" s="62"/>
      <c r="R182" s="62"/>
      <c r="S182" s="62"/>
      <c r="T182" s="62"/>
      <c r="U182" s="62"/>
      <c r="V182" s="62"/>
      <c r="W182" s="62"/>
      <c r="X182" s="62"/>
      <c r="Y182" s="62"/>
      <c r="Z182" s="65">
        <f>SUM(O172:Z172,O179:Z179)-SUM(O168:Z168)</f>
        <v>0</v>
      </c>
      <c r="AL182" s="65">
        <f>SUM(AA172:AL172,AA179:AL179)-SUM(AA168:AL168)</f>
        <v>65</v>
      </c>
      <c r="AX182" s="65">
        <f>SUM(AM172:AX172,AM179:AX179)-SUM(AM168:AX168)</f>
        <v>-45</v>
      </c>
      <c r="BJ182" s="65">
        <f>SUM(AY172:BJ172,AY179:BJ179)-SUM(AY168:BJ168)</f>
        <v>55</v>
      </c>
    </row>
    <row r="183" spans="2:62" outlineLevel="1"/>
    <row r="184" spans="2:62" outlineLevel="1">
      <c r="B184" s="54" t="s">
        <v>283</v>
      </c>
    </row>
    <row r="185" spans="2:62" outlineLevel="1">
      <c r="B185" t="s">
        <v>284</v>
      </c>
      <c r="C185" s="80">
        <v>0</v>
      </c>
      <c r="D185" s="62">
        <f>C189</f>
        <v>0</v>
      </c>
      <c r="E185" s="62">
        <f>D189</f>
        <v>0</v>
      </c>
      <c r="F185" s="62">
        <f t="shared" ref="F185:AX185" si="534">E189</f>
        <v>0</v>
      </c>
      <c r="G185" s="62">
        <f t="shared" si="534"/>
        <v>0</v>
      </c>
      <c r="H185" s="62">
        <f t="shared" si="534"/>
        <v>0</v>
      </c>
      <c r="I185" s="62">
        <f t="shared" si="534"/>
        <v>0</v>
      </c>
      <c r="J185" s="62">
        <f t="shared" si="534"/>
        <v>0</v>
      </c>
      <c r="K185" s="62">
        <f t="shared" si="534"/>
        <v>0</v>
      </c>
      <c r="L185" s="62">
        <f t="shared" si="534"/>
        <v>345000</v>
      </c>
      <c r="M185" s="62">
        <f t="shared" si="534"/>
        <v>637800</v>
      </c>
      <c r="N185" s="62">
        <f t="shared" si="534"/>
        <v>763860</v>
      </c>
      <c r="O185" s="62">
        <f t="shared" si="534"/>
        <v>708680</v>
      </c>
      <c r="P185" s="62">
        <f>O189</f>
        <v>655580</v>
      </c>
      <c r="Q185" s="62">
        <f t="shared" si="534"/>
        <v>600989</v>
      </c>
      <c r="R185" s="62">
        <f t="shared" si="534"/>
        <v>554549</v>
      </c>
      <c r="S185" s="62">
        <f t="shared" si="534"/>
        <v>507398</v>
      </c>
      <c r="T185" s="62">
        <f t="shared" si="534"/>
        <v>460526</v>
      </c>
      <c r="U185" s="62">
        <f t="shared" si="534"/>
        <v>413766</v>
      </c>
      <c r="V185" s="62">
        <f t="shared" si="534"/>
        <v>361996</v>
      </c>
      <c r="W185" s="62">
        <f t="shared" si="534"/>
        <v>312496</v>
      </c>
      <c r="X185" s="62">
        <f t="shared" si="534"/>
        <v>471346</v>
      </c>
      <c r="Y185" s="62">
        <f t="shared" si="534"/>
        <v>691846</v>
      </c>
      <c r="Z185" s="62">
        <f t="shared" si="534"/>
        <v>821006</v>
      </c>
      <c r="AA185" s="62">
        <f t="shared" si="534"/>
        <v>770166</v>
      </c>
      <c r="AB185" s="62">
        <f t="shared" si="534"/>
        <v>725886</v>
      </c>
      <c r="AC185" s="62">
        <f t="shared" si="534"/>
        <v>680409</v>
      </c>
      <c r="AD185" s="62">
        <f t="shared" si="534"/>
        <v>636399</v>
      </c>
      <c r="AE185" s="62">
        <f t="shared" si="534"/>
        <v>591759</v>
      </c>
      <c r="AF185" s="62">
        <f t="shared" si="534"/>
        <v>542779</v>
      </c>
      <c r="AG185" s="62">
        <f t="shared" si="534"/>
        <v>498539</v>
      </c>
      <c r="AH185" s="62">
        <f t="shared" si="534"/>
        <v>449869</v>
      </c>
      <c r="AI185" s="62">
        <f t="shared" si="534"/>
        <v>403069</v>
      </c>
      <c r="AJ185" s="62">
        <f t="shared" si="534"/>
        <v>562229</v>
      </c>
      <c r="AK185" s="62">
        <f t="shared" si="534"/>
        <v>780929</v>
      </c>
      <c r="AL185" s="62">
        <f t="shared" si="534"/>
        <v>904509</v>
      </c>
      <c r="AM185" s="62">
        <f>AL189</f>
        <v>843749</v>
      </c>
      <c r="AN185" s="62">
        <f t="shared" si="534"/>
        <v>790829</v>
      </c>
      <c r="AO185" s="62">
        <f t="shared" si="534"/>
        <v>736145</v>
      </c>
      <c r="AP185" s="62">
        <f t="shared" si="534"/>
        <v>678365</v>
      </c>
      <c r="AQ185" s="62">
        <f t="shared" si="534"/>
        <v>617822</v>
      </c>
      <c r="AR185" s="62">
        <f t="shared" si="534"/>
        <v>550552</v>
      </c>
      <c r="AS185" s="62">
        <f t="shared" si="534"/>
        <v>488672</v>
      </c>
      <c r="AT185" s="62">
        <f t="shared" si="534"/>
        <v>417992</v>
      </c>
      <c r="AU185" s="62">
        <f t="shared" si="534"/>
        <v>347792</v>
      </c>
      <c r="AV185" s="62">
        <f t="shared" si="534"/>
        <v>483392</v>
      </c>
      <c r="AW185" s="62">
        <f t="shared" si="534"/>
        <v>681392</v>
      </c>
      <c r="AX185" s="62">
        <f t="shared" si="534"/>
        <v>786992</v>
      </c>
      <c r="AY185" s="62">
        <f t="shared" ref="AY185:BJ185" si="535">AX189</f>
        <v>710732</v>
      </c>
      <c r="AZ185" s="62">
        <f t="shared" si="535"/>
        <v>642962</v>
      </c>
      <c r="BA185" s="62">
        <f t="shared" si="535"/>
        <v>568748</v>
      </c>
      <c r="BB185" s="62">
        <f t="shared" si="535"/>
        <v>496118</v>
      </c>
      <c r="BC185" s="62">
        <f t="shared" si="535"/>
        <v>421067</v>
      </c>
      <c r="BD185" s="62">
        <f t="shared" si="535"/>
        <v>337677</v>
      </c>
      <c r="BE185" s="62">
        <f t="shared" si="535"/>
        <v>262357</v>
      </c>
      <c r="BF185" s="62">
        <f t="shared" si="535"/>
        <v>178967</v>
      </c>
      <c r="BG185" s="62">
        <f t="shared" si="535"/>
        <v>98267</v>
      </c>
      <c r="BH185" s="62">
        <f t="shared" si="535"/>
        <v>224877</v>
      </c>
      <c r="BI185" s="62">
        <f t="shared" si="535"/>
        <v>414177</v>
      </c>
      <c r="BJ185" s="62">
        <f t="shared" si="535"/>
        <v>510787</v>
      </c>
    </row>
    <row r="186" spans="2:62" outlineLevel="1">
      <c r="B186" t="s">
        <v>244</v>
      </c>
      <c r="C186" s="62">
        <f>C176</f>
        <v>0</v>
      </c>
      <c r="D186" s="62">
        <f>D176</f>
        <v>0</v>
      </c>
      <c r="E186" s="62">
        <f t="shared" ref="E186:AX186" si="536">E176</f>
        <v>0</v>
      </c>
      <c r="F186" s="62">
        <f t="shared" si="536"/>
        <v>0</v>
      </c>
      <c r="G186" s="62">
        <f t="shared" si="536"/>
        <v>0</v>
      </c>
      <c r="H186" s="62">
        <f t="shared" si="536"/>
        <v>0</v>
      </c>
      <c r="I186" s="62">
        <f t="shared" si="536"/>
        <v>0</v>
      </c>
      <c r="J186" s="62">
        <f t="shared" si="536"/>
        <v>0</v>
      </c>
      <c r="K186" s="62">
        <f>K176</f>
        <v>200000</v>
      </c>
      <c r="L186" s="62">
        <f>L176</f>
        <v>200000</v>
      </c>
      <c r="M186" s="62">
        <f>M176</f>
        <v>0</v>
      </c>
      <c r="N186" s="62">
        <f t="shared" si="536"/>
        <v>0</v>
      </c>
      <c r="O186" s="62">
        <f t="shared" si="536"/>
        <v>0</v>
      </c>
      <c r="P186" s="62">
        <f t="shared" si="536"/>
        <v>0</v>
      </c>
      <c r="Q186" s="62">
        <f t="shared" si="536"/>
        <v>0</v>
      </c>
      <c r="R186" s="62">
        <f t="shared" si="536"/>
        <v>0</v>
      </c>
      <c r="S186" s="62">
        <f t="shared" si="536"/>
        <v>0</v>
      </c>
      <c r="T186" s="62">
        <f t="shared" si="536"/>
        <v>0</v>
      </c>
      <c r="U186" s="62">
        <f t="shared" si="536"/>
        <v>0</v>
      </c>
      <c r="V186" s="62">
        <f t="shared" si="536"/>
        <v>0</v>
      </c>
      <c r="W186" s="62">
        <f t="shared" si="536"/>
        <v>125000</v>
      </c>
      <c r="X186" s="62">
        <f t="shared" si="536"/>
        <v>125000</v>
      </c>
      <c r="Y186" s="62">
        <f t="shared" si="536"/>
        <v>0</v>
      </c>
      <c r="Z186" s="62">
        <f t="shared" si="536"/>
        <v>0</v>
      </c>
      <c r="AA186" s="62">
        <f t="shared" si="536"/>
        <v>0</v>
      </c>
      <c r="AB186" s="62">
        <f t="shared" si="536"/>
        <v>0</v>
      </c>
      <c r="AC186" s="62">
        <f t="shared" si="536"/>
        <v>0</v>
      </c>
      <c r="AD186" s="62">
        <f t="shared" si="536"/>
        <v>0</v>
      </c>
      <c r="AE186" s="62">
        <f t="shared" si="536"/>
        <v>0</v>
      </c>
      <c r="AF186" s="62">
        <f t="shared" si="536"/>
        <v>0</v>
      </c>
      <c r="AG186" s="62">
        <f t="shared" si="536"/>
        <v>0</v>
      </c>
      <c r="AH186" s="62">
        <f t="shared" si="536"/>
        <v>0</v>
      </c>
      <c r="AI186" s="62">
        <f t="shared" si="536"/>
        <v>125000</v>
      </c>
      <c r="AJ186" s="62">
        <f t="shared" si="536"/>
        <v>125000</v>
      </c>
      <c r="AK186" s="62">
        <f t="shared" si="536"/>
        <v>0</v>
      </c>
      <c r="AL186" s="62">
        <f t="shared" si="536"/>
        <v>0</v>
      </c>
      <c r="AM186" s="62">
        <f t="shared" si="536"/>
        <v>0</v>
      </c>
      <c r="AN186" s="62">
        <f t="shared" si="536"/>
        <v>0</v>
      </c>
      <c r="AO186" s="62">
        <f t="shared" si="536"/>
        <v>0</v>
      </c>
      <c r="AP186" s="62">
        <f t="shared" si="536"/>
        <v>0</v>
      </c>
      <c r="AQ186" s="62">
        <f t="shared" si="536"/>
        <v>0</v>
      </c>
      <c r="AR186" s="62">
        <f t="shared" si="536"/>
        <v>0</v>
      </c>
      <c r="AS186" s="62">
        <f t="shared" si="536"/>
        <v>0</v>
      </c>
      <c r="AT186" s="62">
        <f t="shared" si="536"/>
        <v>0</v>
      </c>
      <c r="AU186" s="62">
        <f t="shared" si="536"/>
        <v>125000</v>
      </c>
      <c r="AV186" s="62">
        <f t="shared" si="536"/>
        <v>125000</v>
      </c>
      <c r="AW186" s="62">
        <f t="shared" si="536"/>
        <v>0</v>
      </c>
      <c r="AX186" s="62">
        <f t="shared" si="536"/>
        <v>0</v>
      </c>
      <c r="AY186" s="62">
        <f t="shared" ref="AY186:BJ186" si="537">AY176</f>
        <v>0</v>
      </c>
      <c r="AZ186" s="62">
        <f t="shared" si="537"/>
        <v>0</v>
      </c>
      <c r="BA186" s="62">
        <f t="shared" si="537"/>
        <v>0</v>
      </c>
      <c r="BB186" s="62">
        <f t="shared" si="537"/>
        <v>0</v>
      </c>
      <c r="BC186" s="62">
        <f t="shared" si="537"/>
        <v>0</v>
      </c>
      <c r="BD186" s="62">
        <f t="shared" si="537"/>
        <v>0</v>
      </c>
      <c r="BE186" s="62">
        <f t="shared" si="537"/>
        <v>0</v>
      </c>
      <c r="BF186" s="62">
        <f t="shared" si="537"/>
        <v>0</v>
      </c>
      <c r="BG186" s="62">
        <f t="shared" si="537"/>
        <v>125000</v>
      </c>
      <c r="BH186" s="62">
        <f t="shared" si="537"/>
        <v>125000</v>
      </c>
      <c r="BI186" s="62">
        <f t="shared" si="537"/>
        <v>0</v>
      </c>
      <c r="BJ186" s="62">
        <f t="shared" si="537"/>
        <v>0</v>
      </c>
    </row>
    <row r="187" spans="2:62" outlineLevel="1">
      <c r="B187" t="s">
        <v>285</v>
      </c>
      <c r="C187" s="62">
        <f>C177+C181</f>
        <v>0</v>
      </c>
      <c r="D187" s="62">
        <f>D177+D181</f>
        <v>0</v>
      </c>
      <c r="E187" s="62">
        <f t="shared" ref="E187:AX187" si="538">E177+E181</f>
        <v>0</v>
      </c>
      <c r="F187" s="62">
        <f t="shared" si="538"/>
        <v>0</v>
      </c>
      <c r="G187" s="62">
        <f t="shared" si="538"/>
        <v>0</v>
      </c>
      <c r="H187" s="62">
        <f t="shared" si="538"/>
        <v>0</v>
      </c>
      <c r="I187" s="62">
        <f t="shared" si="538"/>
        <v>0</v>
      </c>
      <c r="J187" s="62">
        <f t="shared" si="538"/>
        <v>0</v>
      </c>
      <c r="K187" s="62">
        <f>K177+K181</f>
        <v>145000</v>
      </c>
      <c r="L187" s="62">
        <f>L177+L181</f>
        <v>145000</v>
      </c>
      <c r="M187" s="62">
        <f>M177+M181</f>
        <v>180000</v>
      </c>
      <c r="N187" s="62">
        <f t="shared" si="538"/>
        <v>0</v>
      </c>
      <c r="O187" s="62">
        <f t="shared" si="538"/>
        <v>0</v>
      </c>
      <c r="P187" s="62">
        <f t="shared" si="538"/>
        <v>0</v>
      </c>
      <c r="Q187" s="62">
        <f t="shared" si="538"/>
        <v>0</v>
      </c>
      <c r="R187" s="62">
        <f t="shared" si="538"/>
        <v>0</v>
      </c>
      <c r="S187" s="62">
        <f t="shared" si="538"/>
        <v>0</v>
      </c>
      <c r="T187" s="62">
        <f t="shared" si="538"/>
        <v>0</v>
      </c>
      <c r="U187" s="62">
        <f t="shared" si="538"/>
        <v>0</v>
      </c>
      <c r="V187" s="62">
        <f t="shared" si="538"/>
        <v>0</v>
      </c>
      <c r="W187" s="62">
        <f t="shared" si="538"/>
        <v>85000</v>
      </c>
      <c r="X187" s="62">
        <f t="shared" si="538"/>
        <v>145000</v>
      </c>
      <c r="Y187" s="62">
        <f t="shared" si="538"/>
        <v>180000</v>
      </c>
      <c r="Z187" s="62">
        <f t="shared" si="538"/>
        <v>0</v>
      </c>
      <c r="AA187" s="62">
        <f t="shared" si="538"/>
        <v>0</v>
      </c>
      <c r="AB187" s="62">
        <f t="shared" si="538"/>
        <v>0</v>
      </c>
      <c r="AC187" s="62">
        <f t="shared" si="538"/>
        <v>0</v>
      </c>
      <c r="AD187" s="62">
        <f t="shared" si="538"/>
        <v>0</v>
      </c>
      <c r="AE187" s="62">
        <f t="shared" si="538"/>
        <v>0</v>
      </c>
      <c r="AF187" s="62">
        <f t="shared" si="538"/>
        <v>0</v>
      </c>
      <c r="AG187" s="62">
        <f t="shared" si="538"/>
        <v>0</v>
      </c>
      <c r="AH187" s="62">
        <f t="shared" si="538"/>
        <v>0</v>
      </c>
      <c r="AI187" s="62">
        <f t="shared" si="538"/>
        <v>85000</v>
      </c>
      <c r="AJ187" s="62">
        <f t="shared" si="538"/>
        <v>145000</v>
      </c>
      <c r="AK187" s="62">
        <f t="shared" si="538"/>
        <v>180000</v>
      </c>
      <c r="AL187" s="62">
        <f t="shared" si="538"/>
        <v>0</v>
      </c>
      <c r="AM187" s="62">
        <f t="shared" si="538"/>
        <v>0</v>
      </c>
      <c r="AN187" s="62">
        <f t="shared" si="538"/>
        <v>0</v>
      </c>
      <c r="AO187" s="62">
        <f t="shared" si="538"/>
        <v>0</v>
      </c>
      <c r="AP187" s="62">
        <f t="shared" si="538"/>
        <v>0</v>
      </c>
      <c r="AQ187" s="62">
        <f t="shared" si="538"/>
        <v>0</v>
      </c>
      <c r="AR187" s="62">
        <f t="shared" si="538"/>
        <v>0</v>
      </c>
      <c r="AS187" s="62">
        <f t="shared" si="538"/>
        <v>0</v>
      </c>
      <c r="AT187" s="62">
        <f t="shared" si="538"/>
        <v>0</v>
      </c>
      <c r="AU187" s="62">
        <f t="shared" si="538"/>
        <v>85000</v>
      </c>
      <c r="AV187" s="62">
        <f t="shared" si="538"/>
        <v>145000</v>
      </c>
      <c r="AW187" s="62">
        <f t="shared" si="538"/>
        <v>180000</v>
      </c>
      <c r="AX187" s="62">
        <f t="shared" si="538"/>
        <v>0</v>
      </c>
      <c r="AY187" s="62">
        <f t="shared" ref="AY187:BJ187" si="539">AY177+AY181</f>
        <v>0</v>
      </c>
      <c r="AZ187" s="62">
        <f t="shared" si="539"/>
        <v>0</v>
      </c>
      <c r="BA187" s="62">
        <f t="shared" si="539"/>
        <v>0</v>
      </c>
      <c r="BB187" s="62">
        <f t="shared" si="539"/>
        <v>0</v>
      </c>
      <c r="BC187" s="62">
        <f t="shared" si="539"/>
        <v>0</v>
      </c>
      <c r="BD187" s="62">
        <f t="shared" si="539"/>
        <v>0</v>
      </c>
      <c r="BE187" s="62">
        <f t="shared" si="539"/>
        <v>0</v>
      </c>
      <c r="BF187" s="62">
        <f t="shared" si="539"/>
        <v>0</v>
      </c>
      <c r="BG187" s="62">
        <f t="shared" si="539"/>
        <v>85000</v>
      </c>
      <c r="BH187" s="62">
        <f t="shared" si="539"/>
        <v>145000</v>
      </c>
      <c r="BI187" s="62">
        <f t="shared" si="539"/>
        <v>180000</v>
      </c>
      <c r="BJ187" s="62">
        <f t="shared" si="539"/>
        <v>0</v>
      </c>
    </row>
    <row r="188" spans="2:62" outlineLevel="1">
      <c r="B188" t="s">
        <v>286</v>
      </c>
      <c r="C188" s="62">
        <f>-C194</f>
        <v>0</v>
      </c>
      <c r="D188" s="62">
        <f t="shared" ref="D188:AX188" si="540">-D194</f>
        <v>0</v>
      </c>
      <c r="E188" s="62">
        <f t="shared" si="540"/>
        <v>0</v>
      </c>
      <c r="F188" s="62">
        <f t="shared" si="540"/>
        <v>0</v>
      </c>
      <c r="G188" s="62">
        <f t="shared" si="540"/>
        <v>0</v>
      </c>
      <c r="H188" s="62">
        <f t="shared" si="540"/>
        <v>0</v>
      </c>
      <c r="I188" s="62">
        <f t="shared" si="540"/>
        <v>0</v>
      </c>
      <c r="J188" s="62">
        <f t="shared" si="540"/>
        <v>0</v>
      </c>
      <c r="K188" s="62">
        <f>-K194</f>
        <v>0</v>
      </c>
      <c r="L188" s="62">
        <f>-L194</f>
        <v>-52200</v>
      </c>
      <c r="M188" s="62">
        <f t="shared" si="540"/>
        <v>-53940</v>
      </c>
      <c r="N188" s="62">
        <f t="shared" si="540"/>
        <v>-55180</v>
      </c>
      <c r="O188" s="62">
        <f t="shared" si="540"/>
        <v>-53100</v>
      </c>
      <c r="P188" s="62">
        <f t="shared" si="540"/>
        <v>-54591</v>
      </c>
      <c r="Q188" s="62">
        <f t="shared" si="540"/>
        <v>-46440</v>
      </c>
      <c r="R188" s="62">
        <f>-R194</f>
        <v>-47151</v>
      </c>
      <c r="S188" s="62">
        <f t="shared" si="540"/>
        <v>-46872</v>
      </c>
      <c r="T188" s="62">
        <f t="shared" si="540"/>
        <v>-46760</v>
      </c>
      <c r="U188" s="62">
        <f t="shared" si="540"/>
        <v>-51770</v>
      </c>
      <c r="V188" s="62">
        <f t="shared" si="540"/>
        <v>-49500</v>
      </c>
      <c r="W188" s="62">
        <f>-W194</f>
        <v>-51150</v>
      </c>
      <c r="X188" s="62">
        <f t="shared" si="540"/>
        <v>-49500</v>
      </c>
      <c r="Y188" s="62">
        <f t="shared" si="540"/>
        <v>-50840</v>
      </c>
      <c r="Z188" s="62">
        <f t="shared" si="540"/>
        <v>-50840</v>
      </c>
      <c r="AA188" s="62">
        <f t="shared" si="540"/>
        <v>-44280</v>
      </c>
      <c r="AB188" s="62">
        <f>-AB194</f>
        <v>-45477</v>
      </c>
      <c r="AC188" s="62">
        <f t="shared" si="540"/>
        <v>-44010</v>
      </c>
      <c r="AD188" s="62">
        <f t="shared" si="540"/>
        <v>-44640</v>
      </c>
      <c r="AE188" s="62">
        <f t="shared" si="540"/>
        <v>-48980</v>
      </c>
      <c r="AF188" s="62">
        <f t="shared" si="540"/>
        <v>-44240</v>
      </c>
      <c r="AG188" s="62">
        <f t="shared" si="540"/>
        <v>-48670</v>
      </c>
      <c r="AH188" s="62">
        <f t="shared" si="540"/>
        <v>-46800</v>
      </c>
      <c r="AI188" s="62">
        <f t="shared" si="540"/>
        <v>-50840</v>
      </c>
      <c r="AJ188" s="62">
        <f t="shared" si="540"/>
        <v>-51300</v>
      </c>
      <c r="AK188" s="62">
        <f t="shared" si="540"/>
        <v>-56420</v>
      </c>
      <c r="AL188" s="62">
        <f t="shared" si="540"/>
        <v>-60760</v>
      </c>
      <c r="AM188" s="62">
        <f t="shared" si="540"/>
        <v>-52920</v>
      </c>
      <c r="AN188" s="62">
        <f t="shared" si="540"/>
        <v>-54684</v>
      </c>
      <c r="AO188" s="62">
        <f t="shared" si="540"/>
        <v>-57780.000000000007</v>
      </c>
      <c r="AP188" s="62">
        <f t="shared" si="540"/>
        <v>-60543.000000000007</v>
      </c>
      <c r="AQ188" s="62">
        <f t="shared" si="540"/>
        <v>-67270</v>
      </c>
      <c r="AR188" s="62">
        <f t="shared" si="540"/>
        <v>-61880</v>
      </c>
      <c r="AS188" s="62">
        <f t="shared" si="540"/>
        <v>-70680</v>
      </c>
      <c r="AT188" s="62">
        <f t="shared" si="540"/>
        <v>-70200</v>
      </c>
      <c r="AU188" s="62">
        <f t="shared" si="540"/>
        <v>-74400</v>
      </c>
      <c r="AV188" s="62">
        <f t="shared" si="540"/>
        <v>-72000</v>
      </c>
      <c r="AW188" s="62">
        <f t="shared" si="540"/>
        <v>-74400</v>
      </c>
      <c r="AX188" s="62">
        <f t="shared" si="540"/>
        <v>-76260</v>
      </c>
      <c r="AY188" s="62">
        <f t="shared" ref="AY188:BJ188" si="541">-AY194</f>
        <v>-67770</v>
      </c>
      <c r="AZ188" s="62">
        <f t="shared" si="541"/>
        <v>-74214</v>
      </c>
      <c r="BA188" s="62">
        <f t="shared" si="541"/>
        <v>-72630</v>
      </c>
      <c r="BB188" s="62">
        <f t="shared" si="541"/>
        <v>-75051</v>
      </c>
      <c r="BC188" s="62">
        <f t="shared" si="541"/>
        <v>-83390</v>
      </c>
      <c r="BD188" s="62">
        <f t="shared" si="541"/>
        <v>-75320</v>
      </c>
      <c r="BE188" s="62">
        <f t="shared" si="541"/>
        <v>-83390</v>
      </c>
      <c r="BF188" s="62">
        <f t="shared" si="541"/>
        <v>-80700</v>
      </c>
      <c r="BG188" s="62">
        <f t="shared" si="541"/>
        <v>-83390</v>
      </c>
      <c r="BH188" s="62">
        <f t="shared" si="541"/>
        <v>-80700</v>
      </c>
      <c r="BI188" s="62">
        <f t="shared" si="541"/>
        <v>-83390</v>
      </c>
      <c r="BJ188" s="62">
        <f t="shared" si="541"/>
        <v>-83390</v>
      </c>
    </row>
    <row r="189" spans="2:62" outlineLevel="1">
      <c r="B189" t="s">
        <v>287</v>
      </c>
      <c r="C189" s="62">
        <f>SUM(C185:C188)</f>
        <v>0</v>
      </c>
      <c r="D189" s="62">
        <f>SUM(D185:D188)</f>
        <v>0</v>
      </c>
      <c r="E189" s="62">
        <f>SUM(E185:E188)</f>
        <v>0</v>
      </c>
      <c r="F189" s="62">
        <f t="shared" ref="F189:AX189" si="542">SUM(F185:F188)</f>
        <v>0</v>
      </c>
      <c r="G189" s="62">
        <f t="shared" si="542"/>
        <v>0</v>
      </c>
      <c r="H189" s="62">
        <f t="shared" si="542"/>
        <v>0</v>
      </c>
      <c r="I189" s="62">
        <f t="shared" si="542"/>
        <v>0</v>
      </c>
      <c r="J189" s="62">
        <f t="shared" si="542"/>
        <v>0</v>
      </c>
      <c r="K189" s="62">
        <f>SUM(K185:K188)</f>
        <v>345000</v>
      </c>
      <c r="L189" s="62">
        <f t="shared" si="542"/>
        <v>637800</v>
      </c>
      <c r="M189" s="62">
        <f t="shared" si="542"/>
        <v>763860</v>
      </c>
      <c r="N189" s="62">
        <f t="shared" si="542"/>
        <v>708680</v>
      </c>
      <c r="O189" s="62">
        <f t="shared" si="542"/>
        <v>655580</v>
      </c>
      <c r="P189" s="62">
        <f t="shared" si="542"/>
        <v>600989</v>
      </c>
      <c r="Q189" s="62">
        <f t="shared" si="542"/>
        <v>554549</v>
      </c>
      <c r="R189" s="62">
        <f t="shared" si="542"/>
        <v>507398</v>
      </c>
      <c r="S189" s="62">
        <f t="shared" si="542"/>
        <v>460526</v>
      </c>
      <c r="T189" s="62">
        <f t="shared" si="542"/>
        <v>413766</v>
      </c>
      <c r="U189" s="62">
        <f t="shared" si="542"/>
        <v>361996</v>
      </c>
      <c r="V189" s="62">
        <f t="shared" si="542"/>
        <v>312496</v>
      </c>
      <c r="W189" s="62">
        <f t="shared" si="542"/>
        <v>471346</v>
      </c>
      <c r="X189" s="62">
        <f t="shared" si="542"/>
        <v>691846</v>
      </c>
      <c r="Y189" s="62">
        <f t="shared" si="542"/>
        <v>821006</v>
      </c>
      <c r="Z189" s="62">
        <f t="shared" si="542"/>
        <v>770166</v>
      </c>
      <c r="AA189" s="62">
        <f t="shared" si="542"/>
        <v>725886</v>
      </c>
      <c r="AB189" s="62">
        <f t="shared" si="542"/>
        <v>680409</v>
      </c>
      <c r="AC189" s="62">
        <f t="shared" si="542"/>
        <v>636399</v>
      </c>
      <c r="AD189" s="62">
        <f t="shared" si="542"/>
        <v>591759</v>
      </c>
      <c r="AE189" s="62">
        <f t="shared" si="542"/>
        <v>542779</v>
      </c>
      <c r="AF189" s="62">
        <f t="shared" si="542"/>
        <v>498539</v>
      </c>
      <c r="AG189" s="62">
        <f t="shared" si="542"/>
        <v>449869</v>
      </c>
      <c r="AH189" s="62">
        <f t="shared" si="542"/>
        <v>403069</v>
      </c>
      <c r="AI189" s="62">
        <f t="shared" si="542"/>
        <v>562229</v>
      </c>
      <c r="AJ189" s="62">
        <f t="shared" si="542"/>
        <v>780929</v>
      </c>
      <c r="AK189" s="62">
        <f t="shared" si="542"/>
        <v>904509</v>
      </c>
      <c r="AL189" s="62">
        <f t="shared" si="542"/>
        <v>843749</v>
      </c>
      <c r="AM189" s="62">
        <f t="shared" si="542"/>
        <v>790829</v>
      </c>
      <c r="AN189" s="62">
        <f t="shared" si="542"/>
        <v>736145</v>
      </c>
      <c r="AO189" s="62">
        <f t="shared" si="542"/>
        <v>678365</v>
      </c>
      <c r="AP189" s="62">
        <f t="shared" si="542"/>
        <v>617822</v>
      </c>
      <c r="AQ189" s="62">
        <f t="shared" si="542"/>
        <v>550552</v>
      </c>
      <c r="AR189" s="62">
        <f t="shared" si="542"/>
        <v>488672</v>
      </c>
      <c r="AS189" s="62">
        <f t="shared" si="542"/>
        <v>417992</v>
      </c>
      <c r="AT189" s="62">
        <f t="shared" si="542"/>
        <v>347792</v>
      </c>
      <c r="AU189" s="62">
        <f t="shared" si="542"/>
        <v>483392</v>
      </c>
      <c r="AV189" s="62">
        <f t="shared" si="542"/>
        <v>681392</v>
      </c>
      <c r="AW189" s="62">
        <f t="shared" si="542"/>
        <v>786992</v>
      </c>
      <c r="AX189" s="62">
        <f t="shared" si="542"/>
        <v>710732</v>
      </c>
      <c r="AY189" s="62">
        <f t="shared" ref="AY189:BJ189" si="543">SUM(AY185:AY188)</f>
        <v>642962</v>
      </c>
      <c r="AZ189" s="62">
        <f t="shared" si="543"/>
        <v>568748</v>
      </c>
      <c r="BA189" s="62">
        <f t="shared" si="543"/>
        <v>496118</v>
      </c>
      <c r="BB189" s="62">
        <f t="shared" si="543"/>
        <v>421067</v>
      </c>
      <c r="BC189" s="62">
        <f t="shared" si="543"/>
        <v>337677</v>
      </c>
      <c r="BD189" s="62">
        <f t="shared" si="543"/>
        <v>262357</v>
      </c>
      <c r="BE189" s="62">
        <f t="shared" si="543"/>
        <v>178967</v>
      </c>
      <c r="BF189" s="62">
        <f t="shared" si="543"/>
        <v>98267</v>
      </c>
      <c r="BG189" s="62">
        <f t="shared" si="543"/>
        <v>224877</v>
      </c>
      <c r="BH189" s="62">
        <f t="shared" si="543"/>
        <v>414177</v>
      </c>
      <c r="BI189" s="62">
        <f t="shared" si="543"/>
        <v>510787</v>
      </c>
      <c r="BJ189" s="62">
        <f t="shared" si="543"/>
        <v>427397</v>
      </c>
    </row>
    <row r="190" spans="2:62" outlineLevel="1"/>
    <row r="191" spans="2:62" outlineLevel="1"/>
    <row r="192" spans="2:62" outlineLevel="1">
      <c r="B192" s="54" t="s">
        <v>240</v>
      </c>
    </row>
    <row r="193" spans="2:62" outlineLevel="1">
      <c r="B193" t="s">
        <v>288</v>
      </c>
      <c r="C193" s="62">
        <f t="shared" ref="C193:K193" si="544">C165</f>
        <v>104109</v>
      </c>
      <c r="D193" s="62">
        <f t="shared" si="544"/>
        <v>118243.3</v>
      </c>
      <c r="E193" s="62">
        <f t="shared" si="544"/>
        <v>102660</v>
      </c>
      <c r="F193" s="62">
        <f t="shared" si="544"/>
        <v>88822.75</v>
      </c>
      <c r="G193" s="62">
        <f t="shared" si="544"/>
        <v>88884.75</v>
      </c>
      <c r="H193" s="62">
        <f t="shared" si="544"/>
        <v>55337.8</v>
      </c>
      <c r="I193" s="62">
        <f t="shared" si="544"/>
        <v>55249.75</v>
      </c>
      <c r="J193" s="62">
        <f t="shared" si="544"/>
        <v>52567.5</v>
      </c>
      <c r="K193" s="62">
        <f t="shared" si="544"/>
        <v>54319.75</v>
      </c>
      <c r="L193" s="62">
        <f>L165</f>
        <v>59085</v>
      </c>
      <c r="M193" s="62">
        <f t="shared" ref="M193:AX193" si="545">M165</f>
        <v>57714.25</v>
      </c>
      <c r="N193" s="62">
        <f t="shared" si="545"/>
        <v>62100.75</v>
      </c>
      <c r="O193" s="62">
        <f t="shared" si="545"/>
        <v>58065</v>
      </c>
      <c r="P193" s="62">
        <f>P165</f>
        <v>55567.5</v>
      </c>
      <c r="Q193" s="62">
        <f t="shared" si="545"/>
        <v>48060</v>
      </c>
      <c r="R193" s="62">
        <f t="shared" si="545"/>
        <v>48848.25</v>
      </c>
      <c r="S193" s="62">
        <f t="shared" si="545"/>
        <v>48077.9</v>
      </c>
      <c r="T193" s="62">
        <f t="shared" si="545"/>
        <v>48342</v>
      </c>
      <c r="U193" s="62">
        <f t="shared" si="545"/>
        <v>56630.8</v>
      </c>
      <c r="V193" s="62">
        <f t="shared" si="545"/>
        <v>56433</v>
      </c>
      <c r="W193" s="62">
        <f t="shared" si="545"/>
        <v>56562.6</v>
      </c>
      <c r="X193" s="62">
        <f t="shared" si="545"/>
        <v>58086</v>
      </c>
      <c r="Y193" s="62">
        <f t="shared" si="545"/>
        <v>50991.9</v>
      </c>
      <c r="Z193" s="62">
        <f t="shared" si="545"/>
        <v>67880.7</v>
      </c>
      <c r="AA193" s="62">
        <f>AA165</f>
        <v>55215</v>
      </c>
      <c r="AB193" s="62">
        <f t="shared" si="545"/>
        <v>61664.579999999994</v>
      </c>
      <c r="AC193" s="62">
        <f t="shared" si="545"/>
        <v>57112.800000000003</v>
      </c>
      <c r="AD193" s="62">
        <f t="shared" si="545"/>
        <v>54276.66</v>
      </c>
      <c r="AE193" s="62">
        <f t="shared" si="545"/>
        <v>56584.92</v>
      </c>
      <c r="AF193" s="62">
        <f t="shared" si="545"/>
        <v>48170.64</v>
      </c>
      <c r="AG193" s="62">
        <f t="shared" si="545"/>
        <v>54289.06</v>
      </c>
      <c r="AH193" s="62">
        <f t="shared" si="545"/>
        <v>55040.4</v>
      </c>
      <c r="AI193" s="62">
        <f t="shared" si="545"/>
        <v>57210.5</v>
      </c>
      <c r="AJ193" s="62">
        <f t="shared" si="545"/>
        <v>58809</v>
      </c>
      <c r="AK193" s="62">
        <f t="shared" si="545"/>
        <v>67077.8</v>
      </c>
      <c r="AL193" s="62">
        <f t="shared" si="545"/>
        <v>71321.7</v>
      </c>
      <c r="AM193" s="62">
        <f t="shared" si="545"/>
        <v>68319</v>
      </c>
      <c r="AN193" s="62">
        <f t="shared" si="545"/>
        <v>72980.820000000007</v>
      </c>
      <c r="AO193" s="62">
        <f t="shared" si="545"/>
        <v>72938.100000000006</v>
      </c>
      <c r="AP193" s="62">
        <f t="shared" si="545"/>
        <v>69815.100000000006</v>
      </c>
      <c r="AQ193" s="62">
        <f t="shared" si="545"/>
        <v>73104.819999999992</v>
      </c>
      <c r="AR193" s="62">
        <f t="shared" si="545"/>
        <v>63865.760000000002</v>
      </c>
      <c r="AS193" s="62">
        <f t="shared" si="545"/>
        <v>72931.22</v>
      </c>
      <c r="AT193" s="62">
        <f t="shared" si="545"/>
        <v>73587.48</v>
      </c>
      <c r="AU193" s="62">
        <f t="shared" si="545"/>
        <v>78893.77377777778</v>
      </c>
      <c r="AV193" s="62">
        <f>AV165</f>
        <v>77245.379122807019</v>
      </c>
      <c r="AW193" s="62">
        <f>AW165</f>
        <v>82954.821093567254</v>
      </c>
      <c r="AX193" s="62">
        <f t="shared" si="545"/>
        <v>85471.425204678366</v>
      </c>
      <c r="AY193" s="62">
        <f t="shared" ref="AY193:BJ193" si="546">AY165</f>
        <v>78251.860701754384</v>
      </c>
      <c r="AZ193" s="62">
        <f t="shared" si="546"/>
        <v>84493.011927033484</v>
      </c>
      <c r="BA193" s="62">
        <f t="shared" si="546"/>
        <v>76535.629844497598</v>
      </c>
      <c r="BB193" s="62">
        <f t="shared" si="546"/>
        <v>75653.370084928232</v>
      </c>
      <c r="BC193" s="62">
        <f t="shared" si="546"/>
        <v>84018.39169258374</v>
      </c>
      <c r="BD193" s="62">
        <f t="shared" si="546"/>
        <v>75964.502081686427</v>
      </c>
      <c r="BE193" s="62">
        <f t="shared" si="546"/>
        <v>83678.12700533944</v>
      </c>
      <c r="BF193" s="62">
        <f t="shared" si="546"/>
        <v>83111.851533180787</v>
      </c>
      <c r="BG193" s="62">
        <f t="shared" si="546"/>
        <v>87456.911393667455</v>
      </c>
      <c r="BH193" s="62">
        <f t="shared" si="546"/>
        <v>85829.139696684171</v>
      </c>
      <c r="BI193" s="62">
        <f t="shared" si="546"/>
        <v>91355.068701066397</v>
      </c>
      <c r="BJ193" s="62">
        <f t="shared" si="546"/>
        <v>91401.62421740625</v>
      </c>
    </row>
    <row r="194" spans="2:62" outlineLevel="1">
      <c r="B194" t="s">
        <v>178</v>
      </c>
      <c r="C194" s="62">
        <f t="shared" ref="C194:K194" si="547">IF(C185&lt;=0,0,C161-C162)</f>
        <v>0</v>
      </c>
      <c r="D194" s="62">
        <f t="shared" si="547"/>
        <v>0</v>
      </c>
      <c r="E194" s="62">
        <f t="shared" si="547"/>
        <v>0</v>
      </c>
      <c r="F194" s="62">
        <f t="shared" si="547"/>
        <v>0</v>
      </c>
      <c r="G194" s="62">
        <f t="shared" si="547"/>
        <v>0</v>
      </c>
      <c r="H194" s="62">
        <f t="shared" si="547"/>
        <v>0</v>
      </c>
      <c r="I194" s="62">
        <f t="shared" si="547"/>
        <v>0</v>
      </c>
      <c r="J194" s="62">
        <f t="shared" si="547"/>
        <v>0</v>
      </c>
      <c r="K194" s="62">
        <f t="shared" si="547"/>
        <v>0</v>
      </c>
      <c r="L194" s="62">
        <f>IF(L185&lt;=0,0,L165-L203-L205)</f>
        <v>52200</v>
      </c>
      <c r="M194" s="62">
        <f t="shared" ref="M194:AX194" si="548">IF(M185&lt;=0,0,M165-M203-M205)</f>
        <v>53940</v>
      </c>
      <c r="N194" s="62">
        <f t="shared" si="548"/>
        <v>55180</v>
      </c>
      <c r="O194" s="62">
        <f t="shared" si="548"/>
        <v>53100</v>
      </c>
      <c r="P194" s="62">
        <f>IF(P185&lt;=0,0,P165-P203-P205)</f>
        <v>54591</v>
      </c>
      <c r="Q194" s="62">
        <f t="shared" si="548"/>
        <v>46440</v>
      </c>
      <c r="R194" s="62">
        <f t="shared" si="548"/>
        <v>47151</v>
      </c>
      <c r="S194" s="62">
        <f t="shared" si="548"/>
        <v>46872</v>
      </c>
      <c r="T194" s="62">
        <f t="shared" si="548"/>
        <v>46760</v>
      </c>
      <c r="U194" s="62">
        <f t="shared" si="548"/>
        <v>51770</v>
      </c>
      <c r="V194" s="62">
        <f t="shared" si="548"/>
        <v>49500</v>
      </c>
      <c r="W194" s="62">
        <f t="shared" si="548"/>
        <v>51150</v>
      </c>
      <c r="X194" s="62">
        <f t="shared" si="548"/>
        <v>49500</v>
      </c>
      <c r="Y194" s="62">
        <f t="shared" si="548"/>
        <v>50840</v>
      </c>
      <c r="Z194" s="62">
        <f t="shared" si="548"/>
        <v>50840</v>
      </c>
      <c r="AA194" s="62">
        <f t="shared" si="548"/>
        <v>44280</v>
      </c>
      <c r="AB194" s="62">
        <f>IF(AB185&lt;=0,0,AB165-AB203-AB205)</f>
        <v>45477</v>
      </c>
      <c r="AC194" s="62">
        <f t="shared" si="548"/>
        <v>44010</v>
      </c>
      <c r="AD194" s="62">
        <f t="shared" si="548"/>
        <v>44640</v>
      </c>
      <c r="AE194" s="62">
        <f t="shared" si="548"/>
        <v>48980</v>
      </c>
      <c r="AF194" s="62">
        <f t="shared" si="548"/>
        <v>44240</v>
      </c>
      <c r="AG194" s="62">
        <f t="shared" si="548"/>
        <v>48670</v>
      </c>
      <c r="AH194" s="62">
        <f t="shared" si="548"/>
        <v>46800</v>
      </c>
      <c r="AI194" s="62">
        <f t="shared" si="548"/>
        <v>50840</v>
      </c>
      <c r="AJ194" s="62">
        <f t="shared" si="548"/>
        <v>51300</v>
      </c>
      <c r="AK194" s="62">
        <f t="shared" si="548"/>
        <v>56420</v>
      </c>
      <c r="AL194" s="62">
        <f t="shared" si="548"/>
        <v>60760</v>
      </c>
      <c r="AM194" s="62">
        <f t="shared" si="548"/>
        <v>52920</v>
      </c>
      <c r="AN194" s="62">
        <f t="shared" si="548"/>
        <v>54684</v>
      </c>
      <c r="AO194" s="62">
        <f t="shared" si="548"/>
        <v>57780.000000000007</v>
      </c>
      <c r="AP194" s="62">
        <f t="shared" si="548"/>
        <v>60543.000000000007</v>
      </c>
      <c r="AQ194" s="62">
        <f t="shared" si="548"/>
        <v>67270</v>
      </c>
      <c r="AR194" s="62">
        <f t="shared" si="548"/>
        <v>61880</v>
      </c>
      <c r="AS194" s="62">
        <f t="shared" si="548"/>
        <v>70680</v>
      </c>
      <c r="AT194" s="62">
        <f t="shared" si="548"/>
        <v>70200</v>
      </c>
      <c r="AU194" s="62">
        <f t="shared" si="548"/>
        <v>74400</v>
      </c>
      <c r="AV194" s="62">
        <f t="shared" si="548"/>
        <v>72000</v>
      </c>
      <c r="AW194" s="62">
        <f t="shared" si="548"/>
        <v>74400</v>
      </c>
      <c r="AX194" s="62">
        <f t="shared" si="548"/>
        <v>76260</v>
      </c>
      <c r="AY194" s="62">
        <f t="shared" ref="AY194:BJ194" si="549">IF(AY185&lt;=0,0,AY165-AY203-AY205)</f>
        <v>67770</v>
      </c>
      <c r="AZ194" s="62">
        <f t="shared" si="549"/>
        <v>74214</v>
      </c>
      <c r="BA194" s="62">
        <f t="shared" si="549"/>
        <v>72630</v>
      </c>
      <c r="BB194" s="62">
        <f t="shared" si="549"/>
        <v>75051</v>
      </c>
      <c r="BC194" s="62">
        <f t="shared" si="549"/>
        <v>83390</v>
      </c>
      <c r="BD194" s="62">
        <f t="shared" si="549"/>
        <v>75320</v>
      </c>
      <c r="BE194" s="62">
        <f t="shared" si="549"/>
        <v>83390</v>
      </c>
      <c r="BF194" s="62">
        <f t="shared" si="549"/>
        <v>80700</v>
      </c>
      <c r="BG194" s="62">
        <f t="shared" si="549"/>
        <v>83390</v>
      </c>
      <c r="BH194" s="62">
        <f t="shared" si="549"/>
        <v>80700</v>
      </c>
      <c r="BI194" s="62">
        <f t="shared" si="549"/>
        <v>83390</v>
      </c>
      <c r="BJ194" s="62">
        <f t="shared" si="549"/>
        <v>83390</v>
      </c>
    </row>
    <row r="195" spans="2:62" outlineLevel="1">
      <c r="B195" t="str">
        <f>+B291</f>
        <v>Cereal</v>
      </c>
      <c r="C195" s="62">
        <f>IF(C194=0,C193*C196,0)</f>
        <v>20821.800000000003</v>
      </c>
      <c r="D195" s="62">
        <f t="shared" ref="D195:AX195" si="550">IF(D194=0,D193*D196,0)</f>
        <v>23648.660000000003</v>
      </c>
      <c r="E195" s="62">
        <f t="shared" si="550"/>
        <v>20532</v>
      </c>
      <c r="F195" s="62">
        <f t="shared" si="550"/>
        <v>17764.55</v>
      </c>
      <c r="G195" s="62">
        <f t="shared" si="550"/>
        <v>17776.95</v>
      </c>
      <c r="H195" s="62">
        <f t="shared" si="550"/>
        <v>11067.560000000001</v>
      </c>
      <c r="I195" s="62">
        <f t="shared" si="550"/>
        <v>11049.95</v>
      </c>
      <c r="J195" s="62">
        <f t="shared" si="550"/>
        <v>10513.5</v>
      </c>
      <c r="K195" s="62">
        <f t="shared" si="550"/>
        <v>10863.95</v>
      </c>
      <c r="L195" s="62">
        <f t="shared" si="550"/>
        <v>0</v>
      </c>
      <c r="M195" s="62">
        <f t="shared" si="550"/>
        <v>0</v>
      </c>
      <c r="N195" s="62">
        <f t="shared" si="550"/>
        <v>0</v>
      </c>
      <c r="O195" s="62">
        <f t="shared" si="550"/>
        <v>0</v>
      </c>
      <c r="P195" s="62">
        <f t="shared" si="550"/>
        <v>0</v>
      </c>
      <c r="Q195" s="62">
        <f t="shared" si="550"/>
        <v>0</v>
      </c>
      <c r="R195" s="62">
        <f t="shared" si="550"/>
        <v>0</v>
      </c>
      <c r="S195" s="62">
        <f t="shared" si="550"/>
        <v>0</v>
      </c>
      <c r="T195" s="62">
        <f t="shared" si="550"/>
        <v>0</v>
      </c>
      <c r="U195" s="62">
        <f t="shared" si="550"/>
        <v>0</v>
      </c>
      <c r="V195" s="62">
        <f t="shared" si="550"/>
        <v>0</v>
      </c>
      <c r="W195" s="62">
        <f t="shared" si="550"/>
        <v>0</v>
      </c>
      <c r="X195" s="62">
        <f t="shared" si="550"/>
        <v>0</v>
      </c>
      <c r="Y195" s="62">
        <f t="shared" si="550"/>
        <v>0</v>
      </c>
      <c r="Z195" s="62">
        <f t="shared" si="550"/>
        <v>0</v>
      </c>
      <c r="AA195" s="62">
        <f t="shared" si="550"/>
        <v>0</v>
      </c>
      <c r="AB195" s="62">
        <f t="shared" si="550"/>
        <v>0</v>
      </c>
      <c r="AC195" s="62">
        <f t="shared" si="550"/>
        <v>0</v>
      </c>
      <c r="AD195" s="62">
        <f t="shared" si="550"/>
        <v>0</v>
      </c>
      <c r="AE195" s="62">
        <f t="shared" si="550"/>
        <v>0</v>
      </c>
      <c r="AF195" s="62">
        <f t="shared" si="550"/>
        <v>0</v>
      </c>
      <c r="AG195" s="62">
        <f t="shared" si="550"/>
        <v>0</v>
      </c>
      <c r="AH195" s="62">
        <f t="shared" si="550"/>
        <v>0</v>
      </c>
      <c r="AI195" s="62">
        <f t="shared" si="550"/>
        <v>0</v>
      </c>
      <c r="AJ195" s="62">
        <f t="shared" si="550"/>
        <v>0</v>
      </c>
      <c r="AK195" s="62">
        <f t="shared" si="550"/>
        <v>0</v>
      </c>
      <c r="AL195" s="62">
        <f t="shared" si="550"/>
        <v>0</v>
      </c>
      <c r="AM195" s="62">
        <f t="shared" si="550"/>
        <v>0</v>
      </c>
      <c r="AN195" s="62">
        <f t="shared" si="550"/>
        <v>0</v>
      </c>
      <c r="AO195" s="62">
        <f t="shared" si="550"/>
        <v>0</v>
      </c>
      <c r="AP195" s="62">
        <f t="shared" si="550"/>
        <v>0</v>
      </c>
      <c r="AQ195" s="62">
        <f t="shared" si="550"/>
        <v>0</v>
      </c>
      <c r="AR195" s="62">
        <f t="shared" si="550"/>
        <v>0</v>
      </c>
      <c r="AS195" s="62">
        <f t="shared" si="550"/>
        <v>0</v>
      </c>
      <c r="AT195" s="62">
        <f t="shared" si="550"/>
        <v>0</v>
      </c>
      <c r="AU195" s="62">
        <f t="shared" si="550"/>
        <v>0</v>
      </c>
      <c r="AV195" s="62">
        <f t="shared" si="550"/>
        <v>0</v>
      </c>
      <c r="AW195" s="62">
        <f t="shared" si="550"/>
        <v>0</v>
      </c>
      <c r="AX195" s="62">
        <f t="shared" si="550"/>
        <v>0</v>
      </c>
      <c r="AY195" s="62">
        <f t="shared" ref="AY195:BJ195" si="551">IF(AY194=0,AY193*AY196,0)</f>
        <v>0</v>
      </c>
      <c r="AZ195" s="62">
        <f t="shared" si="551"/>
        <v>0</v>
      </c>
      <c r="BA195" s="62">
        <f t="shared" si="551"/>
        <v>0</v>
      </c>
      <c r="BB195" s="62">
        <f t="shared" si="551"/>
        <v>0</v>
      </c>
      <c r="BC195" s="62">
        <f t="shared" si="551"/>
        <v>0</v>
      </c>
      <c r="BD195" s="62">
        <f t="shared" si="551"/>
        <v>0</v>
      </c>
      <c r="BE195" s="62">
        <f t="shared" si="551"/>
        <v>0</v>
      </c>
      <c r="BF195" s="62">
        <f t="shared" si="551"/>
        <v>0</v>
      </c>
      <c r="BG195" s="62">
        <f t="shared" si="551"/>
        <v>0</v>
      </c>
      <c r="BH195" s="62">
        <f t="shared" si="551"/>
        <v>0</v>
      </c>
      <c r="BI195" s="62">
        <f t="shared" si="551"/>
        <v>0</v>
      </c>
      <c r="BJ195" s="62">
        <f t="shared" si="551"/>
        <v>0</v>
      </c>
    </row>
    <row r="196" spans="2:62" outlineLevel="1">
      <c r="C196" s="63">
        <v>0.2</v>
      </c>
      <c r="D196" s="63">
        <v>0.2</v>
      </c>
      <c r="E196" s="63">
        <v>0.2</v>
      </c>
      <c r="F196" s="63">
        <v>0.2</v>
      </c>
      <c r="G196" s="63">
        <v>0.2</v>
      </c>
      <c r="H196" s="63">
        <v>0.2</v>
      </c>
      <c r="I196" s="63">
        <v>0.2</v>
      </c>
      <c r="J196" s="63">
        <v>0.2</v>
      </c>
      <c r="K196" s="458">
        <v>0.2</v>
      </c>
      <c r="L196" s="458"/>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row>
    <row r="197" spans="2:62" outlineLevel="1">
      <c r="B197" t="str">
        <f>+B292</f>
        <v>Leguminosa</v>
      </c>
      <c r="C197" s="62">
        <f>IF(C194=0,C193*C198,0)</f>
        <v>31232.699999999997</v>
      </c>
      <c r="D197" s="62">
        <f t="shared" ref="D197:K197" si="552">IF(D194=0,D193*D198,0)</f>
        <v>35472.99</v>
      </c>
      <c r="E197" s="62">
        <f t="shared" si="552"/>
        <v>30798</v>
      </c>
      <c r="F197" s="62">
        <f t="shared" si="552"/>
        <v>26646.825000000001</v>
      </c>
      <c r="G197" s="62">
        <f t="shared" si="552"/>
        <v>26665.424999999999</v>
      </c>
      <c r="H197" s="62">
        <f t="shared" si="552"/>
        <v>16601.34</v>
      </c>
      <c r="I197" s="62">
        <f t="shared" si="552"/>
        <v>16574.924999999999</v>
      </c>
      <c r="J197" s="62">
        <f t="shared" si="552"/>
        <v>15770.25</v>
      </c>
      <c r="K197" s="62">
        <f t="shared" si="552"/>
        <v>16295.924999999999</v>
      </c>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row>
    <row r="198" spans="2:62" outlineLevel="1">
      <c r="C198" s="63">
        <v>0.3</v>
      </c>
      <c r="D198" s="63">
        <v>0.3</v>
      </c>
      <c r="E198" s="63">
        <v>0.3</v>
      </c>
      <c r="F198" s="63">
        <v>0.3</v>
      </c>
      <c r="G198" s="63">
        <v>0.3</v>
      </c>
      <c r="H198" s="63">
        <v>0.3</v>
      </c>
      <c r="I198" s="63">
        <v>0.3</v>
      </c>
      <c r="J198" s="63">
        <v>0.3</v>
      </c>
      <c r="K198" s="458">
        <v>0.3</v>
      </c>
      <c r="L198" s="458"/>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row>
    <row r="199" spans="2:62" outlineLevel="1">
      <c r="B199" t="str">
        <f>+B293</f>
        <v>Paja y otras fibras</v>
      </c>
      <c r="C199" s="62">
        <f>IF(C194=0,C193*C200,0)</f>
        <v>52054.5</v>
      </c>
      <c r="D199" s="62">
        <f>IF(D194=0,D193*D200,0)</f>
        <v>59121.65</v>
      </c>
      <c r="E199" s="62">
        <f>IF(E194=0,E193*E200,0)</f>
        <v>51330</v>
      </c>
      <c r="F199" s="62">
        <f t="shared" ref="F199:K199" si="553">IF(F194=0,F193*F200,0)</f>
        <v>44411.375</v>
      </c>
      <c r="G199" s="62">
        <f t="shared" si="553"/>
        <v>44442.375</v>
      </c>
      <c r="H199" s="62">
        <f t="shared" si="553"/>
        <v>27668.9</v>
      </c>
      <c r="I199" s="62">
        <f t="shared" si="553"/>
        <v>27624.875</v>
      </c>
      <c r="J199" s="62">
        <f t="shared" si="553"/>
        <v>26283.75</v>
      </c>
      <c r="K199" s="62">
        <f t="shared" si="553"/>
        <v>27159.875</v>
      </c>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row>
    <row r="200" spans="2:62" outlineLevel="1">
      <c r="C200" s="63">
        <v>0.5</v>
      </c>
      <c r="D200" s="63">
        <v>0.5</v>
      </c>
      <c r="E200" s="63">
        <v>0.5</v>
      </c>
      <c r="F200" s="63">
        <v>0.5</v>
      </c>
      <c r="G200" s="63">
        <v>0.5</v>
      </c>
      <c r="H200" s="63">
        <v>0.5</v>
      </c>
      <c r="I200" s="63">
        <v>0.5</v>
      </c>
      <c r="J200" s="63">
        <v>0.5</v>
      </c>
      <c r="K200" s="458">
        <v>0.5</v>
      </c>
      <c r="L200" s="458"/>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row>
    <row r="201" spans="2:62" outlineLevel="1">
      <c r="B201" t="str">
        <f>+B294</f>
        <v>Heno</v>
      </c>
      <c r="C201" s="62">
        <f>IF(C194=0,C193*C202,0)</f>
        <v>0</v>
      </c>
      <c r="D201" s="62">
        <f t="shared" ref="D201:K201" si="554">IF(D194=0,D193*D202,0)</f>
        <v>0</v>
      </c>
      <c r="E201" s="62">
        <f t="shared" si="554"/>
        <v>0</v>
      </c>
      <c r="F201" s="62">
        <f t="shared" si="554"/>
        <v>0</v>
      </c>
      <c r="G201" s="62">
        <f t="shared" si="554"/>
        <v>0</v>
      </c>
      <c r="H201" s="62">
        <f t="shared" si="554"/>
        <v>0</v>
      </c>
      <c r="I201" s="62">
        <f t="shared" si="554"/>
        <v>0</v>
      </c>
      <c r="J201" s="62">
        <f t="shared" si="554"/>
        <v>0</v>
      </c>
      <c r="K201" s="62">
        <f t="shared" si="554"/>
        <v>0</v>
      </c>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row>
    <row r="202" spans="2:62" outlineLevel="1">
      <c r="C202" s="63">
        <v>0</v>
      </c>
      <c r="D202" s="63">
        <v>0</v>
      </c>
      <c r="E202" s="63">
        <v>0</v>
      </c>
      <c r="F202" s="63">
        <v>0</v>
      </c>
      <c r="G202" s="63">
        <v>0</v>
      </c>
      <c r="H202" s="63">
        <v>0</v>
      </c>
      <c r="I202" s="63">
        <v>0</v>
      </c>
      <c r="J202" s="63">
        <v>0</v>
      </c>
      <c r="K202" s="458">
        <v>0</v>
      </c>
      <c r="L202" s="458"/>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row>
    <row r="203" spans="2:62" outlineLevel="1">
      <c r="B203" t="s">
        <v>430</v>
      </c>
      <c r="C203" s="62">
        <f t="shared" ref="C203:F203" si="555">+C204*C193</f>
        <v>0</v>
      </c>
      <c r="D203" s="62">
        <f t="shared" si="555"/>
        <v>0</v>
      </c>
      <c r="E203" s="62">
        <f t="shared" si="555"/>
        <v>150</v>
      </c>
      <c r="F203" s="62">
        <f t="shared" si="555"/>
        <v>193.75</v>
      </c>
      <c r="G203" s="62">
        <f>+G204*G193</f>
        <v>255.75</v>
      </c>
      <c r="H203" s="62">
        <f t="shared" ref="H203:AX203" si="556">+H204*H193</f>
        <v>385</v>
      </c>
      <c r="I203" s="62">
        <f t="shared" si="556"/>
        <v>379.75</v>
      </c>
      <c r="J203" s="62">
        <f t="shared" si="556"/>
        <v>367.5</v>
      </c>
      <c r="K203" s="62">
        <f t="shared" si="556"/>
        <v>379.75</v>
      </c>
      <c r="L203" s="62">
        <f t="shared" si="556"/>
        <v>225</v>
      </c>
      <c r="M203" s="62">
        <f t="shared" si="556"/>
        <v>240.24999999999997</v>
      </c>
      <c r="N203" s="62">
        <f t="shared" si="556"/>
        <v>224.75</v>
      </c>
      <c r="O203" s="62">
        <f t="shared" si="556"/>
        <v>105</v>
      </c>
      <c r="P203" s="62">
        <f>+P204*P193</f>
        <v>46.5</v>
      </c>
      <c r="Q203" s="62">
        <f>+Q204*Q193</f>
        <v>120</v>
      </c>
      <c r="R203" s="62">
        <f t="shared" si="556"/>
        <v>147.25</v>
      </c>
      <c r="S203" s="62">
        <f t="shared" si="556"/>
        <v>120.9</v>
      </c>
      <c r="T203" s="62">
        <f t="shared" si="556"/>
        <v>182</v>
      </c>
      <c r="U203" s="62">
        <f t="shared" si="556"/>
        <v>210.8</v>
      </c>
      <c r="V203" s="62">
        <f t="shared" si="556"/>
        <v>183.00000000000003</v>
      </c>
      <c r="W203" s="62">
        <f t="shared" si="556"/>
        <v>142.60000000000002</v>
      </c>
      <c r="X203" s="62">
        <f t="shared" si="556"/>
        <v>186</v>
      </c>
      <c r="Y203" s="62">
        <f t="shared" si="556"/>
        <v>151.9</v>
      </c>
      <c r="Z203" s="62">
        <f t="shared" si="556"/>
        <v>114.7</v>
      </c>
      <c r="AA203" s="62">
        <f t="shared" si="556"/>
        <v>87.000000000000014</v>
      </c>
      <c r="AB203" s="62">
        <f>+AB204*AB193</f>
        <v>80.600000000000009</v>
      </c>
      <c r="AC203" s="62">
        <f t="shared" si="556"/>
        <v>84.000000000000014</v>
      </c>
      <c r="AD203" s="62">
        <f t="shared" si="556"/>
        <v>0</v>
      </c>
      <c r="AE203" s="62">
        <f t="shared" si="556"/>
        <v>0</v>
      </c>
      <c r="AF203" s="62">
        <f t="shared" si="556"/>
        <v>0</v>
      </c>
      <c r="AG203" s="62">
        <f t="shared" si="556"/>
        <v>0</v>
      </c>
      <c r="AH203" s="62">
        <f t="shared" si="556"/>
        <v>0</v>
      </c>
      <c r="AI203" s="62">
        <f t="shared" si="556"/>
        <v>0</v>
      </c>
      <c r="AJ203" s="62">
        <f t="shared" si="556"/>
        <v>249.00000000000003</v>
      </c>
      <c r="AK203" s="62">
        <f t="shared" si="556"/>
        <v>210.8</v>
      </c>
      <c r="AL203" s="62">
        <f t="shared" si="556"/>
        <v>176.70000000000002</v>
      </c>
      <c r="AM203" s="62">
        <f t="shared" si="556"/>
        <v>144.00000000000003</v>
      </c>
      <c r="AN203" s="62">
        <f t="shared" si="556"/>
        <v>71.300000000000011</v>
      </c>
      <c r="AO203" s="62">
        <f t="shared" si="556"/>
        <v>47.999999999999993</v>
      </c>
      <c r="AP203" s="62">
        <f t="shared" si="556"/>
        <v>15.5</v>
      </c>
      <c r="AQ203" s="62">
        <f t="shared" si="556"/>
        <v>58.900000000000006</v>
      </c>
      <c r="AR203" s="62">
        <f t="shared" si="556"/>
        <v>72.8</v>
      </c>
      <c r="AS203" s="62">
        <f t="shared" si="556"/>
        <v>143.22</v>
      </c>
      <c r="AT203" s="62">
        <f t="shared" si="556"/>
        <v>222.48000000000005</v>
      </c>
      <c r="AU203" s="62">
        <f t="shared" si="556"/>
        <v>262.27377777777787</v>
      </c>
      <c r="AV203" s="62">
        <f t="shared" si="556"/>
        <v>316.37912280701761</v>
      </c>
      <c r="AW203" s="62">
        <f t="shared" si="556"/>
        <v>335.48109356725155</v>
      </c>
      <c r="AX203" s="62">
        <f t="shared" si="556"/>
        <v>264.27409356725144</v>
      </c>
      <c r="AY203" s="62">
        <f t="shared" ref="AY203:BJ203" si="557">+AY204*AY193</f>
        <v>187.3957894736842</v>
      </c>
      <c r="AZ203" s="62">
        <f t="shared" si="557"/>
        <v>112.83929545454548</v>
      </c>
      <c r="BA203" s="62">
        <f t="shared" si="557"/>
        <v>37.729844497607679</v>
      </c>
      <c r="BB203" s="62">
        <f t="shared" si="557"/>
        <v>25.770084928229693</v>
      </c>
      <c r="BC203" s="62">
        <f t="shared" si="557"/>
        <v>76.619874401913904</v>
      </c>
      <c r="BD203" s="62">
        <f t="shared" si="557"/>
        <v>92.721220442410399</v>
      </c>
      <c r="BE203" s="62">
        <f t="shared" si="557"/>
        <v>181.09542639206717</v>
      </c>
      <c r="BF203" s="62">
        <f t="shared" si="557"/>
        <v>277.11469107551494</v>
      </c>
      <c r="BG203" s="62">
        <f t="shared" si="557"/>
        <v>315.71749587951132</v>
      </c>
      <c r="BH203" s="62">
        <f t="shared" si="557"/>
        <v>373.73100103199181</v>
      </c>
      <c r="BI203" s="62">
        <f t="shared" si="557"/>
        <v>386.18870106639162</v>
      </c>
      <c r="BJ203" s="62">
        <f t="shared" si="557"/>
        <v>296.84670106639157</v>
      </c>
    </row>
    <row r="204" spans="2:62" outlineLevel="1">
      <c r="C204" s="462">
        <f t="shared" ref="C204:K204" si="558">C162/C165</f>
        <v>0</v>
      </c>
      <c r="D204" s="462">
        <f t="shared" si="558"/>
        <v>0</v>
      </c>
      <c r="E204" s="462">
        <f t="shared" si="558"/>
        <v>1.4611338398597311E-3</v>
      </c>
      <c r="F204" s="462">
        <f t="shared" si="558"/>
        <v>2.1813105313672454E-3</v>
      </c>
      <c r="G204" s="462">
        <f t="shared" si="558"/>
        <v>2.8773214752811928E-3</v>
      </c>
      <c r="H204" s="462">
        <f t="shared" si="558"/>
        <v>6.9572697143724539E-3</v>
      </c>
      <c r="I204" s="462">
        <f t="shared" si="558"/>
        <v>6.873334268480853E-3</v>
      </c>
      <c r="J204" s="462">
        <f t="shared" si="558"/>
        <v>6.9910115565701243E-3</v>
      </c>
      <c r="K204" s="462">
        <f t="shared" si="558"/>
        <v>6.9910115565701243E-3</v>
      </c>
      <c r="L204" s="462">
        <f>L162/L165</f>
        <v>3.8080731150038081E-3</v>
      </c>
      <c r="M204" s="462">
        <f t="shared" ref="M204:AX204" si="559">M162/M165</f>
        <v>4.1627501007116957E-3</v>
      </c>
      <c r="N204" s="462">
        <f t="shared" si="559"/>
        <v>3.619118931735929E-3</v>
      </c>
      <c r="O204" s="462">
        <f t="shared" si="559"/>
        <v>1.8083182640144665E-3</v>
      </c>
      <c r="P204" s="462">
        <f>P162/P165</f>
        <v>8.3682008368200832E-4</v>
      </c>
      <c r="Q204" s="462">
        <f t="shared" si="559"/>
        <v>2.4968789013732834E-3</v>
      </c>
      <c r="R204" s="462">
        <f t="shared" si="559"/>
        <v>3.0144375694113913E-3</v>
      </c>
      <c r="S204" s="462">
        <f t="shared" si="559"/>
        <v>2.5146689019279128E-3</v>
      </c>
      <c r="T204" s="462">
        <f t="shared" si="559"/>
        <v>3.7648421662322619E-3</v>
      </c>
      <c r="U204" s="462">
        <f t="shared" si="559"/>
        <v>3.7223560324063936E-3</v>
      </c>
      <c r="V204" s="462">
        <f t="shared" si="559"/>
        <v>3.2427834777523793E-3</v>
      </c>
      <c r="W204" s="462">
        <f t="shared" si="559"/>
        <v>2.5211005151814102E-3</v>
      </c>
      <c r="X204" s="462">
        <f t="shared" si="559"/>
        <v>3.2021485383741349E-3</v>
      </c>
      <c r="Y204" s="462">
        <f t="shared" si="559"/>
        <v>2.9789044926743268E-3</v>
      </c>
      <c r="Z204" s="462">
        <f t="shared" si="559"/>
        <v>1.6897291866465726E-3</v>
      </c>
      <c r="AA204" s="462">
        <f t="shared" si="559"/>
        <v>1.5756587883727251E-3</v>
      </c>
      <c r="AB204" s="462">
        <f>AB162/AB165</f>
        <v>1.307071255492213E-3</v>
      </c>
      <c r="AC204" s="462">
        <f t="shared" si="559"/>
        <v>1.4707736269277641E-3</v>
      </c>
      <c r="AD204" s="462">
        <f t="shared" si="559"/>
        <v>0</v>
      </c>
      <c r="AE204" s="462">
        <f t="shared" si="559"/>
        <v>0</v>
      </c>
      <c r="AF204" s="462">
        <f t="shared" si="559"/>
        <v>0</v>
      </c>
      <c r="AG204" s="462">
        <f t="shared" si="559"/>
        <v>0</v>
      </c>
      <c r="AH204" s="462">
        <f t="shared" si="559"/>
        <v>0</v>
      </c>
      <c r="AI204" s="462">
        <f t="shared" si="559"/>
        <v>0</v>
      </c>
      <c r="AJ204" s="462">
        <f t="shared" si="559"/>
        <v>4.2340458093149012E-3</v>
      </c>
      <c r="AK204" s="462">
        <f t="shared" si="559"/>
        <v>3.142619465754691E-3</v>
      </c>
      <c r="AL204" s="462">
        <f t="shared" si="559"/>
        <v>2.4775068457426005E-3</v>
      </c>
      <c r="AM204" s="462">
        <f t="shared" si="559"/>
        <v>2.1077591885127127E-3</v>
      </c>
      <c r="AN204" s="462">
        <f t="shared" si="559"/>
        <v>9.769690173390762E-4</v>
      </c>
      <c r="AO204" s="462">
        <f t="shared" si="559"/>
        <v>6.5809227276279465E-4</v>
      </c>
      <c r="AP204" s="462">
        <f t="shared" si="559"/>
        <v>2.2201500821455528E-4</v>
      </c>
      <c r="AQ204" s="462">
        <f t="shared" si="559"/>
        <v>8.0569242903545907E-4</v>
      </c>
      <c r="AR204" s="462">
        <f t="shared" si="559"/>
        <v>1.139890921207232E-3</v>
      </c>
      <c r="AS204" s="462">
        <f t="shared" si="559"/>
        <v>1.9637680543394174E-3</v>
      </c>
      <c r="AT204" s="462">
        <f t="shared" si="559"/>
        <v>3.023340383445663E-3</v>
      </c>
      <c r="AU204" s="462">
        <f t="shared" si="559"/>
        <v>3.3243913330414576E-3</v>
      </c>
      <c r="AV204" s="462">
        <f t="shared" si="559"/>
        <v>4.0957676226046945E-3</v>
      </c>
      <c r="AW204" s="462">
        <f t="shared" si="559"/>
        <v>4.0441422107203662E-3</v>
      </c>
      <c r="AX204" s="462">
        <f t="shared" si="559"/>
        <v>3.0919584286139426E-3</v>
      </c>
      <c r="AY204" s="462">
        <f t="shared" ref="AY204:BJ204" si="560">AY162/AY165</f>
        <v>2.3947774250112222E-3</v>
      </c>
      <c r="AZ204" s="462">
        <f t="shared" si="560"/>
        <v>1.3354867211029392E-3</v>
      </c>
      <c r="BA204" s="462">
        <f t="shared" si="560"/>
        <v>4.9297098063040513E-4</v>
      </c>
      <c r="BB204" s="462">
        <f t="shared" si="560"/>
        <v>3.4063366773086617E-4</v>
      </c>
      <c r="BC204" s="462">
        <f t="shared" si="560"/>
        <v>9.119416934599225E-4</v>
      </c>
      <c r="BD204" s="462">
        <f t="shared" si="560"/>
        <v>1.2205861672430246E-3</v>
      </c>
      <c r="BE204" s="462">
        <f t="shared" si="560"/>
        <v>2.1641907254988106E-3</v>
      </c>
      <c r="BF204" s="462">
        <f t="shared" si="560"/>
        <v>3.3342379692369423E-3</v>
      </c>
      <c r="BG204" s="462">
        <f t="shared" si="560"/>
        <v>3.6099776546919273E-3</v>
      </c>
      <c r="BH204" s="462">
        <f t="shared" si="560"/>
        <v>4.3543603297520892E-3</v>
      </c>
      <c r="BI204" s="462">
        <f t="shared" si="560"/>
        <v>4.227337427002379E-3</v>
      </c>
      <c r="BJ204" s="462">
        <f t="shared" si="560"/>
        <v>3.2477180094777898E-3</v>
      </c>
    </row>
    <row r="205" spans="2:62" outlineLevel="1">
      <c r="B205" t="s">
        <v>429</v>
      </c>
      <c r="C205" s="62">
        <f>C206*C193</f>
        <v>47349</v>
      </c>
      <c r="D205" s="62">
        <f t="shared" ref="D205:F205" si="561">D206*D193</f>
        <v>48927.3</v>
      </c>
      <c r="E205" s="62">
        <f t="shared" si="561"/>
        <v>35820</v>
      </c>
      <c r="F205" s="62">
        <f t="shared" si="561"/>
        <v>17298</v>
      </c>
      <c r="G205" s="62">
        <f>G206*G193</f>
        <v>17298</v>
      </c>
      <c r="H205" s="62">
        <f t="shared" ref="H205:AX205" si="562">H206*H193</f>
        <v>5392.7999999999993</v>
      </c>
      <c r="I205" s="62">
        <f>I206*I193</f>
        <v>0</v>
      </c>
      <c r="J205" s="62">
        <f t="shared" si="562"/>
        <v>0</v>
      </c>
      <c r="K205" s="62">
        <f t="shared" si="562"/>
        <v>0</v>
      </c>
      <c r="L205" s="62">
        <f>L206*L193</f>
        <v>6660</v>
      </c>
      <c r="M205" s="62">
        <f t="shared" si="562"/>
        <v>3534</v>
      </c>
      <c r="N205" s="62">
        <f t="shared" si="562"/>
        <v>6696</v>
      </c>
      <c r="O205" s="62">
        <f t="shared" si="562"/>
        <v>4860</v>
      </c>
      <c r="P205" s="62">
        <f>P206*P193</f>
        <v>929.99999999999989</v>
      </c>
      <c r="Q205" s="62">
        <f t="shared" si="562"/>
        <v>1500</v>
      </c>
      <c r="R205" s="62">
        <f t="shared" si="562"/>
        <v>1550</v>
      </c>
      <c r="S205" s="62">
        <f t="shared" si="562"/>
        <v>1085</v>
      </c>
      <c r="T205" s="62">
        <f t="shared" si="562"/>
        <v>1400</v>
      </c>
      <c r="U205" s="62">
        <f t="shared" si="562"/>
        <v>4650</v>
      </c>
      <c r="V205" s="62">
        <f t="shared" si="562"/>
        <v>6750</v>
      </c>
      <c r="W205" s="62">
        <f t="shared" si="562"/>
        <v>5270</v>
      </c>
      <c r="X205" s="62">
        <f t="shared" si="562"/>
        <v>8400</v>
      </c>
      <c r="Y205" s="62">
        <f t="shared" si="562"/>
        <v>0</v>
      </c>
      <c r="Z205" s="62">
        <f t="shared" si="562"/>
        <v>16926</v>
      </c>
      <c r="AA205" s="62">
        <f>AA206*AA193</f>
        <v>10848</v>
      </c>
      <c r="AB205" s="62">
        <f>AB206*AB193</f>
        <v>16106.98</v>
      </c>
      <c r="AC205" s="62">
        <f t="shared" si="562"/>
        <v>13018.8</v>
      </c>
      <c r="AD205" s="62">
        <f t="shared" si="562"/>
        <v>9636.66</v>
      </c>
      <c r="AE205" s="62">
        <f t="shared" si="562"/>
        <v>7604.92</v>
      </c>
      <c r="AF205" s="62">
        <f t="shared" si="562"/>
        <v>3930.639999999999</v>
      </c>
      <c r="AG205" s="62">
        <f t="shared" si="562"/>
        <v>5619.0599999999995</v>
      </c>
      <c r="AH205" s="62">
        <f t="shared" si="562"/>
        <v>8240.4000000000015</v>
      </c>
      <c r="AI205" s="62">
        <f t="shared" si="562"/>
        <v>6370.5</v>
      </c>
      <c r="AJ205" s="62">
        <f t="shared" si="562"/>
        <v>7260</v>
      </c>
      <c r="AK205" s="62">
        <f t="shared" si="562"/>
        <v>10447</v>
      </c>
      <c r="AL205" s="62">
        <f t="shared" si="562"/>
        <v>10385</v>
      </c>
      <c r="AM205" s="62">
        <f>AM206*AM193</f>
        <v>15255.000000000002</v>
      </c>
      <c r="AN205" s="62">
        <f t="shared" si="562"/>
        <v>18225.52</v>
      </c>
      <c r="AO205" s="62">
        <f>AO206*AO193</f>
        <v>15110.1</v>
      </c>
      <c r="AP205" s="62">
        <f t="shared" si="562"/>
        <v>9256.6</v>
      </c>
      <c r="AQ205" s="62">
        <f t="shared" si="562"/>
        <v>5775.92</v>
      </c>
      <c r="AR205" s="62">
        <f t="shared" si="562"/>
        <v>1912.9599999999998</v>
      </c>
      <c r="AS205" s="62">
        <f t="shared" si="562"/>
        <v>2108</v>
      </c>
      <c r="AT205" s="62">
        <f t="shared" si="562"/>
        <v>3165</v>
      </c>
      <c r="AU205" s="62">
        <f t="shared" si="562"/>
        <v>4231.5</v>
      </c>
      <c r="AV205" s="62">
        <f t="shared" si="562"/>
        <v>4929</v>
      </c>
      <c r="AW205" s="62">
        <f t="shared" si="562"/>
        <v>8219.34</v>
      </c>
      <c r="AX205" s="62">
        <f t="shared" si="562"/>
        <v>8947.1511111111122</v>
      </c>
      <c r="AY205" s="62">
        <f t="shared" ref="AY205:BJ205" si="563">AY206*AY193</f>
        <v>10294.464912280702</v>
      </c>
      <c r="AZ205" s="62">
        <f t="shared" si="563"/>
        <v>10166.172631578946</v>
      </c>
      <c r="BA205" s="62">
        <f t="shared" si="563"/>
        <v>3867.8999999999996</v>
      </c>
      <c r="BB205" s="62">
        <f t="shared" si="563"/>
        <v>576.60000000000025</v>
      </c>
      <c r="BC205" s="62">
        <f t="shared" si="563"/>
        <v>551.7718181818185</v>
      </c>
      <c r="BD205" s="62">
        <f t="shared" si="563"/>
        <v>551.78086124401921</v>
      </c>
      <c r="BE205" s="62">
        <f t="shared" si="563"/>
        <v>107.03157894736863</v>
      </c>
      <c r="BF205" s="62">
        <f t="shared" si="563"/>
        <v>2134.7368421052633</v>
      </c>
      <c r="BG205" s="62">
        <f t="shared" si="563"/>
        <v>3751.1938977879477</v>
      </c>
      <c r="BH205" s="62">
        <f t="shared" si="563"/>
        <v>4755.4086956521724</v>
      </c>
      <c r="BI205" s="62">
        <f t="shared" si="563"/>
        <v>7578.8799999999992</v>
      </c>
      <c r="BJ205" s="62">
        <f t="shared" si="563"/>
        <v>7714.7775163398674</v>
      </c>
    </row>
    <row r="206" spans="2:62" outlineLevel="1">
      <c r="C206" s="63">
        <f t="shared" ref="C206:K206" si="564">C163/C165</f>
        <v>0.45480217848600984</v>
      </c>
      <c r="D206" s="63">
        <f t="shared" si="564"/>
        <v>0.41378496709750151</v>
      </c>
      <c r="E206" s="63">
        <f t="shared" si="564"/>
        <v>0.34891876095850383</v>
      </c>
      <c r="F206" s="63">
        <f t="shared" si="564"/>
        <v>0.19474740424046769</v>
      </c>
      <c r="G206" s="63">
        <f t="shared" si="564"/>
        <v>0.19461156160083704</v>
      </c>
      <c r="H206" s="63">
        <f t="shared" si="564"/>
        <v>9.7452374326409782E-2</v>
      </c>
      <c r="I206" s="63">
        <f>I163/I165</f>
        <v>0</v>
      </c>
      <c r="J206" s="63">
        <f t="shared" si="564"/>
        <v>0</v>
      </c>
      <c r="K206" s="63">
        <f t="shared" si="564"/>
        <v>0</v>
      </c>
      <c r="L206" s="63">
        <f>L163/L165</f>
        <v>0.11271896420411272</v>
      </c>
      <c r="M206" s="63">
        <f t="shared" ref="M206:AX206" si="565">M163/M165</f>
        <v>6.1232711158855917E-2</v>
      </c>
      <c r="N206" s="63">
        <f t="shared" si="565"/>
        <v>0.10782478472482217</v>
      </c>
      <c r="O206" s="63">
        <f t="shared" si="565"/>
        <v>8.3699302505812451E-2</v>
      </c>
      <c r="P206" s="63">
        <f>P163/P165</f>
        <v>1.6736401673640166E-2</v>
      </c>
      <c r="Q206" s="63">
        <f t="shared" si="565"/>
        <v>3.1210986267166042E-2</v>
      </c>
      <c r="R206" s="63">
        <f t="shared" si="565"/>
        <v>3.1730921783277806E-2</v>
      </c>
      <c r="S206" s="63">
        <f t="shared" si="565"/>
        <v>2.256754142755819E-2</v>
      </c>
      <c r="T206" s="63">
        <f>T163/T165</f>
        <v>2.8960324355632783E-2</v>
      </c>
      <c r="U206" s="63">
        <f t="shared" si="565"/>
        <v>8.2110794832493977E-2</v>
      </c>
      <c r="V206" s="63">
        <f t="shared" si="565"/>
        <v>0.11961086598266972</v>
      </c>
      <c r="W206" s="63">
        <f t="shared" si="565"/>
        <v>9.317110599583471E-2</v>
      </c>
      <c r="X206" s="63">
        <f t="shared" si="565"/>
        <v>0.14461315979754158</v>
      </c>
      <c r="Y206" s="63">
        <f>Y163/Y165</f>
        <v>0</v>
      </c>
      <c r="Z206" s="63">
        <f t="shared" si="565"/>
        <v>0.24934922592135911</v>
      </c>
      <c r="AA206" s="63">
        <f t="shared" si="565"/>
        <v>0.19646835099157839</v>
      </c>
      <c r="AB206" s="63">
        <f>AB163/AB165</f>
        <v>0.26120310881870923</v>
      </c>
      <c r="AC206" s="63">
        <f t="shared" si="565"/>
        <v>0.22794890112199015</v>
      </c>
      <c r="AD206" s="63">
        <f t="shared" si="565"/>
        <v>0.17754703402899144</v>
      </c>
      <c r="AE206" s="63">
        <f t="shared" si="565"/>
        <v>0.13439835206977407</v>
      </c>
      <c r="AF206" s="63">
        <f t="shared" si="565"/>
        <v>8.159825154907635E-2</v>
      </c>
      <c r="AG206" s="63">
        <f t="shared" si="565"/>
        <v>0.10350262097004442</v>
      </c>
      <c r="AH206" s="63">
        <f t="shared" si="565"/>
        <v>0.14971548171888288</v>
      </c>
      <c r="AI206" s="63">
        <f t="shared" si="565"/>
        <v>0.11135193714440531</v>
      </c>
      <c r="AJ206" s="63">
        <f t="shared" si="565"/>
        <v>0.12345049227159108</v>
      </c>
      <c r="AK206" s="63">
        <f t="shared" si="565"/>
        <v>0.15574452352343099</v>
      </c>
      <c r="AL206" s="63">
        <f t="shared" si="565"/>
        <v>0.14560785847785457</v>
      </c>
      <c r="AM206" s="63">
        <f t="shared" si="565"/>
        <v>0.22329073903306551</v>
      </c>
      <c r="AN206" s="63">
        <f t="shared" si="565"/>
        <v>0.24973027159738681</v>
      </c>
      <c r="AO206" s="63">
        <f t="shared" si="565"/>
        <v>0.20716333438902301</v>
      </c>
      <c r="AP206" s="63">
        <f t="shared" si="565"/>
        <v>0.13258736290573242</v>
      </c>
      <c r="AQ206" s="63">
        <f t="shared" si="565"/>
        <v>7.9008743883098281E-2</v>
      </c>
      <c r="AR206" s="63">
        <f t="shared" si="565"/>
        <v>2.9952826052645421E-2</v>
      </c>
      <c r="AS206" s="63">
        <f t="shared" si="565"/>
        <v>2.8903945388545536E-2</v>
      </c>
      <c r="AT206" s="63">
        <f t="shared" si="565"/>
        <v>4.3010033772049268E-2</v>
      </c>
      <c r="AU206" s="63">
        <f t="shared" si="565"/>
        <v>5.3635411229268612E-2</v>
      </c>
      <c r="AV206" s="63">
        <f t="shared" si="565"/>
        <v>6.380964215560038E-2</v>
      </c>
      <c r="AW206" s="63">
        <f t="shared" si="565"/>
        <v>9.9082125567230839E-2</v>
      </c>
      <c r="AX206" s="63">
        <f t="shared" si="565"/>
        <v>0.10468002715159336</v>
      </c>
      <c r="AY206" s="63">
        <f t="shared" ref="AY206:BJ206" si="566">AY163/AY165</f>
        <v>0.13155552877543145</v>
      </c>
      <c r="AZ206" s="63">
        <f t="shared" si="566"/>
        <v>0.12031968561327006</v>
      </c>
      <c r="BA206" s="63">
        <f t="shared" si="566"/>
        <v>5.0537246611266712E-2</v>
      </c>
      <c r="BB206" s="63">
        <f t="shared" si="566"/>
        <v>7.6216036291933981E-3</v>
      </c>
      <c r="BC206" s="63">
        <f t="shared" si="566"/>
        <v>6.5672742249185791E-3</v>
      </c>
      <c r="BD206" s="63">
        <f t="shared" si="566"/>
        <v>7.2636671882700711E-3</v>
      </c>
      <c r="BE206" s="63">
        <f t="shared" si="566"/>
        <v>1.2790866953862271E-3</v>
      </c>
      <c r="BF206" s="63">
        <f t="shared" si="566"/>
        <v>2.5685107511448126E-2</v>
      </c>
      <c r="BG206" s="63">
        <f t="shared" si="566"/>
        <v>4.2891909147154753E-2</v>
      </c>
      <c r="BH206" s="63">
        <f t="shared" si="566"/>
        <v>5.5405526753006563E-2</v>
      </c>
      <c r="BI206" s="63">
        <f t="shared" si="566"/>
        <v>8.2960695096182771E-2</v>
      </c>
      <c r="BJ206" s="63">
        <f t="shared" si="566"/>
        <v>8.4405256278484039E-2</v>
      </c>
    </row>
    <row r="207" spans="2:62" outlineLevel="1">
      <c r="B207" t="s">
        <v>434</v>
      </c>
      <c r="C207" s="62">
        <f t="shared" ref="C207:AX207" si="567">C208*C193</f>
        <v>0</v>
      </c>
      <c r="D207" s="62">
        <f t="shared" si="567"/>
        <v>0</v>
      </c>
      <c r="E207" s="62">
        <f t="shared" si="567"/>
        <v>0</v>
      </c>
      <c r="F207" s="62">
        <f t="shared" si="567"/>
        <v>0</v>
      </c>
      <c r="G207" s="62">
        <f t="shared" si="567"/>
        <v>0</v>
      </c>
      <c r="H207" s="62">
        <f t="shared" si="567"/>
        <v>0</v>
      </c>
      <c r="I207" s="62">
        <f t="shared" si="567"/>
        <v>0</v>
      </c>
      <c r="J207" s="62">
        <f t="shared" si="567"/>
        <v>0</v>
      </c>
      <c r="K207" s="62">
        <f t="shared" si="567"/>
        <v>0</v>
      </c>
      <c r="L207" s="62">
        <f t="shared" si="567"/>
        <v>0</v>
      </c>
      <c r="M207" s="62">
        <f t="shared" si="567"/>
        <v>0</v>
      </c>
      <c r="N207" s="62">
        <f t="shared" si="567"/>
        <v>0</v>
      </c>
      <c r="O207" s="62">
        <f t="shared" si="567"/>
        <v>0</v>
      </c>
      <c r="P207" s="62">
        <f t="shared" si="567"/>
        <v>5487</v>
      </c>
      <c r="Q207" s="62">
        <f t="shared" si="567"/>
        <v>5280</v>
      </c>
      <c r="R207" s="62">
        <f>R208*R193</f>
        <v>5332</v>
      </c>
      <c r="S207" s="62">
        <f t="shared" si="567"/>
        <v>5239</v>
      </c>
      <c r="T207" s="62">
        <f t="shared" si="567"/>
        <v>0</v>
      </c>
      <c r="U207" s="62">
        <f t="shared" si="567"/>
        <v>0</v>
      </c>
      <c r="V207" s="62">
        <f t="shared" si="567"/>
        <v>0</v>
      </c>
      <c r="W207" s="62">
        <f t="shared" si="567"/>
        <v>0</v>
      </c>
      <c r="X207" s="62">
        <f t="shared" si="567"/>
        <v>0</v>
      </c>
      <c r="Y207" s="62">
        <f t="shared" si="567"/>
        <v>0</v>
      </c>
      <c r="Z207" s="62">
        <f t="shared" si="567"/>
        <v>0</v>
      </c>
      <c r="AA207" s="62">
        <f t="shared" si="567"/>
        <v>0</v>
      </c>
      <c r="AB207" s="62">
        <f t="shared" si="567"/>
        <v>0</v>
      </c>
      <c r="AC207" s="62">
        <f t="shared" si="567"/>
        <v>7188.2999999999993</v>
      </c>
      <c r="AD207" s="62">
        <f t="shared" si="567"/>
        <v>12632.5</v>
      </c>
      <c r="AE207" s="62">
        <f t="shared" si="567"/>
        <v>13292.800000000001</v>
      </c>
      <c r="AF207" s="62">
        <f t="shared" si="567"/>
        <v>5972.4000000000005</v>
      </c>
      <c r="AG207" s="62">
        <f t="shared" si="567"/>
        <v>0</v>
      </c>
      <c r="AH207" s="62">
        <f t="shared" si="567"/>
        <v>0</v>
      </c>
      <c r="AI207" s="62">
        <f t="shared" si="567"/>
        <v>0</v>
      </c>
      <c r="AJ207" s="62">
        <f t="shared" si="567"/>
        <v>0</v>
      </c>
      <c r="AK207" s="62">
        <f t="shared" si="567"/>
        <v>0</v>
      </c>
      <c r="AL207" s="62">
        <f t="shared" si="567"/>
        <v>0</v>
      </c>
      <c r="AM207" s="62">
        <f>AM208*AM193</f>
        <v>0</v>
      </c>
      <c r="AN207" s="62">
        <f t="shared" si="567"/>
        <v>8931.7199999999993</v>
      </c>
      <c r="AO207" s="62">
        <f>AO208*AO193</f>
        <v>14700</v>
      </c>
      <c r="AP207" s="62">
        <f t="shared" si="567"/>
        <v>17779.12</v>
      </c>
      <c r="AQ207" s="62">
        <f t="shared" si="567"/>
        <v>9081.4500000000007</v>
      </c>
      <c r="AR207" s="62">
        <f t="shared" si="567"/>
        <v>0</v>
      </c>
      <c r="AS207" s="62">
        <f t="shared" si="567"/>
        <v>0</v>
      </c>
      <c r="AT207" s="62">
        <f t="shared" si="567"/>
        <v>0</v>
      </c>
      <c r="AU207" s="62">
        <f t="shared" si="567"/>
        <v>0</v>
      </c>
      <c r="AV207" s="62">
        <f t="shared" si="567"/>
        <v>0</v>
      </c>
      <c r="AW207" s="62">
        <f t="shared" si="567"/>
        <v>0</v>
      </c>
      <c r="AX207" s="62">
        <f t="shared" si="567"/>
        <v>0</v>
      </c>
      <c r="AY207" s="62">
        <f t="shared" ref="AY207:BJ207" si="568">AY208*AY193</f>
        <v>0</v>
      </c>
      <c r="AZ207" s="62">
        <f t="shared" si="568"/>
        <v>11438.07</v>
      </c>
      <c r="BA207" s="62">
        <f t="shared" si="568"/>
        <v>19950</v>
      </c>
      <c r="BB207" s="62">
        <f t="shared" si="568"/>
        <v>22348.520000000004</v>
      </c>
      <c r="BC207" s="62">
        <f t="shared" si="568"/>
        <v>11257.650000000001</v>
      </c>
      <c r="BD207" s="62">
        <f t="shared" si="568"/>
        <v>0</v>
      </c>
      <c r="BE207" s="62">
        <f t="shared" si="568"/>
        <v>0</v>
      </c>
      <c r="BF207" s="62">
        <f t="shared" si="568"/>
        <v>0</v>
      </c>
      <c r="BG207" s="62">
        <f t="shared" si="568"/>
        <v>0</v>
      </c>
      <c r="BH207" s="62">
        <f t="shared" si="568"/>
        <v>0</v>
      </c>
      <c r="BI207" s="62">
        <f t="shared" si="568"/>
        <v>0</v>
      </c>
      <c r="BJ207" s="62">
        <f t="shared" si="568"/>
        <v>0</v>
      </c>
    </row>
    <row r="208" spans="2:62" outlineLevel="1">
      <c r="C208" s="63">
        <f t="shared" ref="C208:AX208" si="569">C164/C165</f>
        <v>0</v>
      </c>
      <c r="D208" s="63">
        <f t="shared" si="569"/>
        <v>0</v>
      </c>
      <c r="E208" s="63">
        <f t="shared" si="569"/>
        <v>0</v>
      </c>
      <c r="F208" s="63">
        <f t="shared" si="569"/>
        <v>0</v>
      </c>
      <c r="G208" s="63">
        <f t="shared" si="569"/>
        <v>0</v>
      </c>
      <c r="H208" s="63">
        <f t="shared" si="569"/>
        <v>0</v>
      </c>
      <c r="I208" s="63">
        <f t="shared" si="569"/>
        <v>0</v>
      </c>
      <c r="J208" s="63">
        <f t="shared" si="569"/>
        <v>0</v>
      </c>
      <c r="K208" s="63">
        <f t="shared" si="569"/>
        <v>0</v>
      </c>
      <c r="L208" s="63">
        <f t="shared" si="569"/>
        <v>0</v>
      </c>
      <c r="M208" s="63">
        <f t="shared" si="569"/>
        <v>0</v>
      </c>
      <c r="N208" s="63">
        <f t="shared" si="569"/>
        <v>0</v>
      </c>
      <c r="O208" s="63">
        <f t="shared" si="569"/>
        <v>0</v>
      </c>
      <c r="P208" s="63">
        <f t="shared" si="569"/>
        <v>9.8744769874476987E-2</v>
      </c>
      <c r="Q208" s="63">
        <f t="shared" si="569"/>
        <v>0.10986267166042447</v>
      </c>
      <c r="R208" s="63">
        <f t="shared" si="569"/>
        <v>0.10915437093447565</v>
      </c>
      <c r="S208" s="63">
        <f t="shared" si="569"/>
        <v>0.10896898575020955</v>
      </c>
      <c r="T208" s="63">
        <f t="shared" si="569"/>
        <v>0</v>
      </c>
      <c r="U208" s="63">
        <f t="shared" si="569"/>
        <v>0</v>
      </c>
      <c r="V208" s="63">
        <f t="shared" si="569"/>
        <v>0</v>
      </c>
      <c r="W208" s="63">
        <f t="shared" si="569"/>
        <v>0</v>
      </c>
      <c r="X208" s="63">
        <f t="shared" si="569"/>
        <v>0</v>
      </c>
      <c r="Y208" s="63">
        <f t="shared" si="569"/>
        <v>0</v>
      </c>
      <c r="Z208" s="63">
        <f t="shared" si="569"/>
        <v>0</v>
      </c>
      <c r="AA208" s="63">
        <f t="shared" si="569"/>
        <v>0</v>
      </c>
      <c r="AB208" s="63">
        <f>AB164/AB165</f>
        <v>0</v>
      </c>
      <c r="AC208" s="63">
        <f t="shared" si="569"/>
        <v>0.12586145312434338</v>
      </c>
      <c r="AD208" s="63">
        <f t="shared" si="569"/>
        <v>0.2327427664119347</v>
      </c>
      <c r="AE208" s="63">
        <f t="shared" si="569"/>
        <v>0.23491771305853223</v>
      </c>
      <c r="AF208" s="63">
        <f t="shared" si="569"/>
        <v>0.1239842360408747</v>
      </c>
      <c r="AG208" s="63">
        <f t="shared" si="569"/>
        <v>0</v>
      </c>
      <c r="AH208" s="63">
        <f t="shared" si="569"/>
        <v>0</v>
      </c>
      <c r="AI208" s="63">
        <f t="shared" si="569"/>
        <v>0</v>
      </c>
      <c r="AJ208" s="63">
        <f t="shared" si="569"/>
        <v>0</v>
      </c>
      <c r="AK208" s="63">
        <f t="shared" si="569"/>
        <v>0</v>
      </c>
      <c r="AL208" s="63">
        <f t="shared" si="569"/>
        <v>0</v>
      </c>
      <c r="AM208" s="63">
        <f t="shared" si="569"/>
        <v>0</v>
      </c>
      <c r="AN208" s="63">
        <f t="shared" si="569"/>
        <v>0.12238448403292808</v>
      </c>
      <c r="AO208" s="63">
        <f t="shared" si="569"/>
        <v>0.20154075853360587</v>
      </c>
      <c r="AP208" s="63">
        <f t="shared" si="569"/>
        <v>0.25466009502242348</v>
      </c>
      <c r="AQ208" s="63">
        <f t="shared" si="569"/>
        <v>0.12422505109786197</v>
      </c>
      <c r="AR208" s="63">
        <f t="shared" si="569"/>
        <v>0</v>
      </c>
      <c r="AS208" s="63">
        <f t="shared" si="569"/>
        <v>0</v>
      </c>
      <c r="AT208" s="63">
        <f t="shared" si="569"/>
        <v>0</v>
      </c>
      <c r="AU208" s="63">
        <f t="shared" si="569"/>
        <v>0</v>
      </c>
      <c r="AV208" s="63">
        <f t="shared" si="569"/>
        <v>0</v>
      </c>
      <c r="AW208" s="63">
        <f t="shared" si="569"/>
        <v>0</v>
      </c>
      <c r="AX208" s="63">
        <f t="shared" si="569"/>
        <v>0</v>
      </c>
      <c r="AY208" s="63">
        <f t="shared" ref="AY208:BJ208" si="570">AY164/AY165</f>
        <v>0</v>
      </c>
      <c r="AZ208" s="63">
        <f t="shared" si="570"/>
        <v>0.13537297036916726</v>
      </c>
      <c r="BA208" s="63">
        <f t="shared" si="570"/>
        <v>0.26066291007905351</v>
      </c>
      <c r="BB208" s="63">
        <f t="shared" si="570"/>
        <v>0.29540680044936035</v>
      </c>
      <c r="BC208" s="63">
        <f t="shared" si="570"/>
        <v>0.1339903058510189</v>
      </c>
      <c r="BD208" s="63">
        <f t="shared" si="570"/>
        <v>0</v>
      </c>
      <c r="BE208" s="63">
        <f t="shared" si="570"/>
        <v>0</v>
      </c>
      <c r="BF208" s="63">
        <f t="shared" si="570"/>
        <v>0</v>
      </c>
      <c r="BG208" s="63">
        <f t="shared" si="570"/>
        <v>0</v>
      </c>
      <c r="BH208" s="63">
        <f t="shared" si="570"/>
        <v>0</v>
      </c>
      <c r="BI208" s="63">
        <f t="shared" si="570"/>
        <v>0</v>
      </c>
      <c r="BJ208" s="63">
        <f t="shared" si="570"/>
        <v>0</v>
      </c>
    </row>
    <row r="209" spans="2:62" outlineLevel="1">
      <c r="B209" s="64" t="s">
        <v>31</v>
      </c>
      <c r="C209" s="65">
        <f>SUM(C194,C195,C197,C199,C201)-C193</f>
        <v>0</v>
      </c>
      <c r="D209" s="65">
        <f t="shared" ref="D209:K209" si="571">SUM(D194,D195,D197,D199,D201,D203,D205)-D193</f>
        <v>48927.3</v>
      </c>
      <c r="E209" s="65">
        <f t="shared" si="571"/>
        <v>35970</v>
      </c>
      <c r="F209" s="65">
        <f t="shared" si="571"/>
        <v>17491.75</v>
      </c>
      <c r="G209" s="65">
        <f t="shared" si="571"/>
        <v>17553.75</v>
      </c>
      <c r="H209" s="65">
        <f t="shared" si="571"/>
        <v>5777.8000000000029</v>
      </c>
      <c r="I209" s="65">
        <f t="shared" si="571"/>
        <v>379.75</v>
      </c>
      <c r="J209" s="65">
        <f t="shared" si="571"/>
        <v>367.5</v>
      </c>
      <c r="K209" s="65">
        <f t="shared" si="571"/>
        <v>379.75</v>
      </c>
      <c r="L209" s="65">
        <f>SUM(L194,L195,L197,L199,L201,L203,L205)-L193</f>
        <v>0</v>
      </c>
      <c r="M209" s="65">
        <f t="shared" ref="M209:AX209" si="572">SUM(M194,M195,M197,M199,M201,M203,M205)-M193</f>
        <v>0</v>
      </c>
      <c r="N209" s="65">
        <f t="shared" si="572"/>
        <v>0</v>
      </c>
      <c r="O209" s="65">
        <f t="shared" si="572"/>
        <v>0</v>
      </c>
      <c r="P209" s="65">
        <f>SUM(P194,P195,P197,P199,P201,P203,P205)-P193</f>
        <v>0</v>
      </c>
      <c r="Q209" s="65">
        <f t="shared" si="572"/>
        <v>0</v>
      </c>
      <c r="R209" s="65">
        <f t="shared" si="572"/>
        <v>0</v>
      </c>
      <c r="S209" s="65">
        <f t="shared" si="572"/>
        <v>0</v>
      </c>
      <c r="T209" s="65">
        <f t="shared" si="572"/>
        <v>0</v>
      </c>
      <c r="U209" s="65">
        <f t="shared" si="572"/>
        <v>0</v>
      </c>
      <c r="V209" s="65">
        <f t="shared" si="572"/>
        <v>0</v>
      </c>
      <c r="W209" s="65">
        <f t="shared" si="572"/>
        <v>0</v>
      </c>
      <c r="X209" s="65">
        <f t="shared" si="572"/>
        <v>0</v>
      </c>
      <c r="Y209" s="65">
        <f t="shared" si="572"/>
        <v>0</v>
      </c>
      <c r="Z209" s="65">
        <f t="shared" si="572"/>
        <v>0</v>
      </c>
      <c r="AA209" s="65">
        <f t="shared" si="572"/>
        <v>0</v>
      </c>
      <c r="AB209" s="65">
        <f t="shared" si="572"/>
        <v>0</v>
      </c>
      <c r="AC209" s="65">
        <f t="shared" si="572"/>
        <v>0</v>
      </c>
      <c r="AD209" s="65">
        <f t="shared" si="572"/>
        <v>0</v>
      </c>
      <c r="AE209" s="65">
        <f t="shared" si="572"/>
        <v>0</v>
      </c>
      <c r="AF209" s="65">
        <f t="shared" si="572"/>
        <v>0</v>
      </c>
      <c r="AG209" s="65">
        <f t="shared" si="572"/>
        <v>0</v>
      </c>
      <c r="AH209" s="65">
        <f t="shared" si="572"/>
        <v>0</v>
      </c>
      <c r="AI209" s="65">
        <f t="shared" si="572"/>
        <v>0</v>
      </c>
      <c r="AJ209" s="65">
        <f t="shared" si="572"/>
        <v>0</v>
      </c>
      <c r="AK209" s="65">
        <f t="shared" si="572"/>
        <v>0</v>
      </c>
      <c r="AL209" s="65">
        <f t="shared" si="572"/>
        <v>0</v>
      </c>
      <c r="AM209" s="65">
        <f t="shared" si="572"/>
        <v>0</v>
      </c>
      <c r="AN209" s="65">
        <f t="shared" si="572"/>
        <v>0</v>
      </c>
      <c r="AO209" s="65">
        <f t="shared" si="572"/>
        <v>0</v>
      </c>
      <c r="AP209" s="65">
        <f t="shared" si="572"/>
        <v>0</v>
      </c>
      <c r="AQ209" s="65">
        <f t="shared" si="572"/>
        <v>0</v>
      </c>
      <c r="AR209" s="65">
        <f t="shared" si="572"/>
        <v>0</v>
      </c>
      <c r="AS209" s="65">
        <f t="shared" si="572"/>
        <v>0</v>
      </c>
      <c r="AT209" s="65">
        <f t="shared" si="572"/>
        <v>0</v>
      </c>
      <c r="AU209" s="65">
        <f t="shared" si="572"/>
        <v>0</v>
      </c>
      <c r="AV209" s="65">
        <f t="shared" si="572"/>
        <v>0</v>
      </c>
      <c r="AW209" s="65">
        <f t="shared" si="572"/>
        <v>0</v>
      </c>
      <c r="AX209" s="65">
        <f t="shared" si="572"/>
        <v>0</v>
      </c>
      <c r="AY209" s="65">
        <f t="shared" ref="AY209:BJ209" si="573">SUM(AY194,AY195,AY197,AY199,AY201,AY203,AY205)-AY193</f>
        <v>0</v>
      </c>
      <c r="AZ209" s="65">
        <f t="shared" si="573"/>
        <v>0</v>
      </c>
      <c r="BA209" s="65">
        <f t="shared" si="573"/>
        <v>0</v>
      </c>
      <c r="BB209" s="65">
        <f t="shared" si="573"/>
        <v>0</v>
      </c>
      <c r="BC209" s="65">
        <f t="shared" si="573"/>
        <v>0</v>
      </c>
      <c r="BD209" s="65">
        <f t="shared" si="573"/>
        <v>0</v>
      </c>
      <c r="BE209" s="65">
        <f t="shared" si="573"/>
        <v>0</v>
      </c>
      <c r="BF209" s="65">
        <f t="shared" si="573"/>
        <v>0</v>
      </c>
      <c r="BG209" s="65">
        <f t="shared" si="573"/>
        <v>0</v>
      </c>
      <c r="BH209" s="65">
        <f t="shared" si="573"/>
        <v>0</v>
      </c>
      <c r="BI209" s="65">
        <f t="shared" si="573"/>
        <v>0</v>
      </c>
      <c r="BJ209" s="65">
        <f t="shared" si="573"/>
        <v>0</v>
      </c>
    </row>
    <row r="211" spans="2:62" outlineLevel="1">
      <c r="B211" s="54" t="s">
        <v>289</v>
      </c>
    </row>
    <row r="212" spans="2:62" outlineLevel="1">
      <c r="B212" t="s">
        <v>290</v>
      </c>
      <c r="C212" s="80">
        <v>25000</v>
      </c>
      <c r="D212" s="62">
        <f>+C215</f>
        <v>50179.6</v>
      </c>
      <c r="E212" s="62">
        <f>+D215</f>
        <v>44861.72</v>
      </c>
      <c r="F212" s="62">
        <f t="shared" ref="F212:AX212" si="574">+E215</f>
        <v>23564.720000000001</v>
      </c>
      <c r="G212" s="62">
        <f t="shared" si="574"/>
        <v>26744.515819397995</v>
      </c>
      <c r="H212" s="62">
        <f t="shared" si="574"/>
        <v>57909.353916185937</v>
      </c>
      <c r="I212" s="62">
        <f t="shared" si="574"/>
        <v>43861.821627811827</v>
      </c>
      <c r="J212" s="62">
        <f t="shared" si="574"/>
        <v>28748.516162807035</v>
      </c>
      <c r="K212" s="62">
        <f t="shared" si="574"/>
        <v>67755.525751003355</v>
      </c>
      <c r="L212" s="80">
        <v>26680</v>
      </c>
      <c r="M212" s="62">
        <f t="shared" si="574"/>
        <v>20044.3</v>
      </c>
      <c r="N212" s="62">
        <f t="shared" si="574"/>
        <v>10504.359999999999</v>
      </c>
      <c r="O212" s="62">
        <f t="shared" si="574"/>
        <v>1150.4199999999983</v>
      </c>
      <c r="P212" s="80">
        <v>0</v>
      </c>
      <c r="Q212" s="62">
        <f t="shared" si="574"/>
        <v>18374.059999999998</v>
      </c>
      <c r="R212" s="62">
        <f t="shared" si="574"/>
        <v>16484.059999999998</v>
      </c>
      <c r="S212" s="80">
        <v>2250</v>
      </c>
      <c r="T212" s="62">
        <f t="shared" si="574"/>
        <v>22928.799999999999</v>
      </c>
      <c r="U212" s="62">
        <f t="shared" si="574"/>
        <v>16285.24</v>
      </c>
      <c r="V212" s="62">
        <f t="shared" si="574"/>
        <v>7971.0399999999991</v>
      </c>
      <c r="W212" s="62">
        <f t="shared" si="574"/>
        <v>3423.0399999999991</v>
      </c>
      <c r="X212" s="80">
        <v>0</v>
      </c>
      <c r="Y212" s="62">
        <f t="shared" si="574"/>
        <v>21948.799999999999</v>
      </c>
      <c r="Z212" s="62">
        <f t="shared" si="574"/>
        <v>14888.24</v>
      </c>
      <c r="AA212" s="62">
        <f t="shared" si="574"/>
        <v>5207.5599999999995</v>
      </c>
      <c r="AB212" s="62">
        <f t="shared" si="574"/>
        <v>22328.359999999997</v>
      </c>
      <c r="AC212" s="62">
        <f t="shared" si="574"/>
        <v>17679.289999999997</v>
      </c>
      <c r="AD212" s="80">
        <v>0</v>
      </c>
      <c r="AE212" s="62">
        <f t="shared" si="574"/>
        <v>-2977.5499999999997</v>
      </c>
      <c r="AF212" s="62">
        <f t="shared" si="574"/>
        <v>-964.14999999999964</v>
      </c>
      <c r="AG212" s="62">
        <f t="shared" si="574"/>
        <v>-6018.15</v>
      </c>
      <c r="AH212" s="80">
        <v>0</v>
      </c>
      <c r="AI212" s="62">
        <f t="shared" si="574"/>
        <v>20150.2</v>
      </c>
      <c r="AJ212" s="62">
        <f t="shared" si="574"/>
        <v>10197.650000000001</v>
      </c>
      <c r="AK212" s="62">
        <f t="shared" si="574"/>
        <v>24245.65</v>
      </c>
      <c r="AL212" s="62">
        <f t="shared" si="574"/>
        <v>15832.250000000002</v>
      </c>
      <c r="AM212" s="62">
        <f>+AL215</f>
        <v>7409.5500000000011</v>
      </c>
      <c r="AN212" s="62">
        <f t="shared" si="574"/>
        <v>20281.550000000003</v>
      </c>
      <c r="AO212" s="62">
        <f t="shared" si="574"/>
        <v>18719.150000000001</v>
      </c>
      <c r="AP212" s="62">
        <f t="shared" si="574"/>
        <v>14843.150000000001</v>
      </c>
      <c r="AQ212" s="62">
        <f t="shared" si="574"/>
        <v>10751.150000000001</v>
      </c>
      <c r="AR212" s="62">
        <f t="shared" si="574"/>
        <v>6225.1500000000015</v>
      </c>
      <c r="AS212" s="62">
        <f t="shared" si="574"/>
        <v>406.75000000000182</v>
      </c>
      <c r="AT212" s="62">
        <f t="shared" si="574"/>
        <v>19904.190000000002</v>
      </c>
      <c r="AU212" s="62">
        <f t="shared" si="574"/>
        <v>10022.190000000002</v>
      </c>
      <c r="AV212" s="62">
        <f t="shared" si="574"/>
        <v>22620.890000000003</v>
      </c>
      <c r="AW212" s="62">
        <f t="shared" si="574"/>
        <v>6396.8900000000031</v>
      </c>
      <c r="AX212" s="62">
        <f t="shared" si="574"/>
        <v>21224.490000000005</v>
      </c>
      <c r="AY212" s="62">
        <f t="shared" ref="AY212:BJ212" si="575">+AX215</f>
        <v>10318.690000000006</v>
      </c>
      <c r="AZ212" s="62">
        <f t="shared" si="575"/>
        <v>19195.890000000003</v>
      </c>
      <c r="BA212" s="62">
        <f t="shared" si="575"/>
        <v>14657.490000000003</v>
      </c>
      <c r="BB212" s="62">
        <f t="shared" si="575"/>
        <v>10601.490000000003</v>
      </c>
      <c r="BC212" s="62">
        <f t="shared" si="575"/>
        <v>6323.4900000000034</v>
      </c>
      <c r="BD212" s="62">
        <f t="shared" si="575"/>
        <v>1611.4900000000034</v>
      </c>
      <c r="BE212" s="62">
        <f t="shared" si="575"/>
        <v>21541.090000000004</v>
      </c>
      <c r="BF212" s="62">
        <f t="shared" si="575"/>
        <v>14473.090000000004</v>
      </c>
      <c r="BG212" s="62">
        <f t="shared" si="575"/>
        <v>4321.0900000000038</v>
      </c>
      <c r="BH212" s="62">
        <f t="shared" si="575"/>
        <v>16532.290000000005</v>
      </c>
      <c r="BI212" s="62">
        <f t="shared" si="575"/>
        <v>25828.290000000008</v>
      </c>
      <c r="BJ212" s="62">
        <f t="shared" si="575"/>
        <v>14345.890000000009</v>
      </c>
    </row>
    <row r="213" spans="2:62" outlineLevel="1">
      <c r="B213" t="s">
        <v>291</v>
      </c>
      <c r="C213" s="80">
        <f>27160+26360</f>
        <v>53520</v>
      </c>
      <c r="D213" s="80">
        <f>26100</f>
        <v>26100</v>
      </c>
      <c r="E213" s="80"/>
      <c r="F213" s="80">
        <v>26000</v>
      </c>
      <c r="G213" s="80">
        <v>53000</v>
      </c>
      <c r="H213" s="80"/>
      <c r="I213" s="80"/>
      <c r="J213" s="80">
        <v>53000</v>
      </c>
      <c r="K213" s="80"/>
      <c r="L213" s="80"/>
      <c r="M213" s="80"/>
      <c r="N213" s="80"/>
      <c r="O213" s="80"/>
      <c r="P213" s="80">
        <v>26240</v>
      </c>
      <c r="Q213" s="80"/>
      <c r="R213" s="80"/>
      <c r="S213" s="80">
        <v>26420</v>
      </c>
      <c r="T213" s="474"/>
      <c r="U213" s="474"/>
      <c r="V213" s="474"/>
      <c r="W213" s="474"/>
      <c r="X213" s="80">
        <v>26300</v>
      </c>
      <c r="Y213" s="474"/>
      <c r="Z213" s="474"/>
      <c r="AA213" s="509">
        <v>24100</v>
      </c>
      <c r="AB213" s="474"/>
      <c r="AC213" s="474"/>
      <c r="AD213" s="474"/>
      <c r="AE213" s="509">
        <v>6000</v>
      </c>
      <c r="AF213" s="474"/>
      <c r="AG213" s="474"/>
      <c r="AH213" s="509">
        <v>28360</v>
      </c>
      <c r="AI213" s="474"/>
      <c r="AJ213" s="474">
        <v>26000</v>
      </c>
      <c r="AK213" s="474"/>
      <c r="AL213" s="474"/>
      <c r="AM213" s="474">
        <v>26000</v>
      </c>
      <c r="AN213" s="474"/>
      <c r="AO213" s="474"/>
      <c r="AP213" s="474"/>
      <c r="AQ213" s="474"/>
      <c r="AR213" s="474"/>
      <c r="AS213" s="474">
        <v>26000</v>
      </c>
      <c r="AT213" s="474"/>
      <c r="AU213" s="474">
        <v>26000</v>
      </c>
      <c r="AV213" s="474"/>
      <c r="AW213" s="474">
        <v>26000</v>
      </c>
      <c r="AX213" s="474"/>
      <c r="AY213" s="474">
        <v>26000</v>
      </c>
      <c r="AZ213" s="474"/>
      <c r="BA213" s="474"/>
      <c r="BB213" s="474"/>
      <c r="BC213" s="474"/>
      <c r="BD213" s="474">
        <v>26000</v>
      </c>
      <c r="BE213" s="474"/>
      <c r="BF213" s="474"/>
      <c r="BG213" s="474">
        <v>26000</v>
      </c>
      <c r="BH213" s="474">
        <v>26000</v>
      </c>
      <c r="BI213" s="474"/>
      <c r="BJ213" s="474"/>
    </row>
    <row r="214" spans="2:62" outlineLevel="1">
      <c r="B214" t="s">
        <v>292</v>
      </c>
      <c r="C214" s="62">
        <f t="shared" ref="C214:AH214" si="576">-(C195+C81)</f>
        <v>-28340.400000000001</v>
      </c>
      <c r="D214" s="62">
        <f t="shared" si="576"/>
        <v>-31417.880000000005</v>
      </c>
      <c r="E214" s="62">
        <f t="shared" si="576"/>
        <v>-21297</v>
      </c>
      <c r="F214" s="62">
        <f t="shared" si="576"/>
        <v>-22820.204180602006</v>
      </c>
      <c r="G214" s="62">
        <f t="shared" si="576"/>
        <v>-21835.161903212051</v>
      </c>
      <c r="H214" s="62">
        <f t="shared" si="576"/>
        <v>-14047.532288374108</v>
      </c>
      <c r="I214" s="62">
        <f t="shared" si="576"/>
        <v>-15113.305465004794</v>
      </c>
      <c r="J214" s="62">
        <f t="shared" si="576"/>
        <v>-13992.990411803683</v>
      </c>
      <c r="K214" s="62">
        <f t="shared" si="576"/>
        <v>-15220.076262626262</v>
      </c>
      <c r="L214" s="62">
        <f t="shared" si="576"/>
        <v>-6635.7</v>
      </c>
      <c r="M214" s="62">
        <f t="shared" si="576"/>
        <v>-9539.94</v>
      </c>
      <c r="N214" s="62">
        <f t="shared" si="576"/>
        <v>-9353.94</v>
      </c>
      <c r="O214" s="62">
        <f t="shared" si="576"/>
        <v>-7612.2000000000007</v>
      </c>
      <c r="P214" s="62">
        <f t="shared" si="576"/>
        <v>-7865.9400000000005</v>
      </c>
      <c r="Q214" s="62">
        <f t="shared" si="576"/>
        <v>-1890</v>
      </c>
      <c r="R214" s="62">
        <f t="shared" si="576"/>
        <v>-1953</v>
      </c>
      <c r="S214" s="62">
        <f t="shared" si="576"/>
        <v>-5741.2000000000007</v>
      </c>
      <c r="T214" s="62">
        <f t="shared" si="576"/>
        <v>-6643.5599999999995</v>
      </c>
      <c r="U214" s="62">
        <f t="shared" si="576"/>
        <v>-8314.2000000000007</v>
      </c>
      <c r="V214" s="62">
        <f t="shared" si="576"/>
        <v>-4548</v>
      </c>
      <c r="W214" s="62">
        <f t="shared" si="576"/>
        <v>-4844.99</v>
      </c>
      <c r="X214" s="62">
        <f t="shared" si="576"/>
        <v>-4351.2000000000007</v>
      </c>
      <c r="Y214" s="62">
        <f t="shared" si="576"/>
        <v>-7060.5599999999995</v>
      </c>
      <c r="Z214" s="62">
        <f t="shared" si="576"/>
        <v>-9680.68</v>
      </c>
      <c r="AA214" s="62">
        <f t="shared" si="576"/>
        <v>-6979.2000000000007</v>
      </c>
      <c r="AB214" s="62">
        <f t="shared" si="576"/>
        <v>-4649.07</v>
      </c>
      <c r="AC214" s="62">
        <f t="shared" si="576"/>
        <v>-3587.7</v>
      </c>
      <c r="AD214" s="62">
        <f t="shared" si="576"/>
        <v>-2977.5499999999997</v>
      </c>
      <c r="AE214" s="62">
        <f t="shared" si="576"/>
        <v>-3986.6</v>
      </c>
      <c r="AF214" s="62">
        <f t="shared" si="576"/>
        <v>-5054</v>
      </c>
      <c r="AG214" s="62">
        <f t="shared" si="576"/>
        <v>-5662.77</v>
      </c>
      <c r="AH214" s="62">
        <f t="shared" si="576"/>
        <v>-8209.7999999999993</v>
      </c>
      <c r="AI214" s="62">
        <f t="shared" ref="AI214:BJ214" si="577">-(AI195+AI81)</f>
        <v>-9952.5499999999993</v>
      </c>
      <c r="AJ214" s="62">
        <f t="shared" si="577"/>
        <v>-11952</v>
      </c>
      <c r="AK214" s="62">
        <f t="shared" si="577"/>
        <v>-8413.4</v>
      </c>
      <c r="AL214" s="62">
        <f t="shared" si="577"/>
        <v>-8422.7000000000007</v>
      </c>
      <c r="AM214" s="62">
        <f t="shared" si="577"/>
        <v>-13128</v>
      </c>
      <c r="AN214" s="62">
        <f t="shared" si="577"/>
        <v>-1562.3999999999999</v>
      </c>
      <c r="AO214" s="62">
        <f t="shared" si="577"/>
        <v>-3876</v>
      </c>
      <c r="AP214" s="62">
        <f t="shared" si="577"/>
        <v>-4092</v>
      </c>
      <c r="AQ214" s="62">
        <f t="shared" si="577"/>
        <v>-4526</v>
      </c>
      <c r="AR214" s="62">
        <f t="shared" si="577"/>
        <v>-5818.4</v>
      </c>
      <c r="AS214" s="62">
        <f t="shared" si="577"/>
        <v>-6502.5599999999995</v>
      </c>
      <c r="AT214" s="62">
        <f t="shared" si="577"/>
        <v>-9882</v>
      </c>
      <c r="AU214" s="62">
        <f t="shared" si="577"/>
        <v>-13401.3</v>
      </c>
      <c r="AV214" s="62">
        <f t="shared" si="577"/>
        <v>-16224</v>
      </c>
      <c r="AW214" s="62">
        <f t="shared" si="577"/>
        <v>-11172.4</v>
      </c>
      <c r="AX214" s="62">
        <f t="shared" si="577"/>
        <v>-10905.8</v>
      </c>
      <c r="AY214" s="62">
        <f t="shared" si="577"/>
        <v>-17122.8</v>
      </c>
      <c r="AZ214" s="62">
        <f t="shared" si="577"/>
        <v>-4538.3999999999996</v>
      </c>
      <c r="BA214" s="62">
        <f t="shared" si="577"/>
        <v>-4056</v>
      </c>
      <c r="BB214" s="62">
        <f t="shared" si="577"/>
        <v>-4278</v>
      </c>
      <c r="BC214" s="62">
        <f t="shared" si="577"/>
        <v>-4712</v>
      </c>
      <c r="BD214" s="62">
        <f t="shared" si="577"/>
        <v>-6070.4</v>
      </c>
      <c r="BE214" s="62">
        <f t="shared" si="577"/>
        <v>-7068</v>
      </c>
      <c r="BF214" s="62">
        <f t="shared" si="577"/>
        <v>-10152</v>
      </c>
      <c r="BG214" s="62">
        <f t="shared" si="577"/>
        <v>-13788.8</v>
      </c>
      <c r="BH214" s="62">
        <f t="shared" si="577"/>
        <v>-16704</v>
      </c>
      <c r="BI214" s="62">
        <f t="shared" si="577"/>
        <v>-11482.4</v>
      </c>
      <c r="BJ214" s="62">
        <f t="shared" si="577"/>
        <v>-11184.8</v>
      </c>
    </row>
    <row r="215" spans="2:62" outlineLevel="1">
      <c r="B215" t="s">
        <v>293</v>
      </c>
      <c r="C215" s="62">
        <f>SUM(C212:C214)</f>
        <v>50179.6</v>
      </c>
      <c r="D215" s="62">
        <f t="shared" ref="D215:AX215" si="578">SUM(D212:D214)</f>
        <v>44861.72</v>
      </c>
      <c r="E215" s="62">
        <f t="shared" si="578"/>
        <v>23564.720000000001</v>
      </c>
      <c r="F215" s="62">
        <f t="shared" si="578"/>
        <v>26744.515819397995</v>
      </c>
      <c r="G215" s="62">
        <f t="shared" si="578"/>
        <v>57909.353916185937</v>
      </c>
      <c r="H215" s="62">
        <f t="shared" si="578"/>
        <v>43861.821627811827</v>
      </c>
      <c r="I215" s="62">
        <f t="shared" si="578"/>
        <v>28748.516162807035</v>
      </c>
      <c r="J215" s="62">
        <f t="shared" si="578"/>
        <v>67755.525751003355</v>
      </c>
      <c r="K215" s="62">
        <f t="shared" si="578"/>
        <v>52535.449488377097</v>
      </c>
      <c r="L215" s="62">
        <f t="shared" si="578"/>
        <v>20044.3</v>
      </c>
      <c r="M215" s="62">
        <f t="shared" si="578"/>
        <v>10504.359999999999</v>
      </c>
      <c r="N215" s="62">
        <f t="shared" si="578"/>
        <v>1150.4199999999983</v>
      </c>
      <c r="O215" s="62">
        <f t="shared" si="578"/>
        <v>-6461.7800000000025</v>
      </c>
      <c r="P215" s="62">
        <f t="shared" si="578"/>
        <v>18374.059999999998</v>
      </c>
      <c r="Q215" s="62">
        <f t="shared" si="578"/>
        <v>16484.059999999998</v>
      </c>
      <c r="R215" s="62">
        <f t="shared" si="578"/>
        <v>14531.059999999998</v>
      </c>
      <c r="S215" s="62">
        <f>SUM(S212:S214)</f>
        <v>22928.799999999999</v>
      </c>
      <c r="T215" s="62">
        <f t="shared" si="578"/>
        <v>16285.24</v>
      </c>
      <c r="U215" s="62">
        <f t="shared" si="578"/>
        <v>7971.0399999999991</v>
      </c>
      <c r="V215" s="62">
        <f t="shared" si="578"/>
        <v>3423.0399999999991</v>
      </c>
      <c r="W215" s="62">
        <f t="shared" si="578"/>
        <v>-1421.9500000000007</v>
      </c>
      <c r="X215" s="62">
        <f t="shared" si="578"/>
        <v>21948.799999999999</v>
      </c>
      <c r="Y215" s="62">
        <f t="shared" si="578"/>
        <v>14888.24</v>
      </c>
      <c r="Z215" s="62">
        <f t="shared" si="578"/>
        <v>5207.5599999999995</v>
      </c>
      <c r="AA215" s="62">
        <f t="shared" si="578"/>
        <v>22328.359999999997</v>
      </c>
      <c r="AB215" s="62">
        <f t="shared" si="578"/>
        <v>17679.289999999997</v>
      </c>
      <c r="AC215" s="62">
        <f t="shared" si="578"/>
        <v>14091.589999999997</v>
      </c>
      <c r="AD215" s="62">
        <f t="shared" si="578"/>
        <v>-2977.5499999999997</v>
      </c>
      <c r="AE215" s="62">
        <f t="shared" si="578"/>
        <v>-964.14999999999964</v>
      </c>
      <c r="AF215" s="62">
        <f t="shared" si="578"/>
        <v>-6018.15</v>
      </c>
      <c r="AG215" s="62">
        <f t="shared" si="578"/>
        <v>-11680.92</v>
      </c>
      <c r="AH215" s="62">
        <f t="shared" si="578"/>
        <v>20150.2</v>
      </c>
      <c r="AI215" s="62">
        <f t="shared" si="578"/>
        <v>10197.650000000001</v>
      </c>
      <c r="AJ215" s="62">
        <f t="shared" si="578"/>
        <v>24245.65</v>
      </c>
      <c r="AK215" s="62">
        <f t="shared" si="578"/>
        <v>15832.250000000002</v>
      </c>
      <c r="AL215" s="62">
        <f t="shared" si="578"/>
        <v>7409.5500000000011</v>
      </c>
      <c r="AM215" s="62">
        <f t="shared" si="578"/>
        <v>20281.550000000003</v>
      </c>
      <c r="AN215" s="62">
        <f t="shared" si="578"/>
        <v>18719.150000000001</v>
      </c>
      <c r="AO215" s="62">
        <f t="shared" si="578"/>
        <v>14843.150000000001</v>
      </c>
      <c r="AP215" s="62">
        <f t="shared" si="578"/>
        <v>10751.150000000001</v>
      </c>
      <c r="AQ215" s="62">
        <f t="shared" si="578"/>
        <v>6225.1500000000015</v>
      </c>
      <c r="AR215" s="62">
        <f t="shared" si="578"/>
        <v>406.75000000000182</v>
      </c>
      <c r="AS215" s="62">
        <f t="shared" si="578"/>
        <v>19904.190000000002</v>
      </c>
      <c r="AT215" s="62">
        <f t="shared" si="578"/>
        <v>10022.190000000002</v>
      </c>
      <c r="AU215" s="62">
        <f t="shared" si="578"/>
        <v>22620.890000000003</v>
      </c>
      <c r="AV215" s="62">
        <f t="shared" si="578"/>
        <v>6396.8900000000031</v>
      </c>
      <c r="AW215" s="62">
        <f t="shared" si="578"/>
        <v>21224.490000000005</v>
      </c>
      <c r="AX215" s="62">
        <f t="shared" si="578"/>
        <v>10318.690000000006</v>
      </c>
      <c r="AY215" s="62">
        <f t="shared" ref="AY215:BJ215" si="579">SUM(AY212:AY214)</f>
        <v>19195.890000000003</v>
      </c>
      <c r="AZ215" s="62">
        <f t="shared" si="579"/>
        <v>14657.490000000003</v>
      </c>
      <c r="BA215" s="62">
        <f t="shared" si="579"/>
        <v>10601.490000000003</v>
      </c>
      <c r="BB215" s="62">
        <f t="shared" si="579"/>
        <v>6323.4900000000034</v>
      </c>
      <c r="BC215" s="62">
        <f t="shared" si="579"/>
        <v>1611.4900000000034</v>
      </c>
      <c r="BD215" s="62">
        <f t="shared" si="579"/>
        <v>21541.090000000004</v>
      </c>
      <c r="BE215" s="62">
        <f t="shared" si="579"/>
        <v>14473.090000000004</v>
      </c>
      <c r="BF215" s="62">
        <f t="shared" si="579"/>
        <v>4321.0900000000038</v>
      </c>
      <c r="BG215" s="62">
        <f t="shared" si="579"/>
        <v>16532.290000000005</v>
      </c>
      <c r="BH215" s="62">
        <f t="shared" si="579"/>
        <v>25828.290000000008</v>
      </c>
      <c r="BI215" s="62">
        <f t="shared" si="579"/>
        <v>14345.890000000009</v>
      </c>
      <c r="BJ215" s="62">
        <f t="shared" si="579"/>
        <v>3161.0900000000092</v>
      </c>
    </row>
    <row r="216" spans="2:62" outlineLevel="1">
      <c r="B216" t="s">
        <v>222</v>
      </c>
      <c r="C216" s="62">
        <f t="shared" ref="C216:AX216" si="580">C213*C291</f>
        <v>12734.5488</v>
      </c>
      <c r="D216" s="62">
        <f t="shared" si="580"/>
        <v>6210.2340000000004</v>
      </c>
      <c r="E216" s="62">
        <f t="shared" si="580"/>
        <v>0</v>
      </c>
      <c r="F216" s="62">
        <f t="shared" si="580"/>
        <v>6186.4400000000005</v>
      </c>
      <c r="G216" s="62">
        <f t="shared" si="580"/>
        <v>12610.820000000002</v>
      </c>
      <c r="H216" s="62">
        <f t="shared" si="580"/>
        <v>0</v>
      </c>
      <c r="I216" s="62">
        <f t="shared" si="580"/>
        <v>0</v>
      </c>
      <c r="J216" s="62">
        <f t="shared" si="580"/>
        <v>12610.820000000002</v>
      </c>
      <c r="K216" s="62">
        <f t="shared" si="580"/>
        <v>0</v>
      </c>
      <c r="L216" s="62">
        <f t="shared" si="580"/>
        <v>0</v>
      </c>
      <c r="M216" s="62">
        <f t="shared" si="580"/>
        <v>0</v>
      </c>
      <c r="N216" s="62">
        <f t="shared" si="580"/>
        <v>0</v>
      </c>
      <c r="O216" s="62">
        <f t="shared" si="580"/>
        <v>0</v>
      </c>
      <c r="P216" s="62">
        <f t="shared" si="580"/>
        <v>5720.32</v>
      </c>
      <c r="Q216" s="62">
        <f t="shared" si="580"/>
        <v>0</v>
      </c>
      <c r="R216" s="62">
        <f t="shared" si="580"/>
        <v>0</v>
      </c>
      <c r="S216" s="62">
        <f t="shared" si="580"/>
        <v>6420.0599999999995</v>
      </c>
      <c r="T216" s="62">
        <f t="shared" si="580"/>
        <v>0</v>
      </c>
      <c r="U216" s="62">
        <f t="shared" si="580"/>
        <v>0</v>
      </c>
      <c r="V216" s="62">
        <f t="shared" si="580"/>
        <v>0</v>
      </c>
      <c r="W216" s="62">
        <f t="shared" si="580"/>
        <v>0</v>
      </c>
      <c r="X216" s="62">
        <f t="shared" si="580"/>
        <v>6390.9</v>
      </c>
      <c r="Y216" s="62">
        <f t="shared" si="580"/>
        <v>0</v>
      </c>
      <c r="Z216" s="62">
        <f t="shared" si="580"/>
        <v>0</v>
      </c>
      <c r="AA216" s="62">
        <f t="shared" si="580"/>
        <v>5302</v>
      </c>
      <c r="AB216" s="62">
        <f t="shared" si="580"/>
        <v>0</v>
      </c>
      <c r="AC216" s="62">
        <f t="shared" si="580"/>
        <v>0</v>
      </c>
      <c r="AD216" s="62">
        <f t="shared" si="580"/>
        <v>0</v>
      </c>
      <c r="AE216" s="62">
        <f t="shared" si="580"/>
        <v>1320</v>
      </c>
      <c r="AF216" s="62">
        <f t="shared" si="580"/>
        <v>0</v>
      </c>
      <c r="AG216" s="62">
        <f t="shared" si="580"/>
        <v>0</v>
      </c>
      <c r="AH216" s="62">
        <f t="shared" si="580"/>
        <v>6607.88</v>
      </c>
      <c r="AI216" s="62">
        <f t="shared" si="580"/>
        <v>0</v>
      </c>
      <c r="AJ216" s="62">
        <f t="shared" si="580"/>
        <v>6058</v>
      </c>
      <c r="AK216" s="62">
        <f t="shared" si="580"/>
        <v>0</v>
      </c>
      <c r="AL216" s="62">
        <f t="shared" si="580"/>
        <v>0</v>
      </c>
      <c r="AM216" s="62">
        <f t="shared" si="580"/>
        <v>6058</v>
      </c>
      <c r="AN216" s="62">
        <f t="shared" si="580"/>
        <v>0</v>
      </c>
      <c r="AO216" s="62">
        <f t="shared" si="580"/>
        <v>0</v>
      </c>
      <c r="AP216" s="62">
        <f t="shared" si="580"/>
        <v>0</v>
      </c>
      <c r="AQ216" s="62">
        <f t="shared" si="580"/>
        <v>0</v>
      </c>
      <c r="AR216" s="62">
        <f t="shared" si="580"/>
        <v>0</v>
      </c>
      <c r="AS216" s="62">
        <f t="shared" si="580"/>
        <v>6058</v>
      </c>
      <c r="AT216" s="62">
        <f t="shared" si="580"/>
        <v>0</v>
      </c>
      <c r="AU216" s="62">
        <f t="shared" si="580"/>
        <v>6058</v>
      </c>
      <c r="AV216" s="62">
        <f t="shared" si="580"/>
        <v>0</v>
      </c>
      <c r="AW216" s="62">
        <f t="shared" si="580"/>
        <v>6058</v>
      </c>
      <c r="AX216" s="62">
        <f t="shared" si="580"/>
        <v>0</v>
      </c>
      <c r="AY216" s="62">
        <f t="shared" ref="AY216:BJ216" si="581">AY213*AY291</f>
        <v>5668</v>
      </c>
      <c r="AZ216" s="62">
        <f t="shared" si="581"/>
        <v>0</v>
      </c>
      <c r="BA216" s="62">
        <f t="shared" si="581"/>
        <v>0</v>
      </c>
      <c r="BB216" s="62">
        <f t="shared" si="581"/>
        <v>0</v>
      </c>
      <c r="BC216" s="62">
        <f t="shared" si="581"/>
        <v>0</v>
      </c>
      <c r="BD216" s="62">
        <f t="shared" si="581"/>
        <v>5668</v>
      </c>
      <c r="BE216" s="62">
        <f t="shared" si="581"/>
        <v>0</v>
      </c>
      <c r="BF216" s="62">
        <f t="shared" si="581"/>
        <v>0</v>
      </c>
      <c r="BG216" s="62">
        <f t="shared" si="581"/>
        <v>5668</v>
      </c>
      <c r="BH216" s="62">
        <f t="shared" si="581"/>
        <v>5668</v>
      </c>
      <c r="BI216" s="62">
        <f t="shared" si="581"/>
        <v>0</v>
      </c>
      <c r="BJ216" s="62">
        <f t="shared" si="581"/>
        <v>0</v>
      </c>
    </row>
    <row r="217" spans="2:62" outlineLevel="1"/>
    <row r="218" spans="2:62" outlineLevel="1">
      <c r="B218" s="54" t="s">
        <v>294</v>
      </c>
      <c r="C218" t="s">
        <v>295</v>
      </c>
      <c r="O218" s="124" t="s">
        <v>296</v>
      </c>
      <c r="P218" s="124"/>
      <c r="Q218" s="124"/>
      <c r="R218" s="124"/>
    </row>
    <row r="219" spans="2:62" outlineLevel="1">
      <c r="B219" t="s">
        <v>290</v>
      </c>
      <c r="C219" s="80">
        <v>45000</v>
      </c>
      <c r="D219" s="62">
        <f>+C222</f>
        <v>13767.300000000003</v>
      </c>
      <c r="E219" s="62">
        <f>+D222</f>
        <v>13767.300000000003</v>
      </c>
      <c r="F219" s="62">
        <f t="shared" ref="F219:AX219" si="582">+E222</f>
        <v>13767.300000000003</v>
      </c>
      <c r="G219" s="62">
        <f t="shared" si="582"/>
        <v>13767.300000000003</v>
      </c>
      <c r="H219" s="62">
        <f t="shared" si="582"/>
        <v>13767.300000000003</v>
      </c>
      <c r="I219" s="62">
        <f t="shared" si="582"/>
        <v>13767.300000000003</v>
      </c>
      <c r="J219" s="62">
        <f t="shared" si="582"/>
        <v>13767.300000000003</v>
      </c>
      <c r="K219" s="62">
        <f t="shared" si="582"/>
        <v>13767.300000000003</v>
      </c>
      <c r="L219" s="80">
        <v>4000</v>
      </c>
      <c r="M219" s="62">
        <f t="shared" si="582"/>
        <v>4000</v>
      </c>
      <c r="N219" s="62">
        <f t="shared" si="582"/>
        <v>4000</v>
      </c>
      <c r="O219" s="62">
        <f t="shared" si="582"/>
        <v>4000</v>
      </c>
      <c r="P219" s="80">
        <v>0</v>
      </c>
      <c r="Q219" s="62">
        <f t="shared" si="582"/>
        <v>0</v>
      </c>
      <c r="R219" s="62">
        <f t="shared" si="582"/>
        <v>0</v>
      </c>
      <c r="S219" s="62">
        <f t="shared" si="582"/>
        <v>0</v>
      </c>
      <c r="T219" s="62">
        <f t="shared" si="582"/>
        <v>0</v>
      </c>
      <c r="U219" s="62">
        <f t="shared" si="582"/>
        <v>0</v>
      </c>
      <c r="V219" s="62">
        <f t="shared" si="582"/>
        <v>0</v>
      </c>
      <c r="W219" s="62">
        <f t="shared" si="582"/>
        <v>0</v>
      </c>
      <c r="X219" s="62">
        <f t="shared" si="582"/>
        <v>0</v>
      </c>
      <c r="Y219" s="62">
        <f t="shared" si="582"/>
        <v>0</v>
      </c>
      <c r="Z219" s="62">
        <f t="shared" si="582"/>
        <v>0</v>
      </c>
      <c r="AA219" s="62">
        <f t="shared" si="582"/>
        <v>0</v>
      </c>
      <c r="AB219" s="62">
        <f t="shared" si="582"/>
        <v>21024</v>
      </c>
      <c r="AC219" s="62">
        <f t="shared" si="582"/>
        <v>31130.240000000002</v>
      </c>
      <c r="AD219" s="62">
        <f t="shared" si="582"/>
        <v>29114.240000000002</v>
      </c>
      <c r="AE219" s="62">
        <f t="shared" si="582"/>
        <v>27049.640000000003</v>
      </c>
      <c r="AF219" s="62">
        <f t="shared" si="582"/>
        <v>24985.040000000005</v>
      </c>
      <c r="AG219" s="62">
        <f t="shared" si="582"/>
        <v>22187.840000000004</v>
      </c>
      <c r="AH219" s="62">
        <f t="shared" si="582"/>
        <v>19090.940000000002</v>
      </c>
      <c r="AI219" s="80">
        <v>0</v>
      </c>
      <c r="AJ219" s="62">
        <f t="shared" si="582"/>
        <v>-8563.75</v>
      </c>
      <c r="AK219" s="62">
        <f t="shared" si="582"/>
        <v>4828.25</v>
      </c>
      <c r="AL219" s="62">
        <f t="shared" si="582"/>
        <v>-2022.75</v>
      </c>
      <c r="AM219" s="62">
        <f t="shared" si="582"/>
        <v>-8188.6500000000005</v>
      </c>
      <c r="AN219" s="62">
        <f t="shared" si="582"/>
        <v>5203.3499999999985</v>
      </c>
      <c r="AO219" s="62">
        <f t="shared" si="582"/>
        <v>5203.3499999999985</v>
      </c>
      <c r="AP219" s="62">
        <f t="shared" si="582"/>
        <v>2503.3499999999985</v>
      </c>
      <c r="AQ219" s="62">
        <f t="shared" si="582"/>
        <v>23713.35</v>
      </c>
      <c r="AR219" s="62">
        <f t="shared" si="582"/>
        <v>20923.349999999999</v>
      </c>
      <c r="AS219" s="62">
        <f t="shared" si="582"/>
        <v>17143.349999999999</v>
      </c>
      <c r="AT219" s="62">
        <f t="shared" si="582"/>
        <v>12958.349999999999</v>
      </c>
      <c r="AU219" s="62">
        <f t="shared" si="582"/>
        <v>4588.3499999999985</v>
      </c>
      <c r="AV219" s="62">
        <f t="shared" si="582"/>
        <v>16575.849999999999</v>
      </c>
      <c r="AW219" s="62">
        <f t="shared" si="582"/>
        <v>1695.8499999999985</v>
      </c>
      <c r="AX219" s="62">
        <f t="shared" si="582"/>
        <v>16085.849999999999</v>
      </c>
      <c r="AY219" s="62">
        <f t="shared" ref="AY219:BJ219" si="583">+AX222</f>
        <v>7436.8499999999985</v>
      </c>
      <c r="AZ219" s="62">
        <f t="shared" si="583"/>
        <v>16556.849999999999</v>
      </c>
      <c r="BA219" s="62">
        <f t="shared" si="583"/>
        <v>13680.05</v>
      </c>
      <c r="BB219" s="62">
        <f t="shared" si="583"/>
        <v>10800.05</v>
      </c>
      <c r="BC219" s="62">
        <f t="shared" si="583"/>
        <v>7824.0499999999993</v>
      </c>
      <c r="BD219" s="62">
        <f t="shared" si="583"/>
        <v>4848.0499999999993</v>
      </c>
      <c r="BE219" s="62">
        <f t="shared" si="583"/>
        <v>816.04999999999927</v>
      </c>
      <c r="BF219" s="62">
        <f t="shared" si="583"/>
        <v>20352.05</v>
      </c>
      <c r="BG219" s="62">
        <f t="shared" si="583"/>
        <v>11712.05</v>
      </c>
      <c r="BH219" s="62">
        <f t="shared" si="583"/>
        <v>23312.050000000003</v>
      </c>
      <c r="BI219" s="62">
        <f t="shared" si="583"/>
        <v>7952.0500000000029</v>
      </c>
      <c r="BJ219" s="62">
        <f t="shared" si="583"/>
        <v>-1967.9499999999971</v>
      </c>
    </row>
    <row r="220" spans="2:62" outlineLevel="1">
      <c r="B220" t="s">
        <v>291</v>
      </c>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v>25440</v>
      </c>
      <c r="AB220" s="509">
        <v>12120</v>
      </c>
      <c r="AC220" s="80"/>
      <c r="AD220" s="474"/>
      <c r="AE220" s="474"/>
      <c r="AF220" s="474"/>
      <c r="AG220" s="474"/>
      <c r="AH220" s="509">
        <v>4500</v>
      </c>
      <c r="AI220" s="474"/>
      <c r="AJ220" s="474">
        <v>24000</v>
      </c>
      <c r="AK220" s="474"/>
      <c r="AL220" s="474"/>
      <c r="AM220" s="474">
        <v>24000</v>
      </c>
      <c r="AN220" s="474"/>
      <c r="AO220" s="474"/>
      <c r="AP220" s="474">
        <v>24000</v>
      </c>
      <c r="AQ220" s="474"/>
      <c r="AR220" s="474"/>
      <c r="AS220" s="474"/>
      <c r="AT220" s="474"/>
      <c r="AU220" s="474">
        <v>24000</v>
      </c>
      <c r="AV220" s="474"/>
      <c r="AW220" s="474">
        <v>24000</v>
      </c>
      <c r="AX220" s="80"/>
      <c r="AY220" s="474">
        <v>24000</v>
      </c>
      <c r="AZ220" s="474"/>
      <c r="BA220" s="80"/>
      <c r="BB220" s="474"/>
      <c r="BC220" s="474"/>
      <c r="BD220" s="474"/>
      <c r="BE220" s="474">
        <v>24000</v>
      </c>
      <c r="BF220" s="474"/>
      <c r="BG220" s="474">
        <v>24000</v>
      </c>
      <c r="BH220" s="474"/>
      <c r="BI220" s="80"/>
      <c r="BJ220" s="474">
        <v>12000</v>
      </c>
    </row>
    <row r="221" spans="2:62" outlineLevel="1">
      <c r="B221" t="s">
        <v>292</v>
      </c>
      <c r="C221" s="62">
        <f>-C197-C82</f>
        <v>-31232.699999999997</v>
      </c>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f t="shared" ref="AA221:BJ221" si="584">-(AA198+AA82)</f>
        <v>-4416.0000000000009</v>
      </c>
      <c r="AB221" s="62">
        <f t="shared" si="584"/>
        <v>-2013.7599999999998</v>
      </c>
      <c r="AC221" s="62">
        <f t="shared" si="584"/>
        <v>-2016</v>
      </c>
      <c r="AD221" s="62">
        <f t="shared" si="584"/>
        <v>-2064.6</v>
      </c>
      <c r="AE221" s="62">
        <f t="shared" si="584"/>
        <v>-2064.6</v>
      </c>
      <c r="AF221" s="62">
        <f t="shared" si="584"/>
        <v>-2797.2000000000003</v>
      </c>
      <c r="AG221" s="62">
        <f t="shared" si="584"/>
        <v>-3096.9</v>
      </c>
      <c r="AH221" s="62">
        <f t="shared" si="584"/>
        <v>-5967</v>
      </c>
      <c r="AI221" s="62">
        <f t="shared" si="584"/>
        <v>-8563.75</v>
      </c>
      <c r="AJ221" s="62">
        <f t="shared" si="584"/>
        <v>-10608</v>
      </c>
      <c r="AK221" s="62">
        <f t="shared" si="584"/>
        <v>-6851</v>
      </c>
      <c r="AL221" s="62">
        <f t="shared" si="584"/>
        <v>-6165.9000000000005</v>
      </c>
      <c r="AM221" s="62">
        <f t="shared" si="584"/>
        <v>-10608</v>
      </c>
      <c r="AN221" s="62">
        <f t="shared" si="584"/>
        <v>0</v>
      </c>
      <c r="AO221" s="62">
        <f t="shared" si="584"/>
        <v>-2700</v>
      </c>
      <c r="AP221" s="62">
        <f t="shared" si="584"/>
        <v>-2790</v>
      </c>
      <c r="AQ221" s="62">
        <f t="shared" si="584"/>
        <v>-2790</v>
      </c>
      <c r="AR221" s="62">
        <f t="shared" si="584"/>
        <v>-3780</v>
      </c>
      <c r="AS221" s="62">
        <f t="shared" si="584"/>
        <v>-4185</v>
      </c>
      <c r="AT221" s="62">
        <f t="shared" si="584"/>
        <v>-8370</v>
      </c>
      <c r="AU221" s="62">
        <f t="shared" si="584"/>
        <v>-12012.5</v>
      </c>
      <c r="AV221" s="62">
        <f t="shared" si="584"/>
        <v>-14880</v>
      </c>
      <c r="AW221" s="62">
        <f t="shared" si="584"/>
        <v>-9610</v>
      </c>
      <c r="AX221" s="62">
        <f t="shared" si="584"/>
        <v>-8649</v>
      </c>
      <c r="AY221" s="62">
        <f t="shared" si="584"/>
        <v>-14880</v>
      </c>
      <c r="AZ221" s="62">
        <f t="shared" si="584"/>
        <v>-2876.7999999999997</v>
      </c>
      <c r="BA221" s="62">
        <f t="shared" si="584"/>
        <v>-2880</v>
      </c>
      <c r="BB221" s="62">
        <f t="shared" si="584"/>
        <v>-2976</v>
      </c>
      <c r="BC221" s="62">
        <f t="shared" si="584"/>
        <v>-2976</v>
      </c>
      <c r="BD221" s="62">
        <f t="shared" si="584"/>
        <v>-4032</v>
      </c>
      <c r="BE221" s="62">
        <f t="shared" si="584"/>
        <v>-4464</v>
      </c>
      <c r="BF221" s="62">
        <f t="shared" si="584"/>
        <v>-8640</v>
      </c>
      <c r="BG221" s="62">
        <f t="shared" si="584"/>
        <v>-12400</v>
      </c>
      <c r="BH221" s="62">
        <f t="shared" si="584"/>
        <v>-15360</v>
      </c>
      <c r="BI221" s="62">
        <f t="shared" si="584"/>
        <v>-9920</v>
      </c>
      <c r="BJ221" s="62">
        <f t="shared" si="584"/>
        <v>-8928</v>
      </c>
    </row>
    <row r="222" spans="2:62" outlineLevel="1">
      <c r="B222" t="s">
        <v>293</v>
      </c>
      <c r="C222" s="62">
        <f>SUM(C219:C221)</f>
        <v>13767.300000000003</v>
      </c>
      <c r="D222" s="62">
        <f t="shared" ref="D222" si="585">SUM(D219:D221)</f>
        <v>13767.300000000003</v>
      </c>
      <c r="E222" s="62">
        <f>SUM(E219:E221)</f>
        <v>13767.300000000003</v>
      </c>
      <c r="F222" s="62">
        <f>SUM(F219:F221)</f>
        <v>13767.300000000003</v>
      </c>
      <c r="G222" s="62">
        <f t="shared" ref="G222:J222" si="586">SUM(G219:G221)</f>
        <v>13767.300000000003</v>
      </c>
      <c r="H222" s="62">
        <f t="shared" si="586"/>
        <v>13767.300000000003</v>
      </c>
      <c r="I222" s="62">
        <f t="shared" si="586"/>
        <v>13767.300000000003</v>
      </c>
      <c r="J222" s="62">
        <f t="shared" si="586"/>
        <v>13767.300000000003</v>
      </c>
      <c r="K222" s="62">
        <f>SUM(K219:K221)</f>
        <v>13767.300000000003</v>
      </c>
      <c r="L222" s="62">
        <f t="shared" ref="L222:AX222" si="587">SUM(L219:L221)</f>
        <v>4000</v>
      </c>
      <c r="M222" s="62">
        <f t="shared" si="587"/>
        <v>4000</v>
      </c>
      <c r="N222" s="62">
        <f t="shared" si="587"/>
        <v>4000</v>
      </c>
      <c r="O222" s="62">
        <f t="shared" si="587"/>
        <v>4000</v>
      </c>
      <c r="P222" s="62">
        <f t="shared" si="587"/>
        <v>0</v>
      </c>
      <c r="Q222" s="62">
        <f t="shared" si="587"/>
        <v>0</v>
      </c>
      <c r="R222" s="62">
        <f t="shared" si="587"/>
        <v>0</v>
      </c>
      <c r="S222" s="62">
        <f t="shared" si="587"/>
        <v>0</v>
      </c>
      <c r="T222" s="62">
        <f t="shared" si="587"/>
        <v>0</v>
      </c>
      <c r="U222" s="62">
        <f t="shared" si="587"/>
        <v>0</v>
      </c>
      <c r="V222" s="62">
        <f t="shared" si="587"/>
        <v>0</v>
      </c>
      <c r="W222" s="62">
        <f t="shared" si="587"/>
        <v>0</v>
      </c>
      <c r="X222" s="62">
        <f t="shared" si="587"/>
        <v>0</v>
      </c>
      <c r="Y222" s="62">
        <f t="shared" si="587"/>
        <v>0</v>
      </c>
      <c r="Z222" s="62">
        <f t="shared" si="587"/>
        <v>0</v>
      </c>
      <c r="AA222" s="62">
        <f t="shared" si="587"/>
        <v>21024</v>
      </c>
      <c r="AB222" s="62">
        <f t="shared" si="587"/>
        <v>31130.240000000002</v>
      </c>
      <c r="AC222" s="62">
        <f t="shared" si="587"/>
        <v>29114.240000000002</v>
      </c>
      <c r="AD222" s="62">
        <f t="shared" si="587"/>
        <v>27049.640000000003</v>
      </c>
      <c r="AE222" s="62">
        <f t="shared" si="587"/>
        <v>24985.040000000005</v>
      </c>
      <c r="AF222" s="62">
        <f t="shared" si="587"/>
        <v>22187.840000000004</v>
      </c>
      <c r="AG222" s="62">
        <f t="shared" si="587"/>
        <v>19090.940000000002</v>
      </c>
      <c r="AH222" s="62">
        <f t="shared" si="587"/>
        <v>17623.940000000002</v>
      </c>
      <c r="AI222" s="62">
        <f t="shared" si="587"/>
        <v>-8563.75</v>
      </c>
      <c r="AJ222" s="62">
        <f t="shared" si="587"/>
        <v>4828.25</v>
      </c>
      <c r="AK222" s="62">
        <f t="shared" si="587"/>
        <v>-2022.75</v>
      </c>
      <c r="AL222" s="62">
        <f t="shared" si="587"/>
        <v>-8188.6500000000005</v>
      </c>
      <c r="AM222" s="62">
        <f t="shared" si="587"/>
        <v>5203.3499999999985</v>
      </c>
      <c r="AN222" s="62">
        <f t="shared" si="587"/>
        <v>5203.3499999999985</v>
      </c>
      <c r="AO222" s="62">
        <f t="shared" si="587"/>
        <v>2503.3499999999985</v>
      </c>
      <c r="AP222" s="62">
        <f t="shared" si="587"/>
        <v>23713.35</v>
      </c>
      <c r="AQ222" s="62">
        <f t="shared" si="587"/>
        <v>20923.349999999999</v>
      </c>
      <c r="AR222" s="62">
        <f t="shared" si="587"/>
        <v>17143.349999999999</v>
      </c>
      <c r="AS222" s="62">
        <f t="shared" si="587"/>
        <v>12958.349999999999</v>
      </c>
      <c r="AT222" s="62">
        <f t="shared" si="587"/>
        <v>4588.3499999999985</v>
      </c>
      <c r="AU222" s="62">
        <f t="shared" si="587"/>
        <v>16575.849999999999</v>
      </c>
      <c r="AV222" s="62">
        <f t="shared" si="587"/>
        <v>1695.8499999999985</v>
      </c>
      <c r="AW222" s="62">
        <f t="shared" si="587"/>
        <v>16085.849999999999</v>
      </c>
      <c r="AX222" s="62">
        <f t="shared" si="587"/>
        <v>7436.8499999999985</v>
      </c>
      <c r="AY222" s="62">
        <f t="shared" ref="AY222:BJ222" si="588">SUM(AY219:AY221)</f>
        <v>16556.849999999999</v>
      </c>
      <c r="AZ222" s="62">
        <f t="shared" si="588"/>
        <v>13680.05</v>
      </c>
      <c r="BA222" s="62">
        <f t="shared" si="588"/>
        <v>10800.05</v>
      </c>
      <c r="BB222" s="62">
        <f t="shared" si="588"/>
        <v>7824.0499999999993</v>
      </c>
      <c r="BC222" s="62">
        <f t="shared" si="588"/>
        <v>4848.0499999999993</v>
      </c>
      <c r="BD222" s="62">
        <f t="shared" si="588"/>
        <v>816.04999999999927</v>
      </c>
      <c r="BE222" s="62">
        <f t="shared" si="588"/>
        <v>20352.05</v>
      </c>
      <c r="BF222" s="62">
        <f t="shared" si="588"/>
        <v>11712.05</v>
      </c>
      <c r="BG222" s="62">
        <f t="shared" si="588"/>
        <v>23312.050000000003</v>
      </c>
      <c r="BH222" s="62">
        <f t="shared" si="588"/>
        <v>7952.0500000000029</v>
      </c>
      <c r="BI222" s="62">
        <f t="shared" si="588"/>
        <v>-1967.9499999999971</v>
      </c>
      <c r="BJ222" s="62">
        <f t="shared" si="588"/>
        <v>1104.0500000000029</v>
      </c>
    </row>
    <row r="223" spans="2:62" outlineLevel="1">
      <c r="B223" t="s">
        <v>222</v>
      </c>
      <c r="C223" s="62">
        <f t="shared" ref="C223:AX223" si="589">C220*C292</f>
        <v>0</v>
      </c>
      <c r="D223" s="62">
        <f t="shared" si="589"/>
        <v>0</v>
      </c>
      <c r="E223" s="62">
        <f t="shared" si="589"/>
        <v>0</v>
      </c>
      <c r="F223" s="62">
        <f t="shared" si="589"/>
        <v>0</v>
      </c>
      <c r="G223" s="62">
        <f t="shared" si="589"/>
        <v>0</v>
      </c>
      <c r="H223" s="62">
        <f t="shared" si="589"/>
        <v>0</v>
      </c>
      <c r="I223" s="62">
        <f t="shared" si="589"/>
        <v>0</v>
      </c>
      <c r="J223" s="62">
        <f t="shared" si="589"/>
        <v>0</v>
      </c>
      <c r="K223" s="62">
        <f t="shared" si="589"/>
        <v>0</v>
      </c>
      <c r="L223" s="62">
        <f t="shared" si="589"/>
        <v>0</v>
      </c>
      <c r="M223" s="62">
        <f t="shared" si="589"/>
        <v>0</v>
      </c>
      <c r="N223" s="62">
        <f t="shared" si="589"/>
        <v>0</v>
      </c>
      <c r="O223" s="62">
        <f t="shared" si="589"/>
        <v>0</v>
      </c>
      <c r="P223" s="62">
        <f t="shared" si="589"/>
        <v>0</v>
      </c>
      <c r="Q223" s="62">
        <f t="shared" si="589"/>
        <v>0</v>
      </c>
      <c r="R223" s="62">
        <f t="shared" si="589"/>
        <v>0</v>
      </c>
      <c r="S223" s="62">
        <f t="shared" si="589"/>
        <v>0</v>
      </c>
      <c r="T223" s="62">
        <f t="shared" si="589"/>
        <v>0</v>
      </c>
      <c r="U223" s="62">
        <f t="shared" si="589"/>
        <v>0</v>
      </c>
      <c r="V223" s="62">
        <f t="shared" si="589"/>
        <v>0</v>
      </c>
      <c r="W223" s="62">
        <f t="shared" si="589"/>
        <v>0</v>
      </c>
      <c r="X223" s="62">
        <f t="shared" si="589"/>
        <v>0</v>
      </c>
      <c r="Y223" s="62">
        <f t="shared" si="589"/>
        <v>0</v>
      </c>
      <c r="Z223" s="62">
        <f t="shared" si="589"/>
        <v>0</v>
      </c>
      <c r="AA223" s="62">
        <f t="shared" si="589"/>
        <v>7504.7999999999993</v>
      </c>
      <c r="AB223" s="62">
        <f>AB220*AB292</f>
        <v>3575.3999999999996</v>
      </c>
      <c r="AC223" s="62">
        <f t="shared" si="589"/>
        <v>0</v>
      </c>
      <c r="AD223" s="62">
        <f t="shared" si="589"/>
        <v>0</v>
      </c>
      <c r="AE223" s="62">
        <f t="shared" si="589"/>
        <v>0</v>
      </c>
      <c r="AF223" s="62">
        <f t="shared" si="589"/>
        <v>0</v>
      </c>
      <c r="AG223" s="62">
        <f t="shared" si="589"/>
        <v>0</v>
      </c>
      <c r="AH223" s="62">
        <f t="shared" si="589"/>
        <v>1327.5</v>
      </c>
      <c r="AI223" s="62">
        <f t="shared" si="589"/>
        <v>0</v>
      </c>
      <c r="AJ223" s="62">
        <f t="shared" si="589"/>
        <v>7080</v>
      </c>
      <c r="AK223" s="62">
        <f t="shared" si="589"/>
        <v>0</v>
      </c>
      <c r="AL223" s="62">
        <f t="shared" si="589"/>
        <v>0</v>
      </c>
      <c r="AM223" s="62">
        <f t="shared" si="589"/>
        <v>7080</v>
      </c>
      <c r="AN223" s="62">
        <f t="shared" si="589"/>
        <v>0</v>
      </c>
      <c r="AO223" s="62">
        <f t="shared" si="589"/>
        <v>0</v>
      </c>
      <c r="AP223" s="62">
        <f t="shared" si="589"/>
        <v>7080</v>
      </c>
      <c r="AQ223" s="62">
        <f t="shared" si="589"/>
        <v>0</v>
      </c>
      <c r="AR223" s="62">
        <f t="shared" si="589"/>
        <v>0</v>
      </c>
      <c r="AS223" s="62">
        <f t="shared" si="589"/>
        <v>0</v>
      </c>
      <c r="AT223" s="62">
        <f t="shared" si="589"/>
        <v>0</v>
      </c>
      <c r="AU223" s="62">
        <f t="shared" si="589"/>
        <v>7080</v>
      </c>
      <c r="AV223" s="62">
        <f t="shared" si="589"/>
        <v>0</v>
      </c>
      <c r="AW223" s="62">
        <f t="shared" si="589"/>
        <v>7080</v>
      </c>
      <c r="AX223" s="62">
        <f t="shared" si="589"/>
        <v>0</v>
      </c>
      <c r="AY223" s="62">
        <f t="shared" ref="AY223:BJ223" si="590">AY220*AY292</f>
        <v>9048</v>
      </c>
      <c r="AZ223" s="62">
        <f t="shared" si="590"/>
        <v>0</v>
      </c>
      <c r="BA223" s="62">
        <f t="shared" si="590"/>
        <v>0</v>
      </c>
      <c r="BB223" s="62">
        <f t="shared" si="590"/>
        <v>0</v>
      </c>
      <c r="BC223" s="62">
        <f t="shared" si="590"/>
        <v>0</v>
      </c>
      <c r="BD223" s="62">
        <f t="shared" si="590"/>
        <v>0</v>
      </c>
      <c r="BE223" s="62">
        <f t="shared" si="590"/>
        <v>9048</v>
      </c>
      <c r="BF223" s="62">
        <f t="shared" si="590"/>
        <v>0</v>
      </c>
      <c r="BG223" s="62">
        <f t="shared" si="590"/>
        <v>9048</v>
      </c>
      <c r="BH223" s="62">
        <f t="shared" si="590"/>
        <v>0</v>
      </c>
      <c r="BI223" s="62">
        <f t="shared" si="590"/>
        <v>0</v>
      </c>
      <c r="BJ223" s="62">
        <f t="shared" si="590"/>
        <v>4524</v>
      </c>
    </row>
    <row r="224" spans="2:62" outlineLevel="1"/>
    <row r="225" spans="2:62" outlineLevel="1">
      <c r="B225" s="54" t="s">
        <v>297</v>
      </c>
    </row>
    <row r="226" spans="2:62" outlineLevel="1">
      <c r="B226" t="s">
        <v>290</v>
      </c>
      <c r="C226" s="80">
        <f>88800</f>
        <v>88800</v>
      </c>
      <c r="D226" s="62">
        <f>+C229</f>
        <v>87065.5</v>
      </c>
      <c r="E226" s="62">
        <f>+D229</f>
        <v>94873.85</v>
      </c>
      <c r="F226" s="62">
        <f t="shared" ref="F226:AX226" si="591">+E229</f>
        <v>66543.850000000006</v>
      </c>
      <c r="G226" s="62">
        <f t="shared" si="591"/>
        <v>72132.475000000006</v>
      </c>
      <c r="H226" s="62">
        <f t="shared" si="591"/>
        <v>77690.100000000006</v>
      </c>
      <c r="I226" s="62">
        <f t="shared" si="591"/>
        <v>100021.20000000001</v>
      </c>
      <c r="J226" s="62">
        <f t="shared" si="591"/>
        <v>72396.325000000012</v>
      </c>
      <c r="K226" s="62">
        <f t="shared" si="591"/>
        <v>46112.575000000012</v>
      </c>
      <c r="L226" s="62">
        <f t="shared" si="591"/>
        <v>18952.700000000012</v>
      </c>
      <c r="M226" s="62">
        <f t="shared" si="591"/>
        <v>18952.700000000012</v>
      </c>
      <c r="N226" s="62">
        <f t="shared" si="591"/>
        <v>18952.700000000012</v>
      </c>
      <c r="O226" s="62">
        <f t="shared" si="591"/>
        <v>18952.700000000012</v>
      </c>
      <c r="P226" s="62">
        <f t="shared" si="591"/>
        <v>18952.700000000012</v>
      </c>
      <c r="Q226" s="62">
        <f t="shared" si="591"/>
        <v>18952.700000000012</v>
      </c>
      <c r="R226" s="62">
        <f t="shared" si="591"/>
        <v>18952.700000000012</v>
      </c>
      <c r="S226" s="62">
        <f t="shared" si="591"/>
        <v>18952.700000000012</v>
      </c>
      <c r="T226" s="62">
        <f t="shared" si="591"/>
        <v>18952.700000000012</v>
      </c>
      <c r="U226" s="62">
        <f t="shared" si="591"/>
        <v>18952.700000000012</v>
      </c>
      <c r="V226" s="62">
        <f t="shared" si="591"/>
        <v>18952.700000000012</v>
      </c>
      <c r="W226" s="62">
        <f t="shared" si="591"/>
        <v>18952.700000000012</v>
      </c>
      <c r="X226" s="62">
        <f t="shared" si="591"/>
        <v>18952.700000000012</v>
      </c>
      <c r="Y226" s="62">
        <f t="shared" si="591"/>
        <v>18952.700000000012</v>
      </c>
      <c r="Z226" s="62">
        <f t="shared" si="591"/>
        <v>18952.700000000012</v>
      </c>
      <c r="AA226" s="62">
        <f t="shared" si="591"/>
        <v>18952.700000000012</v>
      </c>
      <c r="AB226" s="62">
        <f t="shared" si="591"/>
        <v>18952.700000000012</v>
      </c>
      <c r="AC226" s="62">
        <f t="shared" si="591"/>
        <v>18952.700000000012</v>
      </c>
      <c r="AD226" s="62">
        <f t="shared" si="591"/>
        <v>18952.700000000012</v>
      </c>
      <c r="AE226" s="62">
        <f t="shared" si="591"/>
        <v>18952.700000000012</v>
      </c>
      <c r="AF226" s="62">
        <f t="shared" si="591"/>
        <v>18952.700000000012</v>
      </c>
      <c r="AG226" s="62">
        <f t="shared" si="591"/>
        <v>18952.700000000012</v>
      </c>
      <c r="AH226" s="62">
        <f t="shared" si="591"/>
        <v>18952.700000000012</v>
      </c>
      <c r="AI226" s="62">
        <f t="shared" si="591"/>
        <v>18952.700000000012</v>
      </c>
      <c r="AJ226" s="62">
        <f t="shared" si="591"/>
        <v>18952.700000000012</v>
      </c>
      <c r="AK226" s="62">
        <f t="shared" si="591"/>
        <v>18952.700000000012</v>
      </c>
      <c r="AL226" s="62">
        <f t="shared" si="591"/>
        <v>18952.700000000012</v>
      </c>
      <c r="AM226" s="62">
        <f t="shared" si="591"/>
        <v>18952.700000000012</v>
      </c>
      <c r="AN226" s="62">
        <f t="shared" si="591"/>
        <v>18952.700000000012</v>
      </c>
      <c r="AO226" s="62">
        <f t="shared" si="591"/>
        <v>18952.700000000012</v>
      </c>
      <c r="AP226" s="62">
        <f t="shared" si="591"/>
        <v>18952.700000000012</v>
      </c>
      <c r="AQ226" s="62">
        <f t="shared" si="591"/>
        <v>18952.700000000012</v>
      </c>
      <c r="AR226" s="62">
        <f t="shared" si="591"/>
        <v>18952.700000000012</v>
      </c>
      <c r="AS226" s="62">
        <f t="shared" si="591"/>
        <v>18952.700000000012</v>
      </c>
      <c r="AT226" s="62">
        <f t="shared" si="591"/>
        <v>18952.700000000012</v>
      </c>
      <c r="AU226" s="62">
        <f t="shared" si="591"/>
        <v>18952.700000000012</v>
      </c>
      <c r="AV226" s="62">
        <f t="shared" si="591"/>
        <v>18952.700000000012</v>
      </c>
      <c r="AW226" s="62">
        <f t="shared" si="591"/>
        <v>18952.700000000012</v>
      </c>
      <c r="AX226" s="62">
        <f t="shared" si="591"/>
        <v>18952.700000000012</v>
      </c>
      <c r="AY226" s="62">
        <f t="shared" ref="AY226:BJ226" si="592">+AX229</f>
        <v>18952.700000000012</v>
      </c>
      <c r="AZ226" s="62">
        <f t="shared" si="592"/>
        <v>18952.700000000012</v>
      </c>
      <c r="BA226" s="62">
        <f t="shared" si="592"/>
        <v>18952.700000000012</v>
      </c>
      <c r="BB226" s="62">
        <f t="shared" si="592"/>
        <v>18952.700000000012</v>
      </c>
      <c r="BC226" s="62">
        <f t="shared" si="592"/>
        <v>18952.700000000012</v>
      </c>
      <c r="BD226" s="62">
        <f t="shared" si="592"/>
        <v>18952.700000000012</v>
      </c>
      <c r="BE226" s="62">
        <f t="shared" si="592"/>
        <v>18952.700000000012</v>
      </c>
      <c r="BF226" s="62">
        <f t="shared" si="592"/>
        <v>18952.700000000012</v>
      </c>
      <c r="BG226" s="62">
        <f t="shared" si="592"/>
        <v>18952.700000000012</v>
      </c>
      <c r="BH226" s="62">
        <f t="shared" si="592"/>
        <v>18952.700000000012</v>
      </c>
      <c r="BI226" s="62">
        <f t="shared" si="592"/>
        <v>18952.700000000012</v>
      </c>
      <c r="BJ226" s="62">
        <f t="shared" si="592"/>
        <v>18952.700000000012</v>
      </c>
    </row>
    <row r="227" spans="2:62" outlineLevel="1">
      <c r="B227" t="s">
        <v>291</v>
      </c>
      <c r="C227" s="80">
        <f>23920+26400</f>
        <v>50320</v>
      </c>
      <c r="D227" s="80">
        <f>22920+24020+19990</f>
        <v>66930</v>
      </c>
      <c r="E227" s="80">
        <v>23000</v>
      </c>
      <c r="F227" s="80">
        <v>50000</v>
      </c>
      <c r="G227" s="80">
        <v>50000</v>
      </c>
      <c r="H227" s="80">
        <v>50000</v>
      </c>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row>
    <row r="228" spans="2:62" outlineLevel="1">
      <c r="B228" t="s">
        <v>292</v>
      </c>
      <c r="C228" s="62">
        <f t="shared" ref="C228:AH228" si="593">-C199-C83</f>
        <v>-52054.5</v>
      </c>
      <c r="D228" s="62">
        <f t="shared" si="593"/>
        <v>-59121.65</v>
      </c>
      <c r="E228" s="62">
        <f t="shared" si="593"/>
        <v>-51330</v>
      </c>
      <c r="F228" s="62">
        <f t="shared" si="593"/>
        <v>-44411.375</v>
      </c>
      <c r="G228" s="62">
        <f t="shared" si="593"/>
        <v>-44442.375</v>
      </c>
      <c r="H228" s="62">
        <f t="shared" si="593"/>
        <v>-27668.9</v>
      </c>
      <c r="I228" s="62">
        <f t="shared" si="593"/>
        <v>-27624.875</v>
      </c>
      <c r="J228" s="62">
        <f t="shared" si="593"/>
        <v>-26283.75</v>
      </c>
      <c r="K228" s="62">
        <f t="shared" si="593"/>
        <v>-27159.875</v>
      </c>
      <c r="L228" s="62">
        <f t="shared" si="593"/>
        <v>0</v>
      </c>
      <c r="M228" s="62">
        <f t="shared" si="593"/>
        <v>0</v>
      </c>
      <c r="N228" s="62">
        <f t="shared" si="593"/>
        <v>0</v>
      </c>
      <c r="O228" s="62">
        <f t="shared" si="593"/>
        <v>0</v>
      </c>
      <c r="P228" s="62">
        <f t="shared" si="593"/>
        <v>0</v>
      </c>
      <c r="Q228" s="62">
        <f t="shared" si="593"/>
        <v>0</v>
      </c>
      <c r="R228" s="62">
        <f t="shared" si="593"/>
        <v>0</v>
      </c>
      <c r="S228" s="62">
        <f t="shared" si="593"/>
        <v>0</v>
      </c>
      <c r="T228" s="62">
        <f t="shared" si="593"/>
        <v>0</v>
      </c>
      <c r="U228" s="62">
        <f t="shared" si="593"/>
        <v>0</v>
      </c>
      <c r="V228" s="62">
        <f t="shared" si="593"/>
        <v>0</v>
      </c>
      <c r="W228" s="62">
        <f t="shared" si="593"/>
        <v>0</v>
      </c>
      <c r="X228" s="62">
        <f t="shared" si="593"/>
        <v>0</v>
      </c>
      <c r="Y228" s="62">
        <f t="shared" si="593"/>
        <v>0</v>
      </c>
      <c r="Z228" s="62">
        <f t="shared" si="593"/>
        <v>0</v>
      </c>
      <c r="AA228" s="62">
        <f t="shared" si="593"/>
        <v>0</v>
      </c>
      <c r="AB228" s="62">
        <f t="shared" si="593"/>
        <v>0</v>
      </c>
      <c r="AC228" s="62">
        <f t="shared" si="593"/>
        <v>0</v>
      </c>
      <c r="AD228" s="62">
        <f t="shared" si="593"/>
        <v>0</v>
      </c>
      <c r="AE228" s="62">
        <f t="shared" si="593"/>
        <v>0</v>
      </c>
      <c r="AF228" s="62">
        <f t="shared" si="593"/>
        <v>0</v>
      </c>
      <c r="AG228" s="62">
        <f t="shared" si="593"/>
        <v>0</v>
      </c>
      <c r="AH228" s="62">
        <f t="shared" si="593"/>
        <v>0</v>
      </c>
      <c r="AI228" s="62">
        <f t="shared" ref="AI228:BJ228" si="594">-AI199-AI83</f>
        <v>0</v>
      </c>
      <c r="AJ228" s="62">
        <f t="shared" si="594"/>
        <v>0</v>
      </c>
      <c r="AK228" s="62">
        <f t="shared" si="594"/>
        <v>0</v>
      </c>
      <c r="AL228" s="62">
        <f t="shared" si="594"/>
        <v>0</v>
      </c>
      <c r="AM228" s="62">
        <f t="shared" si="594"/>
        <v>0</v>
      </c>
      <c r="AN228" s="62">
        <f t="shared" si="594"/>
        <v>0</v>
      </c>
      <c r="AO228" s="62">
        <f t="shared" si="594"/>
        <v>0</v>
      </c>
      <c r="AP228" s="62">
        <f t="shared" si="594"/>
        <v>0</v>
      </c>
      <c r="AQ228" s="62">
        <f t="shared" si="594"/>
        <v>0</v>
      </c>
      <c r="AR228" s="62">
        <f t="shared" si="594"/>
        <v>0</v>
      </c>
      <c r="AS228" s="62">
        <f t="shared" si="594"/>
        <v>0</v>
      </c>
      <c r="AT228" s="62">
        <f t="shared" si="594"/>
        <v>0</v>
      </c>
      <c r="AU228" s="62">
        <f t="shared" si="594"/>
        <v>0</v>
      </c>
      <c r="AV228" s="62">
        <f t="shared" si="594"/>
        <v>0</v>
      </c>
      <c r="AW228" s="62">
        <f t="shared" si="594"/>
        <v>0</v>
      </c>
      <c r="AX228" s="62">
        <f t="shared" si="594"/>
        <v>0</v>
      </c>
      <c r="AY228" s="62">
        <f t="shared" si="594"/>
        <v>0</v>
      </c>
      <c r="AZ228" s="62">
        <f t="shared" si="594"/>
        <v>0</v>
      </c>
      <c r="BA228" s="62">
        <f t="shared" si="594"/>
        <v>0</v>
      </c>
      <c r="BB228" s="62">
        <f t="shared" si="594"/>
        <v>0</v>
      </c>
      <c r="BC228" s="62">
        <f t="shared" si="594"/>
        <v>0</v>
      </c>
      <c r="BD228" s="62">
        <f t="shared" si="594"/>
        <v>0</v>
      </c>
      <c r="BE228" s="62">
        <f t="shared" si="594"/>
        <v>0</v>
      </c>
      <c r="BF228" s="62">
        <f t="shared" si="594"/>
        <v>0</v>
      </c>
      <c r="BG228" s="62">
        <f t="shared" si="594"/>
        <v>0</v>
      </c>
      <c r="BH228" s="62">
        <f t="shared" si="594"/>
        <v>0</v>
      </c>
      <c r="BI228" s="62">
        <f t="shared" si="594"/>
        <v>0</v>
      </c>
      <c r="BJ228" s="62">
        <f t="shared" si="594"/>
        <v>0</v>
      </c>
    </row>
    <row r="229" spans="2:62" outlineLevel="1">
      <c r="B229" t="s">
        <v>293</v>
      </c>
      <c r="C229" s="62">
        <f>SUM(C226:C228)</f>
        <v>87065.5</v>
      </c>
      <c r="D229" s="62">
        <f t="shared" ref="D229:AX229" si="595">SUM(D226:D228)</f>
        <v>94873.85</v>
      </c>
      <c r="E229" s="62">
        <f t="shared" si="595"/>
        <v>66543.850000000006</v>
      </c>
      <c r="F229" s="62">
        <f t="shared" si="595"/>
        <v>72132.475000000006</v>
      </c>
      <c r="G229" s="62">
        <f t="shared" si="595"/>
        <v>77690.100000000006</v>
      </c>
      <c r="H229" s="62">
        <f t="shared" si="595"/>
        <v>100021.20000000001</v>
      </c>
      <c r="I229" s="62">
        <f t="shared" si="595"/>
        <v>72396.325000000012</v>
      </c>
      <c r="J229" s="62">
        <f t="shared" si="595"/>
        <v>46112.575000000012</v>
      </c>
      <c r="K229" s="62">
        <f t="shared" si="595"/>
        <v>18952.700000000012</v>
      </c>
      <c r="L229" s="62">
        <f t="shared" si="595"/>
        <v>18952.700000000012</v>
      </c>
      <c r="M229" s="62">
        <f t="shared" si="595"/>
        <v>18952.700000000012</v>
      </c>
      <c r="N229" s="62">
        <f t="shared" si="595"/>
        <v>18952.700000000012</v>
      </c>
      <c r="O229" s="62">
        <f t="shared" si="595"/>
        <v>18952.700000000012</v>
      </c>
      <c r="P229" s="62">
        <f t="shared" si="595"/>
        <v>18952.700000000012</v>
      </c>
      <c r="Q229" s="62">
        <f t="shared" si="595"/>
        <v>18952.700000000012</v>
      </c>
      <c r="R229" s="62">
        <f t="shared" si="595"/>
        <v>18952.700000000012</v>
      </c>
      <c r="S229" s="62">
        <f t="shared" si="595"/>
        <v>18952.700000000012</v>
      </c>
      <c r="T229" s="62">
        <f t="shared" si="595"/>
        <v>18952.700000000012</v>
      </c>
      <c r="U229" s="62">
        <f t="shared" si="595"/>
        <v>18952.700000000012</v>
      </c>
      <c r="V229" s="62">
        <f t="shared" si="595"/>
        <v>18952.700000000012</v>
      </c>
      <c r="W229" s="62">
        <f t="shared" si="595"/>
        <v>18952.700000000012</v>
      </c>
      <c r="X229" s="62">
        <f t="shared" si="595"/>
        <v>18952.700000000012</v>
      </c>
      <c r="Y229" s="62">
        <f t="shared" si="595"/>
        <v>18952.700000000012</v>
      </c>
      <c r="Z229" s="62">
        <f t="shared" si="595"/>
        <v>18952.700000000012</v>
      </c>
      <c r="AA229" s="62">
        <f t="shared" si="595"/>
        <v>18952.700000000012</v>
      </c>
      <c r="AB229" s="62">
        <f t="shared" si="595"/>
        <v>18952.700000000012</v>
      </c>
      <c r="AC229" s="62">
        <f t="shared" si="595"/>
        <v>18952.700000000012</v>
      </c>
      <c r="AD229" s="62">
        <f t="shared" si="595"/>
        <v>18952.700000000012</v>
      </c>
      <c r="AE229" s="62">
        <f t="shared" si="595"/>
        <v>18952.700000000012</v>
      </c>
      <c r="AF229" s="62">
        <f t="shared" si="595"/>
        <v>18952.700000000012</v>
      </c>
      <c r="AG229" s="62">
        <f t="shared" si="595"/>
        <v>18952.700000000012</v>
      </c>
      <c r="AH229" s="62">
        <f t="shared" si="595"/>
        <v>18952.700000000012</v>
      </c>
      <c r="AI229" s="62">
        <f t="shared" si="595"/>
        <v>18952.700000000012</v>
      </c>
      <c r="AJ229" s="62">
        <f t="shared" si="595"/>
        <v>18952.700000000012</v>
      </c>
      <c r="AK229" s="62">
        <f t="shared" si="595"/>
        <v>18952.700000000012</v>
      </c>
      <c r="AL229" s="62">
        <f t="shared" si="595"/>
        <v>18952.700000000012</v>
      </c>
      <c r="AM229" s="62">
        <f t="shared" si="595"/>
        <v>18952.700000000012</v>
      </c>
      <c r="AN229" s="62">
        <f t="shared" si="595"/>
        <v>18952.700000000012</v>
      </c>
      <c r="AO229" s="62">
        <f t="shared" si="595"/>
        <v>18952.700000000012</v>
      </c>
      <c r="AP229" s="62">
        <f t="shared" si="595"/>
        <v>18952.700000000012</v>
      </c>
      <c r="AQ229" s="62">
        <f t="shared" si="595"/>
        <v>18952.700000000012</v>
      </c>
      <c r="AR229" s="62">
        <f t="shared" si="595"/>
        <v>18952.700000000012</v>
      </c>
      <c r="AS229" s="62">
        <f t="shared" si="595"/>
        <v>18952.700000000012</v>
      </c>
      <c r="AT229" s="62">
        <f t="shared" si="595"/>
        <v>18952.700000000012</v>
      </c>
      <c r="AU229" s="62">
        <f t="shared" si="595"/>
        <v>18952.700000000012</v>
      </c>
      <c r="AV229" s="62">
        <f t="shared" si="595"/>
        <v>18952.700000000012</v>
      </c>
      <c r="AW229" s="62">
        <f t="shared" si="595"/>
        <v>18952.700000000012</v>
      </c>
      <c r="AX229" s="62">
        <f t="shared" si="595"/>
        <v>18952.700000000012</v>
      </c>
      <c r="AY229" s="62">
        <f t="shared" ref="AY229:BJ229" si="596">SUM(AY226:AY228)</f>
        <v>18952.700000000012</v>
      </c>
      <c r="AZ229" s="62">
        <f t="shared" si="596"/>
        <v>18952.700000000012</v>
      </c>
      <c r="BA229" s="62">
        <f t="shared" si="596"/>
        <v>18952.700000000012</v>
      </c>
      <c r="BB229" s="62">
        <f t="shared" si="596"/>
        <v>18952.700000000012</v>
      </c>
      <c r="BC229" s="62">
        <f t="shared" si="596"/>
        <v>18952.700000000012</v>
      </c>
      <c r="BD229" s="62">
        <f t="shared" si="596"/>
        <v>18952.700000000012</v>
      </c>
      <c r="BE229" s="62">
        <f t="shared" si="596"/>
        <v>18952.700000000012</v>
      </c>
      <c r="BF229" s="62">
        <f t="shared" si="596"/>
        <v>18952.700000000012</v>
      </c>
      <c r="BG229" s="62">
        <f t="shared" si="596"/>
        <v>18952.700000000012</v>
      </c>
      <c r="BH229" s="62">
        <f t="shared" si="596"/>
        <v>18952.700000000012</v>
      </c>
      <c r="BI229" s="62">
        <f t="shared" si="596"/>
        <v>18952.700000000012</v>
      </c>
      <c r="BJ229" s="62">
        <f t="shared" si="596"/>
        <v>18952.700000000012</v>
      </c>
    </row>
    <row r="230" spans="2:62" outlineLevel="1">
      <c r="B230" t="s">
        <v>222</v>
      </c>
      <c r="C230" s="62">
        <f t="shared" ref="C230:AX230" si="597">C227*C293</f>
        <v>3522.4000000000005</v>
      </c>
      <c r="D230" s="62">
        <f t="shared" si="597"/>
        <v>4350.45</v>
      </c>
      <c r="E230" s="62">
        <f t="shared" si="597"/>
        <v>1495</v>
      </c>
      <c r="F230" s="62">
        <f t="shared" si="597"/>
        <v>3250</v>
      </c>
      <c r="G230" s="62">
        <f t="shared" si="597"/>
        <v>4000</v>
      </c>
      <c r="H230" s="62">
        <f t="shared" si="597"/>
        <v>4000</v>
      </c>
      <c r="I230" s="62">
        <f t="shared" si="597"/>
        <v>0</v>
      </c>
      <c r="J230" s="62">
        <f t="shared" si="597"/>
        <v>0</v>
      </c>
      <c r="K230" s="62">
        <f t="shared" si="597"/>
        <v>0</v>
      </c>
      <c r="L230" s="62">
        <f t="shared" si="597"/>
        <v>0</v>
      </c>
      <c r="M230" s="62">
        <f t="shared" si="597"/>
        <v>0</v>
      </c>
      <c r="N230" s="62">
        <f t="shared" si="597"/>
        <v>0</v>
      </c>
      <c r="O230" s="62">
        <f t="shared" si="597"/>
        <v>0</v>
      </c>
      <c r="P230" s="62">
        <f t="shared" si="597"/>
        <v>0</v>
      </c>
      <c r="Q230" s="62">
        <f t="shared" si="597"/>
        <v>0</v>
      </c>
      <c r="R230" s="62">
        <f t="shared" si="597"/>
        <v>0</v>
      </c>
      <c r="S230" s="62">
        <f t="shared" si="597"/>
        <v>0</v>
      </c>
      <c r="T230" s="62">
        <f t="shared" si="597"/>
        <v>0</v>
      </c>
      <c r="U230" s="62">
        <f t="shared" si="597"/>
        <v>0</v>
      </c>
      <c r="V230" s="62">
        <f t="shared" si="597"/>
        <v>0</v>
      </c>
      <c r="W230" s="62">
        <f t="shared" si="597"/>
        <v>0</v>
      </c>
      <c r="X230" s="62">
        <f t="shared" si="597"/>
        <v>0</v>
      </c>
      <c r="Y230" s="62">
        <f t="shared" si="597"/>
        <v>0</v>
      </c>
      <c r="Z230" s="62">
        <f t="shared" si="597"/>
        <v>0</v>
      </c>
      <c r="AA230" s="62">
        <f t="shared" si="597"/>
        <v>0</v>
      </c>
      <c r="AB230" s="62">
        <f t="shared" si="597"/>
        <v>0</v>
      </c>
      <c r="AC230" s="62">
        <f t="shared" si="597"/>
        <v>0</v>
      </c>
      <c r="AD230" s="62">
        <f t="shared" si="597"/>
        <v>0</v>
      </c>
      <c r="AE230" s="62">
        <f t="shared" si="597"/>
        <v>0</v>
      </c>
      <c r="AF230" s="62">
        <f t="shared" si="597"/>
        <v>0</v>
      </c>
      <c r="AG230" s="62">
        <f t="shared" si="597"/>
        <v>0</v>
      </c>
      <c r="AH230" s="62">
        <f t="shared" si="597"/>
        <v>0</v>
      </c>
      <c r="AI230" s="62">
        <f t="shared" si="597"/>
        <v>0</v>
      </c>
      <c r="AJ230" s="62">
        <f t="shared" si="597"/>
        <v>0</v>
      </c>
      <c r="AK230" s="62">
        <f t="shared" si="597"/>
        <v>0</v>
      </c>
      <c r="AL230" s="62">
        <f t="shared" si="597"/>
        <v>0</v>
      </c>
      <c r="AM230" s="62">
        <f t="shared" si="597"/>
        <v>0</v>
      </c>
      <c r="AN230" s="62">
        <f t="shared" si="597"/>
        <v>0</v>
      </c>
      <c r="AO230" s="62">
        <f t="shared" si="597"/>
        <v>0</v>
      </c>
      <c r="AP230" s="62">
        <f t="shared" si="597"/>
        <v>0</v>
      </c>
      <c r="AQ230" s="62">
        <f t="shared" si="597"/>
        <v>0</v>
      </c>
      <c r="AR230" s="62">
        <f t="shared" si="597"/>
        <v>0</v>
      </c>
      <c r="AS230" s="62">
        <f t="shared" si="597"/>
        <v>0</v>
      </c>
      <c r="AT230" s="62">
        <f t="shared" si="597"/>
        <v>0</v>
      </c>
      <c r="AU230" s="62">
        <f t="shared" si="597"/>
        <v>0</v>
      </c>
      <c r="AV230" s="62">
        <f t="shared" si="597"/>
        <v>0</v>
      </c>
      <c r="AW230" s="62">
        <f t="shared" si="597"/>
        <v>0</v>
      </c>
      <c r="AX230" s="62">
        <f t="shared" si="597"/>
        <v>0</v>
      </c>
      <c r="AY230" s="62">
        <f t="shared" ref="AY230:BJ230" si="598">AY227*AY293</f>
        <v>0</v>
      </c>
      <c r="AZ230" s="62">
        <f t="shared" si="598"/>
        <v>0</v>
      </c>
      <c r="BA230" s="62">
        <f t="shared" si="598"/>
        <v>0</v>
      </c>
      <c r="BB230" s="62">
        <f t="shared" si="598"/>
        <v>0</v>
      </c>
      <c r="BC230" s="62">
        <f t="shared" si="598"/>
        <v>0</v>
      </c>
      <c r="BD230" s="62">
        <f t="shared" si="598"/>
        <v>0</v>
      </c>
      <c r="BE230" s="62">
        <f t="shared" si="598"/>
        <v>0</v>
      </c>
      <c r="BF230" s="62">
        <f t="shared" si="598"/>
        <v>0</v>
      </c>
      <c r="BG230" s="62">
        <f t="shared" si="598"/>
        <v>0</v>
      </c>
      <c r="BH230" s="62">
        <f t="shared" si="598"/>
        <v>0</v>
      </c>
      <c r="BI230" s="62">
        <f t="shared" si="598"/>
        <v>0</v>
      </c>
      <c r="BJ230" s="62">
        <f t="shared" si="598"/>
        <v>0</v>
      </c>
    </row>
    <row r="231" spans="2:62" outlineLevel="1"/>
    <row r="232" spans="2:62" outlineLevel="1">
      <c r="B232" s="54" t="s">
        <v>244</v>
      </c>
    </row>
    <row r="233" spans="2:62" outlineLevel="1">
      <c r="B233" t="s">
        <v>290</v>
      </c>
      <c r="C233" s="80">
        <v>0</v>
      </c>
      <c r="D233" s="62">
        <f>+C236</f>
        <v>0</v>
      </c>
      <c r="E233" s="62">
        <f>+D236</f>
        <v>0</v>
      </c>
      <c r="F233" s="62">
        <f t="shared" ref="F233:AX233" si="599">+E236</f>
        <v>0</v>
      </c>
      <c r="G233" s="62">
        <f t="shared" si="599"/>
        <v>0</v>
      </c>
      <c r="H233" s="62">
        <f t="shared" si="599"/>
        <v>0</v>
      </c>
      <c r="I233" s="62">
        <f t="shared" si="599"/>
        <v>0</v>
      </c>
      <c r="J233" s="62">
        <f t="shared" si="599"/>
        <v>0</v>
      </c>
      <c r="K233" s="62">
        <f t="shared" si="599"/>
        <v>0</v>
      </c>
      <c r="L233" s="62">
        <f t="shared" si="599"/>
        <v>0</v>
      </c>
      <c r="M233" s="62">
        <f t="shared" si="599"/>
        <v>0</v>
      </c>
      <c r="N233" s="62">
        <f t="shared" si="599"/>
        <v>0</v>
      </c>
      <c r="O233" s="62">
        <f t="shared" si="599"/>
        <v>0</v>
      </c>
      <c r="P233" s="62">
        <f t="shared" si="599"/>
        <v>0</v>
      </c>
      <c r="Q233" s="62">
        <f t="shared" si="599"/>
        <v>0</v>
      </c>
      <c r="R233" s="62">
        <f t="shared" si="599"/>
        <v>0</v>
      </c>
      <c r="S233" s="62">
        <f t="shared" si="599"/>
        <v>0</v>
      </c>
      <c r="T233" s="62">
        <f t="shared" si="599"/>
        <v>0</v>
      </c>
      <c r="U233" s="62">
        <f t="shared" si="599"/>
        <v>0</v>
      </c>
      <c r="V233" s="62">
        <f t="shared" si="599"/>
        <v>0</v>
      </c>
      <c r="W233" s="62">
        <f t="shared" si="599"/>
        <v>0</v>
      </c>
      <c r="X233" s="62">
        <f t="shared" si="599"/>
        <v>0</v>
      </c>
      <c r="Y233" s="62">
        <f t="shared" si="599"/>
        <v>0</v>
      </c>
      <c r="Z233" s="62">
        <f t="shared" si="599"/>
        <v>0</v>
      </c>
      <c r="AA233" s="62">
        <f t="shared" si="599"/>
        <v>0</v>
      </c>
      <c r="AB233" s="62">
        <f t="shared" si="599"/>
        <v>0</v>
      </c>
      <c r="AC233" s="62">
        <f t="shared" si="599"/>
        <v>0</v>
      </c>
      <c r="AD233" s="62">
        <f t="shared" si="599"/>
        <v>0</v>
      </c>
      <c r="AE233" s="62">
        <f t="shared" si="599"/>
        <v>0</v>
      </c>
      <c r="AF233" s="62">
        <f t="shared" si="599"/>
        <v>0</v>
      </c>
      <c r="AG233" s="62">
        <f t="shared" si="599"/>
        <v>0</v>
      </c>
      <c r="AH233" s="62">
        <f t="shared" si="599"/>
        <v>0</v>
      </c>
      <c r="AI233" s="62">
        <f t="shared" si="599"/>
        <v>0</v>
      </c>
      <c r="AJ233" s="62">
        <f t="shared" si="599"/>
        <v>0</v>
      </c>
      <c r="AK233" s="62">
        <f t="shared" si="599"/>
        <v>0</v>
      </c>
      <c r="AL233" s="62">
        <f t="shared" si="599"/>
        <v>0</v>
      </c>
      <c r="AM233" s="62">
        <f t="shared" si="599"/>
        <v>0</v>
      </c>
      <c r="AN233" s="62">
        <f t="shared" si="599"/>
        <v>0</v>
      </c>
      <c r="AO233" s="62">
        <f t="shared" si="599"/>
        <v>0</v>
      </c>
      <c r="AP233" s="62">
        <f t="shared" si="599"/>
        <v>0</v>
      </c>
      <c r="AQ233" s="62">
        <f t="shared" si="599"/>
        <v>0</v>
      </c>
      <c r="AR233" s="62">
        <f t="shared" si="599"/>
        <v>0</v>
      </c>
      <c r="AS233" s="62">
        <f t="shared" si="599"/>
        <v>0</v>
      </c>
      <c r="AT233" s="62">
        <f t="shared" si="599"/>
        <v>0</v>
      </c>
      <c r="AU233" s="62">
        <f t="shared" si="599"/>
        <v>0</v>
      </c>
      <c r="AV233" s="62">
        <f t="shared" si="599"/>
        <v>0</v>
      </c>
      <c r="AW233" s="62">
        <f t="shared" si="599"/>
        <v>0</v>
      </c>
      <c r="AX233" s="62">
        <f t="shared" si="599"/>
        <v>0</v>
      </c>
      <c r="AY233" s="62">
        <f t="shared" ref="AY233:BJ233" si="600">+AX236</f>
        <v>0</v>
      </c>
      <c r="AZ233" s="62">
        <f t="shared" si="600"/>
        <v>0</v>
      </c>
      <c r="BA233" s="62">
        <f t="shared" si="600"/>
        <v>0</v>
      </c>
      <c r="BB233" s="62">
        <f t="shared" si="600"/>
        <v>0</v>
      </c>
      <c r="BC233" s="62">
        <f t="shared" si="600"/>
        <v>0</v>
      </c>
      <c r="BD233" s="62">
        <f t="shared" si="600"/>
        <v>0</v>
      </c>
      <c r="BE233" s="62">
        <f t="shared" si="600"/>
        <v>0</v>
      </c>
      <c r="BF233" s="62">
        <f t="shared" si="600"/>
        <v>0</v>
      </c>
      <c r="BG233" s="62">
        <f t="shared" si="600"/>
        <v>0</v>
      </c>
      <c r="BH233" s="62">
        <f t="shared" si="600"/>
        <v>0</v>
      </c>
      <c r="BI233" s="62">
        <f t="shared" si="600"/>
        <v>0</v>
      </c>
      <c r="BJ233" s="62">
        <f t="shared" si="600"/>
        <v>0</v>
      </c>
    </row>
    <row r="234" spans="2:62" outlineLevel="1">
      <c r="B234" t="s">
        <v>291</v>
      </c>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row>
    <row r="235" spans="2:62" outlineLevel="1">
      <c r="B235" t="s">
        <v>292</v>
      </c>
      <c r="C235" s="62">
        <f t="shared" ref="C235:AH235" si="601">-C201-C84</f>
        <v>0</v>
      </c>
      <c r="D235" s="62">
        <f t="shared" si="601"/>
        <v>0</v>
      </c>
      <c r="E235" s="62">
        <f t="shared" si="601"/>
        <v>0</v>
      </c>
      <c r="F235" s="62">
        <f t="shared" si="601"/>
        <v>0</v>
      </c>
      <c r="G235" s="62">
        <f t="shared" si="601"/>
        <v>0</v>
      </c>
      <c r="H235" s="62">
        <f t="shared" si="601"/>
        <v>0</v>
      </c>
      <c r="I235" s="62">
        <f t="shared" si="601"/>
        <v>0</v>
      </c>
      <c r="J235" s="62">
        <f t="shared" si="601"/>
        <v>0</v>
      </c>
      <c r="K235" s="62">
        <f t="shared" si="601"/>
        <v>0</v>
      </c>
      <c r="L235" s="62">
        <f t="shared" si="601"/>
        <v>0</v>
      </c>
      <c r="M235" s="62">
        <f t="shared" si="601"/>
        <v>0</v>
      </c>
      <c r="N235" s="62">
        <f t="shared" si="601"/>
        <v>0</v>
      </c>
      <c r="O235" s="62">
        <f t="shared" si="601"/>
        <v>0</v>
      </c>
      <c r="P235" s="62">
        <f t="shared" si="601"/>
        <v>0</v>
      </c>
      <c r="Q235" s="62">
        <f t="shared" si="601"/>
        <v>0</v>
      </c>
      <c r="R235" s="62">
        <f t="shared" si="601"/>
        <v>0</v>
      </c>
      <c r="S235" s="62">
        <f t="shared" si="601"/>
        <v>0</v>
      </c>
      <c r="T235" s="62">
        <f t="shared" si="601"/>
        <v>0</v>
      </c>
      <c r="U235" s="62">
        <f t="shared" si="601"/>
        <v>0</v>
      </c>
      <c r="V235" s="62">
        <f t="shared" si="601"/>
        <v>0</v>
      </c>
      <c r="W235" s="62">
        <f t="shared" si="601"/>
        <v>0</v>
      </c>
      <c r="X235" s="62">
        <f t="shared" si="601"/>
        <v>0</v>
      </c>
      <c r="Y235" s="62">
        <f t="shared" si="601"/>
        <v>0</v>
      </c>
      <c r="Z235" s="62">
        <f t="shared" si="601"/>
        <v>0</v>
      </c>
      <c r="AA235" s="62">
        <f t="shared" si="601"/>
        <v>0</v>
      </c>
      <c r="AB235" s="62">
        <f t="shared" si="601"/>
        <v>0</v>
      </c>
      <c r="AC235" s="62">
        <f t="shared" si="601"/>
        <v>0</v>
      </c>
      <c r="AD235" s="62">
        <f t="shared" si="601"/>
        <v>0</v>
      </c>
      <c r="AE235" s="62">
        <f t="shared" si="601"/>
        <v>0</v>
      </c>
      <c r="AF235" s="62">
        <f t="shared" si="601"/>
        <v>0</v>
      </c>
      <c r="AG235" s="62">
        <f t="shared" si="601"/>
        <v>0</v>
      </c>
      <c r="AH235" s="62">
        <f t="shared" si="601"/>
        <v>0</v>
      </c>
      <c r="AI235" s="62">
        <f t="shared" ref="AI235:BJ235" si="602">-AI201-AI84</f>
        <v>0</v>
      </c>
      <c r="AJ235" s="62">
        <f t="shared" si="602"/>
        <v>0</v>
      </c>
      <c r="AK235" s="62">
        <f t="shared" si="602"/>
        <v>0</v>
      </c>
      <c r="AL235" s="62">
        <f t="shared" si="602"/>
        <v>0</v>
      </c>
      <c r="AM235" s="62">
        <f t="shared" si="602"/>
        <v>0</v>
      </c>
      <c r="AN235" s="62">
        <f t="shared" si="602"/>
        <v>0</v>
      </c>
      <c r="AO235" s="62">
        <f t="shared" si="602"/>
        <v>0</v>
      </c>
      <c r="AP235" s="62">
        <f t="shared" si="602"/>
        <v>0</v>
      </c>
      <c r="AQ235" s="62">
        <f t="shared" si="602"/>
        <v>0</v>
      </c>
      <c r="AR235" s="62">
        <f t="shared" si="602"/>
        <v>0</v>
      </c>
      <c r="AS235" s="62">
        <f t="shared" si="602"/>
        <v>0</v>
      </c>
      <c r="AT235" s="62">
        <f t="shared" si="602"/>
        <v>0</v>
      </c>
      <c r="AU235" s="62">
        <f t="shared" si="602"/>
        <v>0</v>
      </c>
      <c r="AV235" s="62">
        <f t="shared" si="602"/>
        <v>0</v>
      </c>
      <c r="AW235" s="62">
        <f t="shared" si="602"/>
        <v>0</v>
      </c>
      <c r="AX235" s="62">
        <f t="shared" si="602"/>
        <v>0</v>
      </c>
      <c r="AY235" s="62">
        <f t="shared" si="602"/>
        <v>0</v>
      </c>
      <c r="AZ235" s="62">
        <f t="shared" si="602"/>
        <v>0</v>
      </c>
      <c r="BA235" s="62">
        <f t="shared" si="602"/>
        <v>0</v>
      </c>
      <c r="BB235" s="62">
        <f t="shared" si="602"/>
        <v>0</v>
      </c>
      <c r="BC235" s="62">
        <f t="shared" si="602"/>
        <v>0</v>
      </c>
      <c r="BD235" s="62">
        <f t="shared" si="602"/>
        <v>0</v>
      </c>
      <c r="BE235" s="62">
        <f t="shared" si="602"/>
        <v>0</v>
      </c>
      <c r="BF235" s="62">
        <f t="shared" si="602"/>
        <v>0</v>
      </c>
      <c r="BG235" s="62">
        <f t="shared" si="602"/>
        <v>0</v>
      </c>
      <c r="BH235" s="62">
        <f t="shared" si="602"/>
        <v>0</v>
      </c>
      <c r="BI235" s="62">
        <f t="shared" si="602"/>
        <v>0</v>
      </c>
      <c r="BJ235" s="62">
        <f t="shared" si="602"/>
        <v>0</v>
      </c>
    </row>
    <row r="236" spans="2:62" outlineLevel="1">
      <c r="B236" t="s">
        <v>293</v>
      </c>
      <c r="C236" s="62">
        <f>SUM(C233:C235)</f>
        <v>0</v>
      </c>
      <c r="D236" s="62">
        <f t="shared" ref="D236:AX236" si="603">SUM(D233:D235)</f>
        <v>0</v>
      </c>
      <c r="E236" s="62">
        <f t="shared" si="603"/>
        <v>0</v>
      </c>
      <c r="F236" s="62">
        <f t="shared" si="603"/>
        <v>0</v>
      </c>
      <c r="G236" s="62">
        <f t="shared" si="603"/>
        <v>0</v>
      </c>
      <c r="H236" s="62">
        <f t="shared" si="603"/>
        <v>0</v>
      </c>
      <c r="I236" s="62">
        <f t="shared" si="603"/>
        <v>0</v>
      </c>
      <c r="J236" s="62">
        <f t="shared" si="603"/>
        <v>0</v>
      </c>
      <c r="K236" s="62">
        <f t="shared" si="603"/>
        <v>0</v>
      </c>
      <c r="L236" s="62">
        <f t="shared" si="603"/>
        <v>0</v>
      </c>
      <c r="M236" s="62">
        <f t="shared" si="603"/>
        <v>0</v>
      </c>
      <c r="N236" s="62">
        <f t="shared" si="603"/>
        <v>0</v>
      </c>
      <c r="O236" s="62">
        <f t="shared" si="603"/>
        <v>0</v>
      </c>
      <c r="P236" s="62">
        <f t="shared" si="603"/>
        <v>0</v>
      </c>
      <c r="Q236" s="62">
        <f t="shared" si="603"/>
        <v>0</v>
      </c>
      <c r="R236" s="62">
        <f t="shared" si="603"/>
        <v>0</v>
      </c>
      <c r="S236" s="62">
        <f t="shared" si="603"/>
        <v>0</v>
      </c>
      <c r="T236" s="62">
        <f t="shared" si="603"/>
        <v>0</v>
      </c>
      <c r="U236" s="62">
        <f t="shared" si="603"/>
        <v>0</v>
      </c>
      <c r="V236" s="62">
        <f t="shared" si="603"/>
        <v>0</v>
      </c>
      <c r="W236" s="62">
        <f t="shared" si="603"/>
        <v>0</v>
      </c>
      <c r="X236" s="62">
        <f t="shared" si="603"/>
        <v>0</v>
      </c>
      <c r="Y236" s="62">
        <f t="shared" si="603"/>
        <v>0</v>
      </c>
      <c r="Z236" s="62">
        <f t="shared" si="603"/>
        <v>0</v>
      </c>
      <c r="AA236" s="62">
        <f t="shared" si="603"/>
        <v>0</v>
      </c>
      <c r="AB236" s="62">
        <f t="shared" si="603"/>
        <v>0</v>
      </c>
      <c r="AC236" s="62">
        <f t="shared" si="603"/>
        <v>0</v>
      </c>
      <c r="AD236" s="62">
        <f t="shared" si="603"/>
        <v>0</v>
      </c>
      <c r="AE236" s="62">
        <f t="shared" si="603"/>
        <v>0</v>
      </c>
      <c r="AF236" s="62">
        <f t="shared" si="603"/>
        <v>0</v>
      </c>
      <c r="AG236" s="62">
        <f t="shared" si="603"/>
        <v>0</v>
      </c>
      <c r="AH236" s="62">
        <f t="shared" si="603"/>
        <v>0</v>
      </c>
      <c r="AI236" s="62">
        <f t="shared" si="603"/>
        <v>0</v>
      </c>
      <c r="AJ236" s="62">
        <f t="shared" si="603"/>
        <v>0</v>
      </c>
      <c r="AK236" s="62">
        <f t="shared" si="603"/>
        <v>0</v>
      </c>
      <c r="AL236" s="62">
        <f t="shared" si="603"/>
        <v>0</v>
      </c>
      <c r="AM236" s="62">
        <f t="shared" si="603"/>
        <v>0</v>
      </c>
      <c r="AN236" s="62">
        <f t="shared" si="603"/>
        <v>0</v>
      </c>
      <c r="AO236" s="62">
        <f t="shared" si="603"/>
        <v>0</v>
      </c>
      <c r="AP236" s="62">
        <f t="shared" si="603"/>
        <v>0</v>
      </c>
      <c r="AQ236" s="62">
        <f t="shared" si="603"/>
        <v>0</v>
      </c>
      <c r="AR236" s="62">
        <f t="shared" si="603"/>
        <v>0</v>
      </c>
      <c r="AS236" s="62">
        <f t="shared" si="603"/>
        <v>0</v>
      </c>
      <c r="AT236" s="62">
        <f t="shared" si="603"/>
        <v>0</v>
      </c>
      <c r="AU236" s="62">
        <f t="shared" si="603"/>
        <v>0</v>
      </c>
      <c r="AV236" s="62">
        <f t="shared" si="603"/>
        <v>0</v>
      </c>
      <c r="AW236" s="62">
        <f t="shared" si="603"/>
        <v>0</v>
      </c>
      <c r="AX236" s="62">
        <f t="shared" si="603"/>
        <v>0</v>
      </c>
      <c r="AY236" s="62">
        <f t="shared" ref="AY236:BJ236" si="604">SUM(AY233:AY235)</f>
        <v>0</v>
      </c>
      <c r="AZ236" s="62">
        <f t="shared" si="604"/>
        <v>0</v>
      </c>
      <c r="BA236" s="62">
        <f t="shared" si="604"/>
        <v>0</v>
      </c>
      <c r="BB236" s="62">
        <f t="shared" si="604"/>
        <v>0</v>
      </c>
      <c r="BC236" s="62">
        <f t="shared" si="604"/>
        <v>0</v>
      </c>
      <c r="BD236" s="62">
        <f t="shared" si="604"/>
        <v>0</v>
      </c>
      <c r="BE236" s="62">
        <f t="shared" si="604"/>
        <v>0</v>
      </c>
      <c r="BF236" s="62">
        <f t="shared" si="604"/>
        <v>0</v>
      </c>
      <c r="BG236" s="62">
        <f t="shared" si="604"/>
        <v>0</v>
      </c>
      <c r="BH236" s="62">
        <f t="shared" si="604"/>
        <v>0</v>
      </c>
      <c r="BI236" s="62">
        <f t="shared" si="604"/>
        <v>0</v>
      </c>
      <c r="BJ236" s="62">
        <f t="shared" si="604"/>
        <v>0</v>
      </c>
    </row>
    <row r="237" spans="2:62" outlineLevel="1">
      <c r="B237" t="s">
        <v>222</v>
      </c>
      <c r="C237" s="62">
        <f t="shared" ref="C237:AX237" si="605">C234*C294</f>
        <v>0</v>
      </c>
      <c r="D237" s="62">
        <f t="shared" si="605"/>
        <v>0</v>
      </c>
      <c r="E237" s="62">
        <f t="shared" si="605"/>
        <v>0</v>
      </c>
      <c r="F237" s="62">
        <f t="shared" si="605"/>
        <v>0</v>
      </c>
      <c r="G237" s="62">
        <f t="shared" si="605"/>
        <v>0</v>
      </c>
      <c r="H237" s="62">
        <f t="shared" si="605"/>
        <v>0</v>
      </c>
      <c r="I237" s="62">
        <f t="shared" si="605"/>
        <v>0</v>
      </c>
      <c r="J237" s="62">
        <f t="shared" si="605"/>
        <v>0</v>
      </c>
      <c r="K237" s="62">
        <f t="shared" si="605"/>
        <v>0</v>
      </c>
      <c r="L237" s="62">
        <f t="shared" si="605"/>
        <v>0</v>
      </c>
      <c r="M237" s="62">
        <f t="shared" si="605"/>
        <v>0</v>
      </c>
      <c r="N237" s="62">
        <f t="shared" si="605"/>
        <v>0</v>
      </c>
      <c r="O237" s="62">
        <f t="shared" si="605"/>
        <v>0</v>
      </c>
      <c r="P237" s="62">
        <f t="shared" si="605"/>
        <v>0</v>
      </c>
      <c r="Q237" s="62">
        <f t="shared" si="605"/>
        <v>0</v>
      </c>
      <c r="R237" s="62">
        <f t="shared" si="605"/>
        <v>0</v>
      </c>
      <c r="S237" s="62">
        <f t="shared" si="605"/>
        <v>0</v>
      </c>
      <c r="T237" s="62">
        <f t="shared" si="605"/>
        <v>0</v>
      </c>
      <c r="U237" s="62">
        <f t="shared" si="605"/>
        <v>0</v>
      </c>
      <c r="V237" s="62">
        <f t="shared" si="605"/>
        <v>0</v>
      </c>
      <c r="W237" s="62">
        <f t="shared" si="605"/>
        <v>0</v>
      </c>
      <c r="X237" s="62">
        <f t="shared" si="605"/>
        <v>0</v>
      </c>
      <c r="Y237" s="62">
        <f t="shared" si="605"/>
        <v>0</v>
      </c>
      <c r="Z237" s="62">
        <f t="shared" si="605"/>
        <v>0</v>
      </c>
      <c r="AA237" s="62">
        <f t="shared" si="605"/>
        <v>0</v>
      </c>
      <c r="AB237" s="62">
        <f t="shared" si="605"/>
        <v>0</v>
      </c>
      <c r="AC237" s="62">
        <f t="shared" si="605"/>
        <v>0</v>
      </c>
      <c r="AD237" s="62">
        <f t="shared" si="605"/>
        <v>0</v>
      </c>
      <c r="AE237" s="62">
        <f t="shared" si="605"/>
        <v>0</v>
      </c>
      <c r="AF237" s="62">
        <f t="shared" si="605"/>
        <v>0</v>
      </c>
      <c r="AG237" s="62">
        <f t="shared" si="605"/>
        <v>0</v>
      </c>
      <c r="AH237" s="62">
        <f t="shared" si="605"/>
        <v>0</v>
      </c>
      <c r="AI237" s="62">
        <f t="shared" si="605"/>
        <v>0</v>
      </c>
      <c r="AJ237" s="62">
        <f t="shared" si="605"/>
        <v>0</v>
      </c>
      <c r="AK237" s="62">
        <f t="shared" si="605"/>
        <v>0</v>
      </c>
      <c r="AL237" s="62">
        <f t="shared" si="605"/>
        <v>0</v>
      </c>
      <c r="AM237" s="62">
        <f t="shared" si="605"/>
        <v>0</v>
      </c>
      <c r="AN237" s="62">
        <f t="shared" si="605"/>
        <v>0</v>
      </c>
      <c r="AO237" s="62">
        <f t="shared" si="605"/>
        <v>0</v>
      </c>
      <c r="AP237" s="62">
        <f t="shared" si="605"/>
        <v>0</v>
      </c>
      <c r="AQ237" s="62">
        <f t="shared" si="605"/>
        <v>0</v>
      </c>
      <c r="AR237" s="62">
        <f t="shared" si="605"/>
        <v>0</v>
      </c>
      <c r="AS237" s="62">
        <f t="shared" si="605"/>
        <v>0</v>
      </c>
      <c r="AT237" s="62">
        <f t="shared" si="605"/>
        <v>0</v>
      </c>
      <c r="AU237" s="62">
        <f t="shared" si="605"/>
        <v>0</v>
      </c>
      <c r="AV237" s="62">
        <f t="shared" si="605"/>
        <v>0</v>
      </c>
      <c r="AW237" s="62">
        <f t="shared" si="605"/>
        <v>0</v>
      </c>
      <c r="AX237" s="62">
        <f t="shared" si="605"/>
        <v>0</v>
      </c>
      <c r="AY237" s="62">
        <f t="shared" ref="AY237:BJ237" si="606">AY234*AY294</f>
        <v>0</v>
      </c>
      <c r="AZ237" s="62">
        <f t="shared" si="606"/>
        <v>0</v>
      </c>
      <c r="BA237" s="62">
        <f t="shared" si="606"/>
        <v>0</v>
      </c>
      <c r="BB237" s="62">
        <f t="shared" si="606"/>
        <v>0</v>
      </c>
      <c r="BC237" s="62">
        <f t="shared" si="606"/>
        <v>0</v>
      </c>
      <c r="BD237" s="62">
        <f t="shared" si="606"/>
        <v>0</v>
      </c>
      <c r="BE237" s="62">
        <f t="shared" si="606"/>
        <v>0</v>
      </c>
      <c r="BF237" s="62">
        <f t="shared" si="606"/>
        <v>0</v>
      </c>
      <c r="BG237" s="62">
        <f t="shared" si="606"/>
        <v>0</v>
      </c>
      <c r="BH237" s="62">
        <f t="shared" si="606"/>
        <v>0</v>
      </c>
      <c r="BI237" s="62">
        <f t="shared" si="606"/>
        <v>0</v>
      </c>
      <c r="BJ237" s="62">
        <f t="shared" si="606"/>
        <v>0</v>
      </c>
    </row>
    <row r="238" spans="2:62" outlineLevel="1">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row>
    <row r="239" spans="2:62" outlineLevel="1">
      <c r="B239" s="54" t="s">
        <v>431</v>
      </c>
    </row>
    <row r="240" spans="2:62" outlineLevel="1">
      <c r="B240" t="s">
        <v>290</v>
      </c>
      <c r="C240" s="80">
        <v>0</v>
      </c>
      <c r="D240" s="62">
        <f>+C243</f>
        <v>0</v>
      </c>
      <c r="E240" s="62">
        <f>+D243</f>
        <v>0</v>
      </c>
      <c r="F240" s="62">
        <f t="shared" ref="F240" si="607">+E243</f>
        <v>5000</v>
      </c>
      <c r="G240" s="62">
        <f t="shared" ref="G240" si="608">+F243</f>
        <v>5000</v>
      </c>
      <c r="H240" s="62">
        <f t="shared" ref="H240" si="609">+G243</f>
        <v>5000</v>
      </c>
      <c r="I240" s="62">
        <f t="shared" ref="I240" si="610">+H243</f>
        <v>5000</v>
      </c>
      <c r="J240" s="62">
        <f t="shared" ref="J240" si="611">+I243</f>
        <v>4851.2</v>
      </c>
      <c r="K240" s="62">
        <f t="shared" ref="K240" si="612">+J243</f>
        <v>4659.2</v>
      </c>
      <c r="L240" s="80">
        <v>2000</v>
      </c>
      <c r="M240" s="62">
        <f t="shared" ref="M240" si="613">+L243</f>
        <v>2000</v>
      </c>
      <c r="N240" s="62">
        <f t="shared" ref="N240:O240" si="614">+M243</f>
        <v>2000</v>
      </c>
      <c r="O240" s="62">
        <f t="shared" si="614"/>
        <v>2000</v>
      </c>
      <c r="P240" s="80">
        <v>2000</v>
      </c>
      <c r="Q240" s="62">
        <f t="shared" ref="Q240" si="615">+P243</f>
        <v>2000</v>
      </c>
      <c r="R240" s="62">
        <f t="shared" ref="R240" si="616">+Q243</f>
        <v>2000</v>
      </c>
      <c r="S240" s="62">
        <f t="shared" ref="S240" si="617">+R243</f>
        <v>2000</v>
      </c>
      <c r="T240" s="62">
        <f t="shared" ref="T240" si="618">+S243</f>
        <v>2000</v>
      </c>
      <c r="U240" s="62">
        <f t="shared" ref="U240" si="619">+T243</f>
        <v>2000</v>
      </c>
      <c r="V240" s="62">
        <f t="shared" ref="V240" si="620">+U243</f>
        <v>1686.9</v>
      </c>
      <c r="W240" s="62">
        <f t="shared" ref="W240" si="621">+V243</f>
        <v>1122.9000000000001</v>
      </c>
      <c r="X240" s="80">
        <v>0</v>
      </c>
      <c r="Y240" s="62">
        <f t="shared" ref="Y240" si="622">+X243</f>
        <v>0</v>
      </c>
      <c r="Z240" s="62">
        <f>+Y243</f>
        <v>0</v>
      </c>
      <c r="AA240" s="62">
        <f t="shared" ref="AA240" si="623">+Z243</f>
        <v>4080</v>
      </c>
      <c r="AB240" s="62">
        <f t="shared" ref="AB240" si="624">+AA243</f>
        <v>3615</v>
      </c>
      <c r="AC240" s="62">
        <f t="shared" ref="AC240" si="625">+AB243</f>
        <v>3317.4</v>
      </c>
      <c r="AD240" s="62">
        <f t="shared" ref="AD240" si="626">+AC243</f>
        <v>3317.4</v>
      </c>
      <c r="AE240" s="80">
        <v>0</v>
      </c>
      <c r="AF240" s="62">
        <f t="shared" ref="AF240" si="627">+AE243</f>
        <v>0</v>
      </c>
      <c r="AG240" s="62">
        <f t="shared" ref="AG240" si="628">+AF243</f>
        <v>0</v>
      </c>
      <c r="AH240" s="62">
        <f t="shared" ref="AH240" si="629">+AG243</f>
        <v>0</v>
      </c>
      <c r="AI240" s="62">
        <f t="shared" ref="AI240" si="630">+AH243</f>
        <v>-278.39999999999998</v>
      </c>
      <c r="AJ240" s="62">
        <f t="shared" ref="AJ240" si="631">+AI243</f>
        <v>-263.52</v>
      </c>
      <c r="AK240" s="62">
        <f t="shared" ref="AK240" si="632">+AJ243</f>
        <v>-263.52</v>
      </c>
      <c r="AL240" s="62">
        <f t="shared" ref="AL240" si="633">+AK243</f>
        <v>-263.52</v>
      </c>
      <c r="AM240" s="62">
        <f t="shared" ref="AM240" si="634">+AL243</f>
        <v>-263.52</v>
      </c>
      <c r="AN240" s="62">
        <f t="shared" ref="AN240" si="635">+AM243</f>
        <v>-51.919999999999959</v>
      </c>
      <c r="AO240" s="62">
        <f t="shared" ref="AO240" si="636">+AN243</f>
        <v>-278.83999999999992</v>
      </c>
      <c r="AP240" s="62">
        <f t="shared" ref="AP240" si="637">+AO243</f>
        <v>-278.83999999999992</v>
      </c>
      <c r="AQ240" s="62">
        <f t="shared" ref="AQ240" si="638">+AP243</f>
        <v>-278.83999999999992</v>
      </c>
      <c r="AR240" s="62">
        <f t="shared" ref="AR240" si="639">+AQ243</f>
        <v>-278.83999999999992</v>
      </c>
      <c r="AS240" s="62">
        <f t="shared" ref="AS240" si="640">+AR243</f>
        <v>-278.83999999999992</v>
      </c>
      <c r="AT240" s="62">
        <f t="shared" ref="AT240" si="641">+AS243</f>
        <v>-78.519999999999925</v>
      </c>
      <c r="AU240" s="62">
        <f t="shared" ref="AU240" si="642">+AT243</f>
        <v>-298.11999999999989</v>
      </c>
      <c r="AV240" s="62">
        <f t="shared" ref="AV240" si="643">+AU243</f>
        <v>-298.11999999999989</v>
      </c>
      <c r="AW240" s="62">
        <f t="shared" ref="AW240" si="644">+AV243</f>
        <v>-298.11999999999989</v>
      </c>
      <c r="AX240" s="62">
        <f t="shared" ref="AX240" si="645">+AW243</f>
        <v>-298.11999999999989</v>
      </c>
      <c r="AY240" s="62">
        <f t="shared" ref="AY240:BJ240" si="646">+AX243</f>
        <v>-298.11999999999989</v>
      </c>
      <c r="AZ240" s="62">
        <f t="shared" si="646"/>
        <v>-86.519999999999868</v>
      </c>
      <c r="BA240" s="62">
        <f t="shared" si="646"/>
        <v>-313.43999999999983</v>
      </c>
      <c r="BB240" s="62">
        <f t="shared" si="646"/>
        <v>-313.43999999999983</v>
      </c>
      <c r="BC240" s="62">
        <f t="shared" si="646"/>
        <v>-313.43999999999983</v>
      </c>
      <c r="BD240" s="62">
        <f t="shared" si="646"/>
        <v>-313.43999999999983</v>
      </c>
      <c r="BE240" s="62">
        <f t="shared" si="646"/>
        <v>-313.43999999999983</v>
      </c>
      <c r="BF240" s="62">
        <f t="shared" si="646"/>
        <v>-113.11999999999983</v>
      </c>
      <c r="BG240" s="62">
        <f t="shared" si="646"/>
        <v>-332.7199999999998</v>
      </c>
      <c r="BH240" s="62">
        <f t="shared" si="646"/>
        <v>-332.7199999999998</v>
      </c>
      <c r="BI240" s="62">
        <f t="shared" si="646"/>
        <v>-332.7199999999998</v>
      </c>
      <c r="BJ240" s="62">
        <f t="shared" si="646"/>
        <v>-332.7199999999998</v>
      </c>
    </row>
    <row r="241" spans="2:62" outlineLevel="1">
      <c r="B241" t="s">
        <v>291</v>
      </c>
      <c r="C241" s="80"/>
      <c r="D241" s="80"/>
      <c r="E241" s="80">
        <v>5000</v>
      </c>
      <c r="F241" s="80"/>
      <c r="G241" s="80"/>
      <c r="H241" s="80"/>
      <c r="I241" s="80"/>
      <c r="J241" s="80"/>
      <c r="K241" s="80"/>
      <c r="L241" s="80"/>
      <c r="M241" s="80"/>
      <c r="N241" s="80"/>
      <c r="O241" s="80"/>
      <c r="P241" s="80"/>
      <c r="Q241" s="80"/>
      <c r="R241" s="80"/>
      <c r="S241" s="80"/>
      <c r="T241" s="80"/>
      <c r="U241" s="80"/>
      <c r="V241" s="474"/>
      <c r="W241" s="80"/>
      <c r="X241" s="80"/>
      <c r="Y241" s="474"/>
      <c r="Z241" s="509">
        <v>4080</v>
      </c>
      <c r="AA241" s="80"/>
      <c r="AB241" s="80"/>
      <c r="AC241" s="474"/>
      <c r="AD241" s="474"/>
      <c r="AE241" s="474"/>
      <c r="AF241" s="474"/>
      <c r="AG241" s="474"/>
      <c r="AH241" s="474"/>
      <c r="AI241" s="474"/>
      <c r="AJ241" s="474"/>
      <c r="AK241" s="474"/>
      <c r="AL241" s="474"/>
      <c r="AM241" s="474">
        <v>550</v>
      </c>
      <c r="AN241" s="474"/>
      <c r="AO241" s="474"/>
      <c r="AP241" s="474"/>
      <c r="AQ241" s="474"/>
      <c r="AR241" s="474"/>
      <c r="AS241" s="474">
        <v>550</v>
      </c>
      <c r="AT241" s="474"/>
      <c r="AU241" s="474"/>
      <c r="AV241" s="474"/>
      <c r="AW241" s="474"/>
      <c r="AX241" s="474"/>
      <c r="AY241" s="474">
        <v>550</v>
      </c>
      <c r="AZ241" s="474"/>
      <c r="BA241" s="474"/>
      <c r="BB241" s="474"/>
      <c r="BC241" s="474"/>
      <c r="BD241" s="474"/>
      <c r="BE241" s="474">
        <v>550</v>
      </c>
      <c r="BF241" s="474"/>
      <c r="BG241" s="474"/>
      <c r="BH241" s="474"/>
      <c r="BI241" s="474"/>
      <c r="BJ241" s="474"/>
    </row>
    <row r="242" spans="2:62" outlineLevel="1">
      <c r="B242" t="s">
        <v>292</v>
      </c>
      <c r="C242" s="62">
        <f t="shared" ref="C242:AH242" si="647">-C85</f>
        <v>0</v>
      </c>
      <c r="D242" s="62">
        <f t="shared" si="647"/>
        <v>0</v>
      </c>
      <c r="E242" s="62">
        <f t="shared" si="647"/>
        <v>0</v>
      </c>
      <c r="F242" s="62">
        <f t="shared" si="647"/>
        <v>0</v>
      </c>
      <c r="G242" s="62">
        <f t="shared" si="647"/>
        <v>0</v>
      </c>
      <c r="H242" s="62">
        <f t="shared" si="647"/>
        <v>0</v>
      </c>
      <c r="I242" s="62">
        <f t="shared" si="647"/>
        <v>-148.80000000000001</v>
      </c>
      <c r="J242" s="62">
        <f t="shared" si="647"/>
        <v>-192</v>
      </c>
      <c r="K242" s="62">
        <f t="shared" si="647"/>
        <v>0</v>
      </c>
      <c r="L242" s="62">
        <f t="shared" si="647"/>
        <v>0</v>
      </c>
      <c r="M242" s="62">
        <f t="shared" si="647"/>
        <v>0</v>
      </c>
      <c r="N242" s="62">
        <f t="shared" si="647"/>
        <v>0</v>
      </c>
      <c r="O242" s="62">
        <f t="shared" si="647"/>
        <v>-90</v>
      </c>
      <c r="P242" s="62">
        <f t="shared" si="647"/>
        <v>0</v>
      </c>
      <c r="Q242" s="62">
        <f t="shared" si="647"/>
        <v>0</v>
      </c>
      <c r="R242" s="62">
        <f t="shared" si="647"/>
        <v>0</v>
      </c>
      <c r="S242" s="62">
        <f t="shared" si="647"/>
        <v>0</v>
      </c>
      <c r="T242" s="62">
        <f t="shared" si="647"/>
        <v>0</v>
      </c>
      <c r="U242" s="62">
        <f t="shared" si="647"/>
        <v>-313.10000000000002</v>
      </c>
      <c r="V242" s="62">
        <f t="shared" si="647"/>
        <v>-564</v>
      </c>
      <c r="W242" s="62">
        <f t="shared" si="647"/>
        <v>0</v>
      </c>
      <c r="X242" s="62">
        <f t="shared" si="647"/>
        <v>0</v>
      </c>
      <c r="Y242" s="62">
        <f t="shared" si="647"/>
        <v>0</v>
      </c>
      <c r="Z242" s="62">
        <f t="shared" si="647"/>
        <v>0</v>
      </c>
      <c r="AA242" s="62">
        <f t="shared" si="647"/>
        <v>-465</v>
      </c>
      <c r="AB242" s="62">
        <f t="shared" si="647"/>
        <v>-297.59999999999997</v>
      </c>
      <c r="AC242" s="62">
        <f t="shared" si="647"/>
        <v>0</v>
      </c>
      <c r="AD242" s="62">
        <f t="shared" si="647"/>
        <v>0</v>
      </c>
      <c r="AE242" s="62">
        <f t="shared" si="647"/>
        <v>0</v>
      </c>
      <c r="AF242" s="62">
        <f t="shared" si="647"/>
        <v>0</v>
      </c>
      <c r="AG242" s="62">
        <f t="shared" si="647"/>
        <v>0</v>
      </c>
      <c r="AH242" s="62">
        <f t="shared" si="647"/>
        <v>-278.39999999999998</v>
      </c>
      <c r="AI242" s="62">
        <f t="shared" ref="AI242:BJ242" si="648">-AI85</f>
        <v>14.879999999999999</v>
      </c>
      <c r="AJ242" s="62">
        <f t="shared" si="648"/>
        <v>0</v>
      </c>
      <c r="AK242" s="62">
        <f t="shared" si="648"/>
        <v>0</v>
      </c>
      <c r="AL242" s="62">
        <f t="shared" si="648"/>
        <v>0</v>
      </c>
      <c r="AM242" s="62">
        <f t="shared" si="648"/>
        <v>-338.4</v>
      </c>
      <c r="AN242" s="62">
        <f t="shared" si="648"/>
        <v>-226.92</v>
      </c>
      <c r="AO242" s="62">
        <f t="shared" si="648"/>
        <v>0</v>
      </c>
      <c r="AP242" s="62">
        <f t="shared" si="648"/>
        <v>0</v>
      </c>
      <c r="AQ242" s="62">
        <f t="shared" si="648"/>
        <v>0</v>
      </c>
      <c r="AR242" s="62">
        <f t="shared" si="648"/>
        <v>0</v>
      </c>
      <c r="AS242" s="62">
        <f t="shared" si="648"/>
        <v>-349.68</v>
      </c>
      <c r="AT242" s="62">
        <f t="shared" si="648"/>
        <v>-219.6</v>
      </c>
      <c r="AU242" s="62">
        <f t="shared" si="648"/>
        <v>0</v>
      </c>
      <c r="AV242" s="62">
        <f t="shared" si="648"/>
        <v>0</v>
      </c>
      <c r="AW242" s="62">
        <f t="shared" si="648"/>
        <v>0</v>
      </c>
      <c r="AX242" s="62">
        <f t="shared" si="648"/>
        <v>0</v>
      </c>
      <c r="AY242" s="62">
        <f t="shared" si="648"/>
        <v>-338.4</v>
      </c>
      <c r="AZ242" s="62">
        <f t="shared" si="648"/>
        <v>-226.92</v>
      </c>
      <c r="BA242" s="62">
        <f t="shared" si="648"/>
        <v>0</v>
      </c>
      <c r="BB242" s="62">
        <f t="shared" si="648"/>
        <v>0</v>
      </c>
      <c r="BC242" s="62">
        <f t="shared" si="648"/>
        <v>0</v>
      </c>
      <c r="BD242" s="62">
        <f t="shared" si="648"/>
        <v>0</v>
      </c>
      <c r="BE242" s="62">
        <f t="shared" si="648"/>
        <v>-349.68</v>
      </c>
      <c r="BF242" s="62">
        <f t="shared" si="648"/>
        <v>-219.6</v>
      </c>
      <c r="BG242" s="62">
        <f t="shared" si="648"/>
        <v>0</v>
      </c>
      <c r="BH242" s="62">
        <f t="shared" si="648"/>
        <v>0</v>
      </c>
      <c r="BI242" s="62">
        <f t="shared" si="648"/>
        <v>0</v>
      </c>
      <c r="BJ242" s="62">
        <f t="shared" si="648"/>
        <v>0</v>
      </c>
    </row>
    <row r="243" spans="2:62" outlineLevel="1">
      <c r="B243" t="s">
        <v>293</v>
      </c>
      <c r="C243" s="62">
        <f>SUM(C240:C242)</f>
        <v>0</v>
      </c>
      <c r="D243" s="62">
        <f t="shared" ref="D243:AX243" si="649">SUM(D240:D242)</f>
        <v>0</v>
      </c>
      <c r="E243" s="62">
        <f t="shared" si="649"/>
        <v>5000</v>
      </c>
      <c r="F243" s="62">
        <f t="shared" si="649"/>
        <v>5000</v>
      </c>
      <c r="G243" s="62">
        <f t="shared" si="649"/>
        <v>5000</v>
      </c>
      <c r="H243" s="62">
        <f t="shared" si="649"/>
        <v>5000</v>
      </c>
      <c r="I243" s="62">
        <f t="shared" si="649"/>
        <v>4851.2</v>
      </c>
      <c r="J243" s="62">
        <f t="shared" si="649"/>
        <v>4659.2</v>
      </c>
      <c r="K243" s="62">
        <f t="shared" si="649"/>
        <v>4659.2</v>
      </c>
      <c r="L243" s="62">
        <f t="shared" si="649"/>
        <v>2000</v>
      </c>
      <c r="M243" s="62">
        <f t="shared" si="649"/>
        <v>2000</v>
      </c>
      <c r="N243" s="62">
        <f t="shared" si="649"/>
        <v>2000</v>
      </c>
      <c r="O243" s="62">
        <f t="shared" si="649"/>
        <v>1910</v>
      </c>
      <c r="P243" s="62">
        <f t="shared" si="649"/>
        <v>2000</v>
      </c>
      <c r="Q243" s="62">
        <f t="shared" si="649"/>
        <v>2000</v>
      </c>
      <c r="R243" s="62">
        <f t="shared" si="649"/>
        <v>2000</v>
      </c>
      <c r="S243" s="62">
        <f t="shared" si="649"/>
        <v>2000</v>
      </c>
      <c r="T243" s="62">
        <f t="shared" si="649"/>
        <v>2000</v>
      </c>
      <c r="U243" s="62">
        <f t="shared" si="649"/>
        <v>1686.9</v>
      </c>
      <c r="V243" s="62">
        <f t="shared" si="649"/>
        <v>1122.9000000000001</v>
      </c>
      <c r="W243" s="62">
        <f t="shared" si="649"/>
        <v>1122.9000000000001</v>
      </c>
      <c r="X243" s="62">
        <f t="shared" si="649"/>
        <v>0</v>
      </c>
      <c r="Y243" s="62">
        <f t="shared" si="649"/>
        <v>0</v>
      </c>
      <c r="Z243" s="62">
        <f t="shared" si="649"/>
        <v>4080</v>
      </c>
      <c r="AA243" s="62">
        <f t="shared" si="649"/>
        <v>3615</v>
      </c>
      <c r="AB243" s="62">
        <f t="shared" si="649"/>
        <v>3317.4</v>
      </c>
      <c r="AC243" s="62">
        <f t="shared" si="649"/>
        <v>3317.4</v>
      </c>
      <c r="AD243" s="62">
        <f t="shared" si="649"/>
        <v>3317.4</v>
      </c>
      <c r="AE243" s="62">
        <f t="shared" si="649"/>
        <v>0</v>
      </c>
      <c r="AF243" s="62">
        <f t="shared" si="649"/>
        <v>0</v>
      </c>
      <c r="AG243" s="62">
        <f t="shared" si="649"/>
        <v>0</v>
      </c>
      <c r="AH243" s="62">
        <f t="shared" si="649"/>
        <v>-278.39999999999998</v>
      </c>
      <c r="AI243" s="62">
        <f t="shared" si="649"/>
        <v>-263.52</v>
      </c>
      <c r="AJ243" s="62">
        <f t="shared" si="649"/>
        <v>-263.52</v>
      </c>
      <c r="AK243" s="62">
        <f t="shared" si="649"/>
        <v>-263.52</v>
      </c>
      <c r="AL243" s="62">
        <f t="shared" si="649"/>
        <v>-263.52</v>
      </c>
      <c r="AM243" s="62">
        <f t="shared" si="649"/>
        <v>-51.919999999999959</v>
      </c>
      <c r="AN243" s="62">
        <f t="shared" si="649"/>
        <v>-278.83999999999992</v>
      </c>
      <c r="AO243" s="62">
        <f t="shared" si="649"/>
        <v>-278.83999999999992</v>
      </c>
      <c r="AP243" s="62">
        <f t="shared" si="649"/>
        <v>-278.83999999999992</v>
      </c>
      <c r="AQ243" s="62">
        <f t="shared" si="649"/>
        <v>-278.83999999999992</v>
      </c>
      <c r="AR243" s="62">
        <f t="shared" si="649"/>
        <v>-278.83999999999992</v>
      </c>
      <c r="AS243" s="62">
        <f t="shared" si="649"/>
        <v>-78.519999999999925</v>
      </c>
      <c r="AT243" s="62">
        <f t="shared" si="649"/>
        <v>-298.11999999999989</v>
      </c>
      <c r="AU243" s="62">
        <f t="shared" si="649"/>
        <v>-298.11999999999989</v>
      </c>
      <c r="AV243" s="62">
        <f t="shared" si="649"/>
        <v>-298.11999999999989</v>
      </c>
      <c r="AW243" s="62">
        <f t="shared" si="649"/>
        <v>-298.11999999999989</v>
      </c>
      <c r="AX243" s="62">
        <f t="shared" si="649"/>
        <v>-298.11999999999989</v>
      </c>
      <c r="AY243" s="62">
        <f t="shared" ref="AY243:BJ243" si="650">SUM(AY240:AY242)</f>
        <v>-86.519999999999868</v>
      </c>
      <c r="AZ243" s="62">
        <f t="shared" si="650"/>
        <v>-313.43999999999983</v>
      </c>
      <c r="BA243" s="62">
        <f t="shared" si="650"/>
        <v>-313.43999999999983</v>
      </c>
      <c r="BB243" s="62">
        <f t="shared" si="650"/>
        <v>-313.43999999999983</v>
      </c>
      <c r="BC243" s="62">
        <f t="shared" si="650"/>
        <v>-313.43999999999983</v>
      </c>
      <c r="BD243" s="62">
        <f t="shared" si="650"/>
        <v>-313.43999999999983</v>
      </c>
      <c r="BE243" s="62">
        <f t="shared" si="650"/>
        <v>-113.11999999999983</v>
      </c>
      <c r="BF243" s="62">
        <f t="shared" si="650"/>
        <v>-332.7199999999998</v>
      </c>
      <c r="BG243" s="62">
        <f t="shared" si="650"/>
        <v>-332.7199999999998</v>
      </c>
      <c r="BH243" s="62">
        <f t="shared" si="650"/>
        <v>-332.7199999999998</v>
      </c>
      <c r="BI243" s="62">
        <f t="shared" si="650"/>
        <v>-332.7199999999998</v>
      </c>
      <c r="BJ243" s="62">
        <f t="shared" si="650"/>
        <v>-332.7199999999998</v>
      </c>
    </row>
    <row r="244" spans="2:62" outlineLevel="1">
      <c r="B244" t="s">
        <v>222</v>
      </c>
      <c r="C244" s="62">
        <f t="shared" ref="C244:AX244" si="651">C241*C287</f>
        <v>0</v>
      </c>
      <c r="D244" s="62">
        <f t="shared" si="651"/>
        <v>0</v>
      </c>
      <c r="E244" s="62">
        <f t="shared" si="651"/>
        <v>1865.75</v>
      </c>
      <c r="F244" s="62">
        <f t="shared" si="651"/>
        <v>0</v>
      </c>
      <c r="G244" s="62">
        <f t="shared" si="651"/>
        <v>0</v>
      </c>
      <c r="H244" s="62">
        <f t="shared" si="651"/>
        <v>0</v>
      </c>
      <c r="I244" s="62">
        <f t="shared" si="651"/>
        <v>0</v>
      </c>
      <c r="J244" s="62">
        <f t="shared" si="651"/>
        <v>0</v>
      </c>
      <c r="K244" s="62">
        <f t="shared" si="651"/>
        <v>0</v>
      </c>
      <c r="L244" s="62">
        <f t="shared" si="651"/>
        <v>0</v>
      </c>
      <c r="M244" s="62">
        <f t="shared" si="651"/>
        <v>0</v>
      </c>
      <c r="N244" s="62">
        <f t="shared" si="651"/>
        <v>0</v>
      </c>
      <c r="O244" s="62">
        <f t="shared" si="651"/>
        <v>0</v>
      </c>
      <c r="P244" s="62">
        <f t="shared" si="651"/>
        <v>0</v>
      </c>
      <c r="Q244" s="62">
        <f t="shared" si="651"/>
        <v>0</v>
      </c>
      <c r="R244" s="62">
        <f t="shared" si="651"/>
        <v>0</v>
      </c>
      <c r="S244" s="62">
        <f t="shared" si="651"/>
        <v>0</v>
      </c>
      <c r="T244" s="62">
        <f t="shared" si="651"/>
        <v>0</v>
      </c>
      <c r="U244" s="62">
        <f t="shared" si="651"/>
        <v>0</v>
      </c>
      <c r="V244" s="62">
        <f t="shared" si="651"/>
        <v>0</v>
      </c>
      <c r="W244" s="62">
        <f t="shared" si="651"/>
        <v>0</v>
      </c>
      <c r="X244" s="62">
        <f t="shared" si="651"/>
        <v>0</v>
      </c>
      <c r="Y244" s="62">
        <f t="shared" si="651"/>
        <v>0</v>
      </c>
      <c r="Z244" s="62">
        <f t="shared" si="651"/>
        <v>1566.3120000000001</v>
      </c>
      <c r="AA244" s="62">
        <f t="shared" si="651"/>
        <v>0</v>
      </c>
      <c r="AB244" s="62">
        <f t="shared" si="651"/>
        <v>0</v>
      </c>
      <c r="AC244" s="62">
        <f t="shared" si="651"/>
        <v>0</v>
      </c>
      <c r="AD244" s="62">
        <f t="shared" si="651"/>
        <v>0</v>
      </c>
      <c r="AE244" s="62">
        <f t="shared" si="651"/>
        <v>0</v>
      </c>
      <c r="AF244" s="62">
        <f t="shared" si="651"/>
        <v>0</v>
      </c>
      <c r="AG244" s="62">
        <f t="shared" si="651"/>
        <v>0</v>
      </c>
      <c r="AH244" s="62">
        <f t="shared" si="651"/>
        <v>0</v>
      </c>
      <c r="AI244" s="62">
        <f t="shared" si="651"/>
        <v>0</v>
      </c>
      <c r="AJ244" s="62">
        <f t="shared" si="651"/>
        <v>0</v>
      </c>
      <c r="AK244" s="62">
        <f t="shared" si="651"/>
        <v>0</v>
      </c>
      <c r="AL244" s="62">
        <f t="shared" si="651"/>
        <v>0</v>
      </c>
      <c r="AM244" s="62">
        <f t="shared" si="651"/>
        <v>220.76999999999998</v>
      </c>
      <c r="AN244" s="62">
        <f t="shared" si="651"/>
        <v>0</v>
      </c>
      <c r="AO244" s="62">
        <f t="shared" si="651"/>
        <v>0</v>
      </c>
      <c r="AP244" s="62">
        <f t="shared" si="651"/>
        <v>0</v>
      </c>
      <c r="AQ244" s="62">
        <f t="shared" si="651"/>
        <v>0</v>
      </c>
      <c r="AR244" s="62">
        <f t="shared" si="651"/>
        <v>0</v>
      </c>
      <c r="AS244" s="62">
        <f t="shared" si="651"/>
        <v>220.76999999999998</v>
      </c>
      <c r="AT244" s="62">
        <f t="shared" si="651"/>
        <v>0</v>
      </c>
      <c r="AU244" s="62">
        <f t="shared" si="651"/>
        <v>0</v>
      </c>
      <c r="AV244" s="62">
        <f t="shared" si="651"/>
        <v>0</v>
      </c>
      <c r="AW244" s="62">
        <f t="shared" si="651"/>
        <v>0</v>
      </c>
      <c r="AX244" s="62">
        <f t="shared" si="651"/>
        <v>0</v>
      </c>
      <c r="AY244" s="62">
        <f t="shared" ref="AY244:BJ244" si="652">AY241*AY287</f>
        <v>216.68349999999998</v>
      </c>
      <c r="AZ244" s="62">
        <f t="shared" si="652"/>
        <v>0</v>
      </c>
      <c r="BA244" s="62">
        <f t="shared" si="652"/>
        <v>0</v>
      </c>
      <c r="BB244" s="62">
        <f t="shared" si="652"/>
        <v>0</v>
      </c>
      <c r="BC244" s="62">
        <f t="shared" si="652"/>
        <v>0</v>
      </c>
      <c r="BD244" s="62">
        <f t="shared" si="652"/>
        <v>0</v>
      </c>
      <c r="BE244" s="62">
        <f t="shared" si="652"/>
        <v>216.68349999999998</v>
      </c>
      <c r="BF244" s="62">
        <f t="shared" si="652"/>
        <v>0</v>
      </c>
      <c r="BG244" s="62">
        <f t="shared" si="652"/>
        <v>0</v>
      </c>
      <c r="BH244" s="62">
        <f t="shared" si="652"/>
        <v>0</v>
      </c>
      <c r="BI244" s="62">
        <f t="shared" si="652"/>
        <v>0</v>
      </c>
      <c r="BJ244" s="62">
        <f t="shared" si="652"/>
        <v>0</v>
      </c>
    </row>
    <row r="245" spans="2:62" outlineLevel="1"/>
    <row r="246" spans="2:62" outlineLevel="1">
      <c r="B246" s="54" t="s">
        <v>406</v>
      </c>
    </row>
    <row r="247" spans="2:62" outlineLevel="1">
      <c r="B247" t="s">
        <v>290</v>
      </c>
      <c r="C247" s="80">
        <v>0</v>
      </c>
      <c r="D247" s="62">
        <f t="shared" ref="D247" si="653">+C250</f>
        <v>0</v>
      </c>
      <c r="E247" s="62">
        <f t="shared" ref="E247" si="654">+D250</f>
        <v>0</v>
      </c>
      <c r="F247" s="62">
        <f t="shared" ref="F247" si="655">+E250</f>
        <v>0</v>
      </c>
      <c r="G247" s="62">
        <f t="shared" ref="G247" si="656">+F250</f>
        <v>0</v>
      </c>
      <c r="H247" s="62">
        <f t="shared" ref="H247" si="657">+G250</f>
        <v>0</v>
      </c>
      <c r="I247" s="62">
        <f t="shared" ref="I247" si="658">+H250</f>
        <v>0</v>
      </c>
      <c r="J247" s="62">
        <f t="shared" ref="J247" si="659">+I250</f>
        <v>0</v>
      </c>
      <c r="K247" s="62">
        <f t="shared" ref="K247" si="660">+J250</f>
        <v>-1152.0000000000002</v>
      </c>
      <c r="L247" s="80">
        <v>0</v>
      </c>
      <c r="M247" s="62">
        <f t="shared" ref="M247" si="661">+L250</f>
        <v>-1367.9999999999998</v>
      </c>
      <c r="N247" s="62">
        <f t="shared" ref="N247" si="662">+M250</f>
        <v>-3282.25</v>
      </c>
      <c r="O247" s="62">
        <f t="shared" ref="O247" si="663">+N250</f>
        <v>-5196.5</v>
      </c>
      <c r="P247" s="80">
        <v>1600</v>
      </c>
      <c r="Q247" s="62">
        <f t="shared" ref="Q247" si="664">+P250</f>
        <v>4842.25</v>
      </c>
      <c r="R247" s="62">
        <f t="shared" ref="R247" si="665">+Q250</f>
        <v>2134.75</v>
      </c>
      <c r="S247" s="62">
        <f t="shared" ref="S247" si="666">+R250</f>
        <v>-663</v>
      </c>
      <c r="T247" s="80">
        <f>960</f>
        <v>960</v>
      </c>
      <c r="U247" s="62">
        <f t="shared" ref="U247" si="667">+T250</f>
        <v>632.4</v>
      </c>
      <c r="V247" s="62">
        <f t="shared" ref="V247" si="668">+U250</f>
        <v>155</v>
      </c>
      <c r="W247" s="80">
        <v>0</v>
      </c>
      <c r="X247" s="62">
        <f t="shared" ref="X247" si="669">+W250</f>
        <v>11921.6</v>
      </c>
      <c r="Y247" s="62">
        <f t="shared" ref="Y247" si="670">+X250</f>
        <v>8438.6</v>
      </c>
      <c r="Z247" s="62">
        <f t="shared" ref="Z247" si="671">+Y250</f>
        <v>2672.6000000000004</v>
      </c>
      <c r="AA247" s="80">
        <v>8000</v>
      </c>
      <c r="AB247" s="62">
        <f t="shared" ref="AB247" si="672">+AA250</f>
        <v>4790</v>
      </c>
      <c r="AC247" s="62">
        <f t="shared" ref="AC247" si="673">+AB250</f>
        <v>2207.7000000000003</v>
      </c>
      <c r="AD247" s="62">
        <f t="shared" ref="AD247:AG247" si="674">+AC250</f>
        <v>-1540.7999999999997</v>
      </c>
      <c r="AE247" s="62">
        <f t="shared" si="674"/>
        <v>-6926.74</v>
      </c>
      <c r="AF247" s="62">
        <f t="shared" si="674"/>
        <v>-12855.8</v>
      </c>
      <c r="AG247" s="62">
        <f t="shared" si="674"/>
        <v>-16434.2</v>
      </c>
      <c r="AH247" s="80">
        <v>0</v>
      </c>
      <c r="AI247" s="62">
        <f t="shared" ref="AI247" si="675">+AH250</f>
        <v>14860</v>
      </c>
      <c r="AJ247" s="62">
        <f t="shared" ref="AJ247" si="676">+AI250</f>
        <v>10884.25</v>
      </c>
      <c r="AK247" s="62">
        <f t="shared" ref="AK247" si="677">+AJ250</f>
        <v>6879.25</v>
      </c>
      <c r="AL247" s="62">
        <f t="shared" ref="AL247" si="678">+AK250</f>
        <v>1903.75</v>
      </c>
      <c r="AM247" s="62">
        <f t="shared" ref="AM247" si="679">+AL250</f>
        <v>-1070.75</v>
      </c>
      <c r="AN247" s="62">
        <f t="shared" ref="AN247" si="680">+AM250</f>
        <v>10429.25</v>
      </c>
      <c r="AO247" s="62">
        <f t="shared" ref="AO247" si="681">+AN250</f>
        <v>5438.25</v>
      </c>
      <c r="AP247" s="62">
        <f t="shared" ref="AP247" si="682">+AO250</f>
        <v>1358.25</v>
      </c>
      <c r="AQ247" s="62">
        <f t="shared" ref="AQ247" si="683">+AP250</f>
        <v>12844.650000000001</v>
      </c>
      <c r="AR247" s="62">
        <f t="shared" ref="AR247" si="684">+AQ250</f>
        <v>7735.8500000000013</v>
      </c>
      <c r="AS247" s="62">
        <f t="shared" ref="AS247" si="685">+AR250</f>
        <v>3703.8500000000013</v>
      </c>
      <c r="AT247" s="62">
        <f t="shared" ref="AT247" si="686">+AS250</f>
        <v>231.85000000000127</v>
      </c>
      <c r="AU247" s="62">
        <f t="shared" ref="AU247" si="687">+AT250</f>
        <v>14191.850000000002</v>
      </c>
      <c r="AV247" s="62">
        <f t="shared" ref="AV247" si="688">+AU250</f>
        <v>9479.8500000000022</v>
      </c>
      <c r="AW247" s="62">
        <f t="shared" ref="AW247" si="689">+AV250</f>
        <v>5159.8500000000022</v>
      </c>
      <c r="AX247" s="62">
        <f t="shared" ref="AX247" si="690">+AW250</f>
        <v>13719.850000000002</v>
      </c>
      <c r="AY247" s="62">
        <f t="shared" ref="AY247:BJ247" si="691">+AX250</f>
        <v>6279.8500000000022</v>
      </c>
      <c r="AZ247" s="62">
        <f t="shared" si="691"/>
        <v>1479.8500000000022</v>
      </c>
      <c r="BA247" s="62">
        <f t="shared" si="691"/>
        <v>-256.14999999999782</v>
      </c>
      <c r="BB247" s="62">
        <f t="shared" si="691"/>
        <v>11663.850000000002</v>
      </c>
      <c r="BC247" s="62">
        <f t="shared" si="691"/>
        <v>7150.2500000000027</v>
      </c>
      <c r="BD247" s="62">
        <f t="shared" si="691"/>
        <v>2041.4500000000025</v>
      </c>
      <c r="BE247" s="62">
        <f t="shared" si="691"/>
        <v>14009.450000000004</v>
      </c>
      <c r="BF247" s="62">
        <f t="shared" si="691"/>
        <v>10537.450000000004</v>
      </c>
      <c r="BG247" s="62">
        <f t="shared" si="691"/>
        <v>8497.4500000000044</v>
      </c>
      <c r="BH247" s="62">
        <f t="shared" si="691"/>
        <v>3785.4500000000044</v>
      </c>
      <c r="BI247" s="62">
        <f t="shared" si="691"/>
        <v>-534.54999999999563</v>
      </c>
      <c r="BJ247" s="62">
        <f t="shared" si="691"/>
        <v>8025.4500000000044</v>
      </c>
    </row>
    <row r="248" spans="2:62" outlineLevel="1">
      <c r="B248" t="s">
        <v>291</v>
      </c>
      <c r="C248" s="80"/>
      <c r="D248" s="80"/>
      <c r="E248" s="80"/>
      <c r="F248" s="80"/>
      <c r="G248" s="80"/>
      <c r="H248" s="80"/>
      <c r="I248" s="80"/>
      <c r="J248" s="80"/>
      <c r="K248" s="80"/>
      <c r="L248" s="80"/>
      <c r="M248" s="80"/>
      <c r="N248" s="80"/>
      <c r="O248" s="80"/>
      <c r="P248" s="484">
        <v>6040</v>
      </c>
      <c r="Q248" s="80"/>
      <c r="R248" s="80"/>
      <c r="S248" s="80"/>
      <c r="T248" s="80"/>
      <c r="U248" s="80"/>
      <c r="V248" s="80"/>
      <c r="W248" s="80">
        <v>15220</v>
      </c>
      <c r="X248" s="474"/>
      <c r="Y248" s="80"/>
      <c r="Z248" s="80">
        <v>12880</v>
      </c>
      <c r="AA248" s="474"/>
      <c r="AB248" s="474"/>
      <c r="AC248" s="474"/>
      <c r="AD248" s="474"/>
      <c r="AE248" s="474"/>
      <c r="AF248" s="474"/>
      <c r="AG248" s="474"/>
      <c r="AH248" s="509">
        <v>14860</v>
      </c>
      <c r="AI248" s="474"/>
      <c r="AJ248" s="474"/>
      <c r="AK248" s="474"/>
      <c r="AL248" s="474">
        <v>6000</v>
      </c>
      <c r="AM248" s="474">
        <v>16000</v>
      </c>
      <c r="AN248" s="474"/>
      <c r="AO248" s="474"/>
      <c r="AP248" s="474">
        <v>16000</v>
      </c>
      <c r="AQ248" s="474"/>
      <c r="AR248" s="474"/>
      <c r="AS248" s="474"/>
      <c r="AT248" s="474">
        <v>16000</v>
      </c>
      <c r="AU248" s="474"/>
      <c r="AV248" s="474"/>
      <c r="AW248" s="474">
        <v>16000</v>
      </c>
      <c r="AX248" s="474"/>
      <c r="AY248" s="474"/>
      <c r="AZ248" s="474"/>
      <c r="BA248" s="474">
        <v>16000</v>
      </c>
      <c r="BB248" s="474"/>
      <c r="BC248" s="474"/>
      <c r="BD248" s="474">
        <v>16000</v>
      </c>
      <c r="BE248" s="474"/>
      <c r="BF248" s="474"/>
      <c r="BG248" s="474"/>
      <c r="BH248" s="474"/>
      <c r="BI248" s="474">
        <v>16000</v>
      </c>
      <c r="BJ248" s="474"/>
    </row>
    <row r="249" spans="2:62" outlineLevel="1">
      <c r="B249" t="s">
        <v>292</v>
      </c>
      <c r="C249" s="62">
        <f t="shared" ref="C249:AH249" si="692">-C86</f>
        <v>0</v>
      </c>
      <c r="D249" s="62">
        <f t="shared" si="692"/>
        <v>0</v>
      </c>
      <c r="E249" s="62">
        <f t="shared" si="692"/>
        <v>0</v>
      </c>
      <c r="F249" s="62">
        <f t="shared" si="692"/>
        <v>0</v>
      </c>
      <c r="G249" s="62">
        <f t="shared" si="692"/>
        <v>0</v>
      </c>
      <c r="H249" s="62">
        <f t="shared" si="692"/>
        <v>0</v>
      </c>
      <c r="I249" s="62">
        <f t="shared" si="692"/>
        <v>0</v>
      </c>
      <c r="J249" s="62">
        <f t="shared" si="692"/>
        <v>-1152.0000000000002</v>
      </c>
      <c r="K249" s="62">
        <f t="shared" si="692"/>
        <v>-1413.6</v>
      </c>
      <c r="L249" s="62">
        <f t="shared" si="692"/>
        <v>-1367.9999999999998</v>
      </c>
      <c r="M249" s="62">
        <f t="shared" si="692"/>
        <v>-1914.25</v>
      </c>
      <c r="N249" s="62">
        <f t="shared" si="692"/>
        <v>-1914.25</v>
      </c>
      <c r="O249" s="62">
        <f t="shared" si="692"/>
        <v>-1852.5</v>
      </c>
      <c r="P249" s="62">
        <f t="shared" si="692"/>
        <v>-2797.75</v>
      </c>
      <c r="Q249" s="62">
        <f t="shared" si="692"/>
        <v>-2707.5</v>
      </c>
      <c r="R249" s="62">
        <f t="shared" si="692"/>
        <v>-2797.75</v>
      </c>
      <c r="S249" s="62">
        <f t="shared" si="692"/>
        <v>-883.5</v>
      </c>
      <c r="T249" s="62">
        <f t="shared" si="692"/>
        <v>-327.60000000000002</v>
      </c>
      <c r="U249" s="62">
        <f t="shared" si="692"/>
        <v>-477.4</v>
      </c>
      <c r="V249" s="62">
        <f t="shared" si="692"/>
        <v>-561</v>
      </c>
      <c r="W249" s="62">
        <f t="shared" si="692"/>
        <v>-3298.3999999999996</v>
      </c>
      <c r="X249" s="62">
        <f t="shared" si="692"/>
        <v>-3483.0000000000005</v>
      </c>
      <c r="Y249" s="62">
        <f t="shared" si="692"/>
        <v>-5766</v>
      </c>
      <c r="Z249" s="62">
        <f t="shared" si="692"/>
        <v>-7299.2599999999993</v>
      </c>
      <c r="AA249" s="62">
        <f t="shared" si="692"/>
        <v>-3210</v>
      </c>
      <c r="AB249" s="62">
        <f t="shared" si="692"/>
        <v>-2582.2999999999997</v>
      </c>
      <c r="AC249" s="62">
        <f t="shared" si="692"/>
        <v>-3748.5</v>
      </c>
      <c r="AD249" s="62">
        <f t="shared" si="692"/>
        <v>-5385.94</v>
      </c>
      <c r="AE249" s="62">
        <f t="shared" si="692"/>
        <v>-5929.06</v>
      </c>
      <c r="AF249" s="62">
        <f t="shared" si="692"/>
        <v>-3578.4</v>
      </c>
      <c r="AG249" s="62">
        <f t="shared" si="692"/>
        <v>-2387</v>
      </c>
      <c r="AH249" s="62">
        <f t="shared" si="692"/>
        <v>0</v>
      </c>
      <c r="AI249" s="62">
        <f t="shared" ref="AI249:BJ249" si="693">-AI86</f>
        <v>-3975.75</v>
      </c>
      <c r="AJ249" s="62">
        <f t="shared" si="693"/>
        <v>-4005</v>
      </c>
      <c r="AK249" s="62">
        <f t="shared" si="693"/>
        <v>-4975.5</v>
      </c>
      <c r="AL249" s="62">
        <f t="shared" si="693"/>
        <v>-8974.5</v>
      </c>
      <c r="AM249" s="62">
        <f t="shared" si="693"/>
        <v>-4500</v>
      </c>
      <c r="AN249" s="62">
        <f t="shared" si="693"/>
        <v>-4991</v>
      </c>
      <c r="AO249" s="62">
        <f t="shared" si="693"/>
        <v>-4080</v>
      </c>
      <c r="AP249" s="62">
        <f t="shared" si="693"/>
        <v>-4513.5999999999995</v>
      </c>
      <c r="AQ249" s="62">
        <f t="shared" si="693"/>
        <v>-5108.8</v>
      </c>
      <c r="AR249" s="62">
        <f t="shared" si="693"/>
        <v>-4032</v>
      </c>
      <c r="AS249" s="62">
        <f t="shared" si="693"/>
        <v>-3472</v>
      </c>
      <c r="AT249" s="62">
        <f t="shared" si="693"/>
        <v>-2040</v>
      </c>
      <c r="AU249" s="62">
        <f t="shared" si="693"/>
        <v>-4712</v>
      </c>
      <c r="AV249" s="62">
        <f t="shared" si="693"/>
        <v>-4320</v>
      </c>
      <c r="AW249" s="62">
        <f t="shared" si="693"/>
        <v>-7440</v>
      </c>
      <c r="AX249" s="62">
        <f t="shared" si="693"/>
        <v>-7440</v>
      </c>
      <c r="AY249" s="62">
        <f t="shared" si="693"/>
        <v>-4800</v>
      </c>
      <c r="AZ249" s="62">
        <f t="shared" si="693"/>
        <v>-1736</v>
      </c>
      <c r="BA249" s="62">
        <f t="shared" si="693"/>
        <v>-4080</v>
      </c>
      <c r="BB249" s="62">
        <f t="shared" si="693"/>
        <v>-4513.5999999999995</v>
      </c>
      <c r="BC249" s="62">
        <f t="shared" si="693"/>
        <v>-5108.8</v>
      </c>
      <c r="BD249" s="62">
        <f t="shared" si="693"/>
        <v>-4032</v>
      </c>
      <c r="BE249" s="62">
        <f t="shared" si="693"/>
        <v>-3472</v>
      </c>
      <c r="BF249" s="62">
        <f t="shared" si="693"/>
        <v>-2040</v>
      </c>
      <c r="BG249" s="62">
        <f t="shared" si="693"/>
        <v>-4712</v>
      </c>
      <c r="BH249" s="62">
        <f t="shared" si="693"/>
        <v>-4320</v>
      </c>
      <c r="BI249" s="62">
        <f t="shared" si="693"/>
        <v>-7440</v>
      </c>
      <c r="BJ249" s="62">
        <f t="shared" si="693"/>
        <v>-7440</v>
      </c>
    </row>
    <row r="250" spans="2:62" outlineLevel="1">
      <c r="B250" t="s">
        <v>293</v>
      </c>
      <c r="C250" s="62">
        <f t="shared" ref="C250:AX250" si="694">SUM(C247:C249)</f>
        <v>0</v>
      </c>
      <c r="D250" s="62">
        <f t="shared" si="694"/>
        <v>0</v>
      </c>
      <c r="E250" s="62">
        <f t="shared" si="694"/>
        <v>0</v>
      </c>
      <c r="F250" s="62">
        <f t="shared" si="694"/>
        <v>0</v>
      </c>
      <c r="G250" s="62">
        <f t="shared" si="694"/>
        <v>0</v>
      </c>
      <c r="H250" s="62">
        <f t="shared" si="694"/>
        <v>0</v>
      </c>
      <c r="I250" s="62">
        <f t="shared" si="694"/>
        <v>0</v>
      </c>
      <c r="J250" s="62">
        <f t="shared" si="694"/>
        <v>-1152.0000000000002</v>
      </c>
      <c r="K250" s="62">
        <f t="shared" si="694"/>
        <v>-2565.6000000000004</v>
      </c>
      <c r="L250" s="62">
        <f t="shared" si="694"/>
        <v>-1367.9999999999998</v>
      </c>
      <c r="M250" s="62">
        <f t="shared" si="694"/>
        <v>-3282.25</v>
      </c>
      <c r="N250" s="62">
        <f t="shared" si="694"/>
        <v>-5196.5</v>
      </c>
      <c r="O250" s="62">
        <f t="shared" si="694"/>
        <v>-7049</v>
      </c>
      <c r="P250" s="62">
        <f t="shared" si="694"/>
        <v>4842.25</v>
      </c>
      <c r="Q250" s="62">
        <f t="shared" si="694"/>
        <v>2134.75</v>
      </c>
      <c r="R250" s="62">
        <f t="shared" si="694"/>
        <v>-663</v>
      </c>
      <c r="S250" s="62">
        <f t="shared" si="694"/>
        <v>-1546.5</v>
      </c>
      <c r="T250" s="62">
        <f t="shared" si="694"/>
        <v>632.4</v>
      </c>
      <c r="U250" s="62">
        <f t="shared" si="694"/>
        <v>155</v>
      </c>
      <c r="V250" s="62">
        <f t="shared" si="694"/>
        <v>-406</v>
      </c>
      <c r="W250" s="62">
        <f t="shared" si="694"/>
        <v>11921.6</v>
      </c>
      <c r="X250" s="62">
        <f t="shared" si="694"/>
        <v>8438.6</v>
      </c>
      <c r="Y250" s="62">
        <f t="shared" si="694"/>
        <v>2672.6000000000004</v>
      </c>
      <c r="Z250" s="62">
        <f t="shared" si="694"/>
        <v>8253.34</v>
      </c>
      <c r="AA250" s="62">
        <f t="shared" si="694"/>
        <v>4790</v>
      </c>
      <c r="AB250" s="62">
        <f t="shared" si="694"/>
        <v>2207.7000000000003</v>
      </c>
      <c r="AC250" s="62">
        <f t="shared" si="694"/>
        <v>-1540.7999999999997</v>
      </c>
      <c r="AD250" s="62">
        <f t="shared" si="694"/>
        <v>-6926.74</v>
      </c>
      <c r="AE250" s="62">
        <f t="shared" si="694"/>
        <v>-12855.8</v>
      </c>
      <c r="AF250" s="62">
        <f t="shared" si="694"/>
        <v>-16434.2</v>
      </c>
      <c r="AG250" s="62">
        <f t="shared" si="694"/>
        <v>-18821.2</v>
      </c>
      <c r="AH250" s="62">
        <f t="shared" si="694"/>
        <v>14860</v>
      </c>
      <c r="AI250" s="62">
        <f t="shared" si="694"/>
        <v>10884.25</v>
      </c>
      <c r="AJ250" s="62">
        <f t="shared" si="694"/>
        <v>6879.25</v>
      </c>
      <c r="AK250" s="62">
        <f t="shared" si="694"/>
        <v>1903.75</v>
      </c>
      <c r="AL250" s="62">
        <f t="shared" si="694"/>
        <v>-1070.75</v>
      </c>
      <c r="AM250" s="62">
        <f t="shared" si="694"/>
        <v>10429.25</v>
      </c>
      <c r="AN250" s="62">
        <f t="shared" si="694"/>
        <v>5438.25</v>
      </c>
      <c r="AO250" s="62">
        <f t="shared" si="694"/>
        <v>1358.25</v>
      </c>
      <c r="AP250" s="62">
        <f t="shared" si="694"/>
        <v>12844.650000000001</v>
      </c>
      <c r="AQ250" s="62">
        <f t="shared" si="694"/>
        <v>7735.8500000000013</v>
      </c>
      <c r="AR250" s="62">
        <f t="shared" si="694"/>
        <v>3703.8500000000013</v>
      </c>
      <c r="AS250" s="62">
        <f t="shared" si="694"/>
        <v>231.85000000000127</v>
      </c>
      <c r="AT250" s="62">
        <f t="shared" si="694"/>
        <v>14191.850000000002</v>
      </c>
      <c r="AU250" s="62">
        <f t="shared" si="694"/>
        <v>9479.8500000000022</v>
      </c>
      <c r="AV250" s="62">
        <f t="shared" si="694"/>
        <v>5159.8500000000022</v>
      </c>
      <c r="AW250" s="62">
        <f t="shared" si="694"/>
        <v>13719.850000000002</v>
      </c>
      <c r="AX250" s="62">
        <f t="shared" si="694"/>
        <v>6279.8500000000022</v>
      </c>
      <c r="AY250" s="62">
        <f t="shared" ref="AY250:BJ250" si="695">SUM(AY247:AY249)</f>
        <v>1479.8500000000022</v>
      </c>
      <c r="AZ250" s="62">
        <f t="shared" si="695"/>
        <v>-256.14999999999782</v>
      </c>
      <c r="BA250" s="62">
        <f t="shared" si="695"/>
        <v>11663.850000000002</v>
      </c>
      <c r="BB250" s="62">
        <f t="shared" si="695"/>
        <v>7150.2500000000027</v>
      </c>
      <c r="BC250" s="62">
        <f t="shared" si="695"/>
        <v>2041.4500000000025</v>
      </c>
      <c r="BD250" s="62">
        <f t="shared" si="695"/>
        <v>14009.450000000004</v>
      </c>
      <c r="BE250" s="62">
        <f t="shared" si="695"/>
        <v>10537.450000000004</v>
      </c>
      <c r="BF250" s="62">
        <f t="shared" si="695"/>
        <v>8497.4500000000044</v>
      </c>
      <c r="BG250" s="62">
        <f t="shared" si="695"/>
        <v>3785.4500000000044</v>
      </c>
      <c r="BH250" s="62">
        <f t="shared" si="695"/>
        <v>-534.54999999999563</v>
      </c>
      <c r="BI250" s="62">
        <f t="shared" si="695"/>
        <v>8025.4500000000044</v>
      </c>
      <c r="BJ250" s="62">
        <f t="shared" si="695"/>
        <v>585.45000000000437</v>
      </c>
    </row>
    <row r="251" spans="2:62" outlineLevel="1">
      <c r="B251" t="s">
        <v>222</v>
      </c>
      <c r="C251">
        <f>C248*C289</f>
        <v>0</v>
      </c>
      <c r="D251">
        <f t="shared" ref="D251:AX251" si="696">D248*D289</f>
        <v>0</v>
      </c>
      <c r="E251">
        <f t="shared" si="696"/>
        <v>0</v>
      </c>
      <c r="F251">
        <f t="shared" si="696"/>
        <v>0</v>
      </c>
      <c r="G251">
        <f t="shared" si="696"/>
        <v>0</v>
      </c>
      <c r="H251">
        <f t="shared" si="696"/>
        <v>0</v>
      </c>
      <c r="I251">
        <f t="shared" si="696"/>
        <v>0</v>
      </c>
      <c r="J251">
        <f t="shared" si="696"/>
        <v>0</v>
      </c>
      <c r="K251">
        <f t="shared" si="696"/>
        <v>0</v>
      </c>
      <c r="L251">
        <f t="shared" si="696"/>
        <v>0</v>
      </c>
      <c r="M251">
        <f t="shared" si="696"/>
        <v>0</v>
      </c>
      <c r="N251">
        <f t="shared" si="696"/>
        <v>0</v>
      </c>
      <c r="O251">
        <f t="shared" si="696"/>
        <v>0</v>
      </c>
      <c r="P251">
        <f t="shared" si="696"/>
        <v>1734.6880000000001</v>
      </c>
      <c r="Q251">
        <f t="shared" si="696"/>
        <v>0</v>
      </c>
      <c r="R251">
        <f t="shared" si="696"/>
        <v>0</v>
      </c>
      <c r="S251">
        <f t="shared" si="696"/>
        <v>0</v>
      </c>
      <c r="T251">
        <f t="shared" si="696"/>
        <v>0</v>
      </c>
      <c r="U251">
        <f t="shared" si="696"/>
        <v>0</v>
      </c>
      <c r="V251">
        <f t="shared" si="696"/>
        <v>0</v>
      </c>
      <c r="W251">
        <f t="shared" si="696"/>
        <v>4371.1840000000002</v>
      </c>
      <c r="X251">
        <f t="shared" si="696"/>
        <v>0</v>
      </c>
      <c r="Y251">
        <f t="shared" si="696"/>
        <v>0</v>
      </c>
      <c r="Z251">
        <f t="shared" si="696"/>
        <v>3574.2000000000003</v>
      </c>
      <c r="AA251">
        <f t="shared" si="696"/>
        <v>0</v>
      </c>
      <c r="AB251">
        <f t="shared" si="696"/>
        <v>0</v>
      </c>
      <c r="AC251">
        <f t="shared" si="696"/>
        <v>0</v>
      </c>
      <c r="AD251">
        <f t="shared" si="696"/>
        <v>0</v>
      </c>
      <c r="AE251">
        <f t="shared" si="696"/>
        <v>0</v>
      </c>
      <c r="AF251">
        <f t="shared" si="696"/>
        <v>0</v>
      </c>
      <c r="AG251">
        <f t="shared" si="696"/>
        <v>0</v>
      </c>
      <c r="AH251">
        <f t="shared" si="696"/>
        <v>4124.9874</v>
      </c>
      <c r="AI251">
        <f t="shared" si="696"/>
        <v>0</v>
      </c>
      <c r="AJ251">
        <f t="shared" si="696"/>
        <v>0</v>
      </c>
      <c r="AK251">
        <f t="shared" si="696"/>
        <v>0</v>
      </c>
      <c r="AL251">
        <f t="shared" si="696"/>
        <v>1665.54</v>
      </c>
      <c r="AM251">
        <f t="shared" si="696"/>
        <v>4441.4400000000005</v>
      </c>
      <c r="AN251">
        <f t="shared" si="696"/>
        <v>0</v>
      </c>
      <c r="AO251">
        <f t="shared" si="696"/>
        <v>0</v>
      </c>
      <c r="AP251">
        <f t="shared" si="696"/>
        <v>4441.4400000000005</v>
      </c>
      <c r="AQ251">
        <f t="shared" si="696"/>
        <v>0</v>
      </c>
      <c r="AR251">
        <f t="shared" si="696"/>
        <v>0</v>
      </c>
      <c r="AS251">
        <f t="shared" si="696"/>
        <v>0</v>
      </c>
      <c r="AT251">
        <f t="shared" si="696"/>
        <v>4441.4400000000005</v>
      </c>
      <c r="AU251">
        <f t="shared" si="696"/>
        <v>0</v>
      </c>
      <c r="AV251">
        <f t="shared" si="696"/>
        <v>0</v>
      </c>
      <c r="AW251">
        <f t="shared" si="696"/>
        <v>4441.4400000000005</v>
      </c>
      <c r="AX251">
        <f t="shared" si="696"/>
        <v>0</v>
      </c>
      <c r="AY251">
        <f t="shared" ref="AY251:BJ251" si="697">AY248*AY289</f>
        <v>0</v>
      </c>
      <c r="AZ251">
        <f t="shared" si="697"/>
        <v>0</v>
      </c>
      <c r="BA251">
        <f t="shared" si="697"/>
        <v>4595.2</v>
      </c>
      <c r="BB251">
        <f t="shared" si="697"/>
        <v>0</v>
      </c>
      <c r="BC251">
        <f t="shared" si="697"/>
        <v>0</v>
      </c>
      <c r="BD251">
        <f t="shared" si="697"/>
        <v>4595.2</v>
      </c>
      <c r="BE251">
        <f t="shared" si="697"/>
        <v>0</v>
      </c>
      <c r="BF251">
        <f t="shared" si="697"/>
        <v>0</v>
      </c>
      <c r="BG251">
        <f t="shared" si="697"/>
        <v>0</v>
      </c>
      <c r="BH251">
        <f t="shared" si="697"/>
        <v>0</v>
      </c>
      <c r="BI251">
        <f t="shared" si="697"/>
        <v>4595.2</v>
      </c>
      <c r="BJ251">
        <f t="shared" si="697"/>
        <v>0</v>
      </c>
    </row>
    <row r="252" spans="2:62" outlineLevel="1"/>
    <row r="253" spans="2:62" outlineLevel="1">
      <c r="B253" s="54" t="s">
        <v>245</v>
      </c>
    </row>
    <row r="254" spans="2:62" outlineLevel="1">
      <c r="B254" t="s">
        <v>290</v>
      </c>
      <c r="C254" s="80">
        <v>0</v>
      </c>
      <c r="D254" s="62">
        <f t="shared" ref="D254:AX254" si="698">+C257</f>
        <v>0</v>
      </c>
      <c r="E254" s="62">
        <f t="shared" si="698"/>
        <v>0</v>
      </c>
      <c r="F254" s="62">
        <f t="shared" si="698"/>
        <v>10960</v>
      </c>
      <c r="G254" s="62">
        <f t="shared" si="698"/>
        <v>79</v>
      </c>
      <c r="H254" s="62">
        <f t="shared" si="698"/>
        <v>5726.5999999999995</v>
      </c>
      <c r="I254" s="62">
        <f t="shared" si="698"/>
        <v>3122.5999999999995</v>
      </c>
      <c r="J254" s="62">
        <f t="shared" si="698"/>
        <v>3122.5999999999995</v>
      </c>
      <c r="K254" s="62">
        <f t="shared" si="698"/>
        <v>3122.5999999999995</v>
      </c>
      <c r="L254" s="62">
        <f>+K257</f>
        <v>3122.5999999999995</v>
      </c>
      <c r="M254" s="62">
        <f t="shared" si="698"/>
        <v>3122.5999999999995</v>
      </c>
      <c r="N254" s="62">
        <f t="shared" si="698"/>
        <v>3122.5999999999995</v>
      </c>
      <c r="O254" s="62">
        <f t="shared" si="698"/>
        <v>3122.5999999999995</v>
      </c>
      <c r="P254" s="80">
        <v>0</v>
      </c>
      <c r="Q254" s="62">
        <f t="shared" si="698"/>
        <v>15560</v>
      </c>
      <c r="R254" s="62">
        <f t="shared" si="698"/>
        <v>6147.5</v>
      </c>
      <c r="S254" s="62">
        <f t="shared" si="698"/>
        <v>5138.7999999999993</v>
      </c>
      <c r="T254" s="62">
        <f t="shared" si="698"/>
        <v>-128.75000000000364</v>
      </c>
      <c r="U254" s="80">
        <f>+T257-15000</f>
        <v>-2879.9500000000044</v>
      </c>
      <c r="V254" s="62">
        <f t="shared" si="698"/>
        <v>-3247.3000000000043</v>
      </c>
      <c r="W254" s="62">
        <f t="shared" si="698"/>
        <v>-3247.3000000000043</v>
      </c>
      <c r="X254" s="62">
        <f t="shared" si="698"/>
        <v>-3247.3000000000043</v>
      </c>
      <c r="Y254" s="62">
        <f t="shared" si="698"/>
        <v>-3247.3000000000043</v>
      </c>
      <c r="Z254" s="62">
        <f t="shared" si="698"/>
        <v>-3247.3000000000043</v>
      </c>
      <c r="AA254" s="62">
        <f t="shared" si="698"/>
        <v>-3247.3000000000043</v>
      </c>
      <c r="AB254" s="80">
        <v>0</v>
      </c>
      <c r="AC254" s="62">
        <f t="shared" si="698"/>
        <v>6174.369999999999</v>
      </c>
      <c r="AD254" s="62">
        <f t="shared" si="698"/>
        <v>3694.1700000000019</v>
      </c>
      <c r="AE254" s="62">
        <f t="shared" si="698"/>
        <v>6281.010000000002</v>
      </c>
      <c r="AF254" s="62">
        <f t="shared" si="698"/>
        <v>6935.510000000002</v>
      </c>
      <c r="AG254" s="80">
        <v>0</v>
      </c>
      <c r="AH254" s="62">
        <f t="shared" si="698"/>
        <v>0</v>
      </c>
      <c r="AI254" s="62">
        <f t="shared" si="698"/>
        <v>0</v>
      </c>
      <c r="AJ254" s="62">
        <f t="shared" si="698"/>
        <v>0</v>
      </c>
      <c r="AK254" s="62">
        <f t="shared" si="698"/>
        <v>0</v>
      </c>
      <c r="AL254" s="62">
        <f t="shared" si="698"/>
        <v>0</v>
      </c>
      <c r="AM254" s="62">
        <f t="shared" si="698"/>
        <v>0</v>
      </c>
      <c r="AN254" s="62">
        <f t="shared" si="698"/>
        <v>0</v>
      </c>
      <c r="AO254" s="62">
        <f t="shared" si="698"/>
        <v>7204.1999999999971</v>
      </c>
      <c r="AP254" s="62">
        <f t="shared" si="698"/>
        <v>5920.1999999999971</v>
      </c>
      <c r="AQ254" s="62">
        <f t="shared" si="698"/>
        <v>17789.899999999994</v>
      </c>
      <c r="AR254" s="62">
        <f t="shared" si="698"/>
        <v>27793.399999999994</v>
      </c>
      <c r="AS254" s="62">
        <f t="shared" si="698"/>
        <v>653.39999999999418</v>
      </c>
      <c r="AT254" s="62">
        <f t="shared" si="698"/>
        <v>653.39999999999418</v>
      </c>
      <c r="AU254" s="62">
        <f t="shared" si="698"/>
        <v>653.39999999999418</v>
      </c>
      <c r="AV254" s="62">
        <f t="shared" si="698"/>
        <v>653.39999999999418</v>
      </c>
      <c r="AW254" s="62">
        <f t="shared" si="698"/>
        <v>653.39999999999418</v>
      </c>
      <c r="AX254" s="62">
        <f t="shared" si="698"/>
        <v>653.39999999999418</v>
      </c>
      <c r="AY254" s="62">
        <f t="shared" ref="AY254:BJ254" si="699">+AX257</f>
        <v>653.39999999999418</v>
      </c>
      <c r="AZ254" s="62">
        <f t="shared" si="699"/>
        <v>653.39999999999418</v>
      </c>
      <c r="BA254" s="62">
        <f t="shared" si="699"/>
        <v>7355.3999999999942</v>
      </c>
      <c r="BB254" s="62">
        <f t="shared" si="699"/>
        <v>5315.3999999999942</v>
      </c>
      <c r="BC254" s="62">
        <f t="shared" si="699"/>
        <v>16822.399999999994</v>
      </c>
      <c r="BD254" s="62">
        <f t="shared" si="699"/>
        <v>26407.399999999994</v>
      </c>
      <c r="BE254" s="62">
        <f t="shared" si="699"/>
        <v>7.3999999999941792</v>
      </c>
      <c r="BF254" s="62">
        <f t="shared" si="699"/>
        <v>7.3999999999941792</v>
      </c>
      <c r="BG254" s="62">
        <f t="shared" si="699"/>
        <v>7.3999999999941792</v>
      </c>
      <c r="BH254" s="62">
        <f t="shared" si="699"/>
        <v>7.3999999999941792</v>
      </c>
      <c r="BI254" s="62">
        <f t="shared" si="699"/>
        <v>7.3999999999941792</v>
      </c>
      <c r="BJ254" s="62">
        <f t="shared" si="699"/>
        <v>7.3999999999941792</v>
      </c>
    </row>
    <row r="255" spans="2:62" outlineLevel="1">
      <c r="B255" t="s">
        <v>291</v>
      </c>
      <c r="C255" s="80"/>
      <c r="D255" s="80"/>
      <c r="E255" s="80">
        <v>25000</v>
      </c>
      <c r="F255" s="80"/>
      <c r="G255" s="484">
        <v>10000</v>
      </c>
      <c r="H255" s="80"/>
      <c r="I255" s="80"/>
      <c r="J255" s="80"/>
      <c r="K255" s="80"/>
      <c r="L255" s="80"/>
      <c r="M255" s="80"/>
      <c r="N255" s="80"/>
      <c r="O255" s="80"/>
      <c r="P255" s="484">
        <v>23000</v>
      </c>
      <c r="Q255" s="484"/>
      <c r="R255" s="484">
        <v>20000</v>
      </c>
      <c r="S255" s="484">
        <v>19100</v>
      </c>
      <c r="T255" s="484">
        <v>18000</v>
      </c>
      <c r="U255" s="80"/>
      <c r="V255" s="80"/>
      <c r="W255" s="80"/>
      <c r="X255" s="80"/>
      <c r="Y255" s="80"/>
      <c r="Z255" s="80"/>
      <c r="AA255" s="474"/>
      <c r="AB255" s="509">
        <f>8100+14000</f>
        <v>22100</v>
      </c>
      <c r="AC255" s="509">
        <f>7800+14000</f>
        <v>21800</v>
      </c>
      <c r="AD255" s="509">
        <v>13975</v>
      </c>
      <c r="AE255" s="509">
        <v>14000</v>
      </c>
      <c r="AF255" s="509">
        <f>9000+5000</f>
        <v>14000</v>
      </c>
      <c r="AG255" s="474"/>
      <c r="AH255" s="474"/>
      <c r="AI255" s="474"/>
      <c r="AJ255" s="474"/>
      <c r="AK255" s="474"/>
      <c r="AL255" s="474"/>
      <c r="AM255" s="474"/>
      <c r="AN255" s="474">
        <v>24000</v>
      </c>
      <c r="AO255" s="474">
        <v>24000</v>
      </c>
      <c r="AP255" s="474">
        <v>24000</v>
      </c>
      <c r="AQ255" s="474">
        <v>24000</v>
      </c>
      <c r="AR255" s="474">
        <v>15000</v>
      </c>
      <c r="AS255" s="474"/>
      <c r="AT255" s="80"/>
      <c r="AU255" s="80"/>
      <c r="AV255" s="80"/>
      <c r="AW255" s="80"/>
      <c r="AX255" s="80"/>
      <c r="AY255" s="474"/>
      <c r="AZ255" s="474">
        <v>24000</v>
      </c>
      <c r="BA255" s="474">
        <v>24000</v>
      </c>
      <c r="BB255" s="474">
        <v>24000</v>
      </c>
      <c r="BC255" s="474">
        <v>24000</v>
      </c>
      <c r="BD255" s="474">
        <v>17000</v>
      </c>
      <c r="BE255" s="474"/>
      <c r="BF255" s="80"/>
      <c r="BG255" s="80"/>
      <c r="BH255" s="80"/>
      <c r="BI255" s="80"/>
      <c r="BJ255" s="80"/>
    </row>
    <row r="256" spans="2:62" outlineLevel="1">
      <c r="B256" t="s">
        <v>292</v>
      </c>
      <c r="C256" s="62">
        <f t="shared" ref="C256:AH256" si="700">-C87</f>
        <v>0</v>
      </c>
      <c r="D256" s="62">
        <f t="shared" si="700"/>
        <v>0</v>
      </c>
      <c r="E256" s="62">
        <f t="shared" si="700"/>
        <v>-14040</v>
      </c>
      <c r="F256" s="62">
        <f t="shared" si="700"/>
        <v>-10881</v>
      </c>
      <c r="G256" s="62">
        <f t="shared" si="700"/>
        <v>-4352.4000000000005</v>
      </c>
      <c r="H256" s="62">
        <f t="shared" si="700"/>
        <v>-2604</v>
      </c>
      <c r="I256" s="62">
        <f t="shared" si="700"/>
        <v>0</v>
      </c>
      <c r="J256" s="62">
        <f t="shared" si="700"/>
        <v>0</v>
      </c>
      <c r="K256" s="62">
        <f t="shared" si="700"/>
        <v>0</v>
      </c>
      <c r="L256" s="62">
        <f t="shared" si="700"/>
        <v>0</v>
      </c>
      <c r="M256" s="62">
        <f t="shared" si="700"/>
        <v>0</v>
      </c>
      <c r="N256" s="62">
        <f t="shared" si="700"/>
        <v>0</v>
      </c>
      <c r="O256" s="62">
        <f t="shared" si="700"/>
        <v>0</v>
      </c>
      <c r="P256" s="62">
        <f t="shared" si="700"/>
        <v>-7440</v>
      </c>
      <c r="Q256" s="62">
        <f t="shared" si="700"/>
        <v>-9412.5</v>
      </c>
      <c r="R256" s="62">
        <f t="shared" si="700"/>
        <v>-21008.7</v>
      </c>
      <c r="S256" s="62">
        <f t="shared" si="700"/>
        <v>-24367.550000000003</v>
      </c>
      <c r="T256" s="62">
        <f t="shared" si="700"/>
        <v>-5751.2</v>
      </c>
      <c r="U256" s="62">
        <f t="shared" si="700"/>
        <v>-367.35</v>
      </c>
      <c r="V256" s="62">
        <f t="shared" si="700"/>
        <v>0</v>
      </c>
      <c r="W256" s="62">
        <f t="shared" si="700"/>
        <v>0</v>
      </c>
      <c r="X256" s="62">
        <f t="shared" si="700"/>
        <v>0</v>
      </c>
      <c r="Y256" s="62">
        <f t="shared" si="700"/>
        <v>0</v>
      </c>
      <c r="Z256" s="62">
        <f t="shared" si="700"/>
        <v>0</v>
      </c>
      <c r="AA256" s="62">
        <f t="shared" si="700"/>
        <v>0</v>
      </c>
      <c r="AB256" s="62">
        <f t="shared" si="700"/>
        <v>-15925.630000000001</v>
      </c>
      <c r="AC256" s="62">
        <f t="shared" si="700"/>
        <v>-24280.199999999997</v>
      </c>
      <c r="AD256" s="62">
        <f t="shared" si="700"/>
        <v>-11388.16</v>
      </c>
      <c r="AE256" s="62">
        <f t="shared" si="700"/>
        <v>-13345.5</v>
      </c>
      <c r="AF256" s="62">
        <f t="shared" si="700"/>
        <v>-19880</v>
      </c>
      <c r="AG256" s="62">
        <f t="shared" si="700"/>
        <v>0</v>
      </c>
      <c r="AH256" s="62">
        <f t="shared" si="700"/>
        <v>0</v>
      </c>
      <c r="AI256" s="62">
        <f t="shared" ref="AI256:BJ256" si="701">-AI87</f>
        <v>0</v>
      </c>
      <c r="AJ256" s="62">
        <f t="shared" si="701"/>
        <v>0</v>
      </c>
      <c r="AK256" s="62">
        <f t="shared" si="701"/>
        <v>0</v>
      </c>
      <c r="AL256" s="62">
        <f t="shared" si="701"/>
        <v>0</v>
      </c>
      <c r="AM256" s="62">
        <f t="shared" si="701"/>
        <v>0</v>
      </c>
      <c r="AN256" s="62">
        <f t="shared" si="701"/>
        <v>-16795.800000000003</v>
      </c>
      <c r="AO256" s="62">
        <f t="shared" si="701"/>
        <v>-25284</v>
      </c>
      <c r="AP256" s="62">
        <f t="shared" si="701"/>
        <v>-12130.300000000001</v>
      </c>
      <c r="AQ256" s="62">
        <f t="shared" si="701"/>
        <v>-13996.5</v>
      </c>
      <c r="AR256" s="62">
        <f t="shared" si="701"/>
        <v>-42140</v>
      </c>
      <c r="AS256" s="62">
        <f t="shared" si="701"/>
        <v>0</v>
      </c>
      <c r="AT256" s="62">
        <f t="shared" si="701"/>
        <v>0</v>
      </c>
      <c r="AU256" s="62">
        <f t="shared" si="701"/>
        <v>0</v>
      </c>
      <c r="AV256" s="62">
        <f t="shared" si="701"/>
        <v>0</v>
      </c>
      <c r="AW256" s="62">
        <f t="shared" si="701"/>
        <v>0</v>
      </c>
      <c r="AX256" s="62">
        <f t="shared" si="701"/>
        <v>0</v>
      </c>
      <c r="AY256" s="62">
        <f t="shared" si="701"/>
        <v>0</v>
      </c>
      <c r="AZ256" s="62">
        <f t="shared" si="701"/>
        <v>-17298</v>
      </c>
      <c r="BA256" s="62">
        <f t="shared" si="701"/>
        <v>-26040</v>
      </c>
      <c r="BB256" s="62">
        <f t="shared" si="701"/>
        <v>-12493</v>
      </c>
      <c r="BC256" s="62">
        <f t="shared" si="701"/>
        <v>-14415</v>
      </c>
      <c r="BD256" s="62">
        <f t="shared" si="701"/>
        <v>-43400</v>
      </c>
      <c r="BE256" s="62">
        <f t="shared" si="701"/>
        <v>0</v>
      </c>
      <c r="BF256" s="62">
        <f t="shared" si="701"/>
        <v>0</v>
      </c>
      <c r="BG256" s="62">
        <f t="shared" si="701"/>
        <v>0</v>
      </c>
      <c r="BH256" s="62">
        <f t="shared" si="701"/>
        <v>0</v>
      </c>
      <c r="BI256" s="62">
        <f t="shared" si="701"/>
        <v>0</v>
      </c>
      <c r="BJ256" s="62">
        <f t="shared" si="701"/>
        <v>0</v>
      </c>
    </row>
    <row r="257" spans="2:62" outlineLevel="1">
      <c r="B257" t="s">
        <v>293</v>
      </c>
      <c r="C257" s="62">
        <f t="shared" ref="C257:AX257" si="702">SUM(C254:C256)</f>
        <v>0</v>
      </c>
      <c r="D257" s="62">
        <f t="shared" si="702"/>
        <v>0</v>
      </c>
      <c r="E257" s="62">
        <f t="shared" si="702"/>
        <v>10960</v>
      </c>
      <c r="F257" s="62">
        <f t="shared" si="702"/>
        <v>79</v>
      </c>
      <c r="G257" s="62">
        <f t="shared" si="702"/>
        <v>5726.5999999999995</v>
      </c>
      <c r="H257" s="62">
        <f t="shared" si="702"/>
        <v>3122.5999999999995</v>
      </c>
      <c r="I257" s="62">
        <f t="shared" si="702"/>
        <v>3122.5999999999995</v>
      </c>
      <c r="J257" s="62">
        <f t="shared" si="702"/>
        <v>3122.5999999999995</v>
      </c>
      <c r="K257" s="62">
        <f t="shared" si="702"/>
        <v>3122.5999999999995</v>
      </c>
      <c r="L257" s="62">
        <f t="shared" si="702"/>
        <v>3122.5999999999995</v>
      </c>
      <c r="M257" s="62">
        <f t="shared" si="702"/>
        <v>3122.5999999999995</v>
      </c>
      <c r="N257" s="62">
        <f t="shared" si="702"/>
        <v>3122.5999999999995</v>
      </c>
      <c r="O257" s="62">
        <f t="shared" si="702"/>
        <v>3122.5999999999995</v>
      </c>
      <c r="P257" s="62">
        <f t="shared" si="702"/>
        <v>15560</v>
      </c>
      <c r="Q257" s="62">
        <f t="shared" si="702"/>
        <v>6147.5</v>
      </c>
      <c r="R257" s="62">
        <f t="shared" si="702"/>
        <v>5138.7999999999993</v>
      </c>
      <c r="S257" s="62">
        <f t="shared" si="702"/>
        <v>-128.75000000000364</v>
      </c>
      <c r="T257" s="62">
        <f t="shared" si="702"/>
        <v>12120.049999999996</v>
      </c>
      <c r="U257" s="62">
        <f t="shared" si="702"/>
        <v>-3247.3000000000043</v>
      </c>
      <c r="V257" s="62">
        <f t="shared" si="702"/>
        <v>-3247.3000000000043</v>
      </c>
      <c r="W257" s="62">
        <f t="shared" si="702"/>
        <v>-3247.3000000000043</v>
      </c>
      <c r="X257" s="62">
        <f t="shared" si="702"/>
        <v>-3247.3000000000043</v>
      </c>
      <c r="Y257" s="62">
        <f t="shared" si="702"/>
        <v>-3247.3000000000043</v>
      </c>
      <c r="Z257" s="62">
        <f t="shared" si="702"/>
        <v>-3247.3000000000043</v>
      </c>
      <c r="AA257" s="62">
        <f t="shared" si="702"/>
        <v>-3247.3000000000043</v>
      </c>
      <c r="AB257" s="62">
        <f t="shared" si="702"/>
        <v>6174.369999999999</v>
      </c>
      <c r="AC257" s="62">
        <f t="shared" si="702"/>
        <v>3694.1700000000019</v>
      </c>
      <c r="AD257" s="62">
        <f t="shared" si="702"/>
        <v>6281.010000000002</v>
      </c>
      <c r="AE257" s="62">
        <f t="shared" si="702"/>
        <v>6935.510000000002</v>
      </c>
      <c r="AF257" s="62">
        <f t="shared" si="702"/>
        <v>1055.510000000002</v>
      </c>
      <c r="AG257" s="62">
        <f t="shared" si="702"/>
        <v>0</v>
      </c>
      <c r="AH257" s="62">
        <f t="shared" si="702"/>
        <v>0</v>
      </c>
      <c r="AI257" s="62">
        <f t="shared" si="702"/>
        <v>0</v>
      </c>
      <c r="AJ257" s="62">
        <f t="shared" si="702"/>
        <v>0</v>
      </c>
      <c r="AK257" s="62">
        <f t="shared" si="702"/>
        <v>0</v>
      </c>
      <c r="AL257" s="62">
        <f t="shared" si="702"/>
        <v>0</v>
      </c>
      <c r="AM257" s="62">
        <f t="shared" si="702"/>
        <v>0</v>
      </c>
      <c r="AN257" s="62">
        <f t="shared" si="702"/>
        <v>7204.1999999999971</v>
      </c>
      <c r="AO257" s="62">
        <f t="shared" si="702"/>
        <v>5920.1999999999971</v>
      </c>
      <c r="AP257" s="62">
        <f t="shared" si="702"/>
        <v>17789.899999999994</v>
      </c>
      <c r="AQ257" s="62">
        <f t="shared" si="702"/>
        <v>27793.399999999994</v>
      </c>
      <c r="AR257" s="62">
        <f t="shared" si="702"/>
        <v>653.39999999999418</v>
      </c>
      <c r="AS257" s="62">
        <f t="shared" si="702"/>
        <v>653.39999999999418</v>
      </c>
      <c r="AT257" s="62">
        <f t="shared" si="702"/>
        <v>653.39999999999418</v>
      </c>
      <c r="AU257" s="62">
        <f t="shared" si="702"/>
        <v>653.39999999999418</v>
      </c>
      <c r="AV257" s="62">
        <f t="shared" si="702"/>
        <v>653.39999999999418</v>
      </c>
      <c r="AW257" s="62">
        <f t="shared" si="702"/>
        <v>653.39999999999418</v>
      </c>
      <c r="AX257" s="62">
        <f t="shared" si="702"/>
        <v>653.39999999999418</v>
      </c>
      <c r="AY257" s="62">
        <f t="shared" ref="AY257:BJ257" si="703">SUM(AY254:AY256)</f>
        <v>653.39999999999418</v>
      </c>
      <c r="AZ257" s="62">
        <f t="shared" si="703"/>
        <v>7355.3999999999942</v>
      </c>
      <c r="BA257" s="62">
        <f t="shared" si="703"/>
        <v>5315.3999999999942</v>
      </c>
      <c r="BB257" s="62">
        <f t="shared" si="703"/>
        <v>16822.399999999994</v>
      </c>
      <c r="BC257" s="62">
        <f t="shared" si="703"/>
        <v>26407.399999999994</v>
      </c>
      <c r="BD257" s="62">
        <f t="shared" si="703"/>
        <v>7.3999999999941792</v>
      </c>
      <c r="BE257" s="62">
        <f t="shared" si="703"/>
        <v>7.3999999999941792</v>
      </c>
      <c r="BF257" s="62">
        <f t="shared" si="703"/>
        <v>7.3999999999941792</v>
      </c>
      <c r="BG257" s="62">
        <f t="shared" si="703"/>
        <v>7.3999999999941792</v>
      </c>
      <c r="BH257" s="62">
        <f t="shared" si="703"/>
        <v>7.3999999999941792</v>
      </c>
      <c r="BI257" s="62">
        <f t="shared" si="703"/>
        <v>7.3999999999941792</v>
      </c>
      <c r="BJ257" s="62">
        <f t="shared" si="703"/>
        <v>7.3999999999941792</v>
      </c>
    </row>
    <row r="258" spans="2:62" outlineLevel="1">
      <c r="B258" t="s">
        <v>222</v>
      </c>
      <c r="C258">
        <f>C255*C290</f>
        <v>0</v>
      </c>
      <c r="D258">
        <f t="shared" ref="D258:AX258" si="704">D255*D290</f>
        <v>0</v>
      </c>
      <c r="E258">
        <f t="shared" si="704"/>
        <v>9328.75</v>
      </c>
      <c r="F258">
        <f t="shared" si="704"/>
        <v>0</v>
      </c>
      <c r="G258">
        <f t="shared" si="704"/>
        <v>3731.5</v>
      </c>
      <c r="H258">
        <f t="shared" si="704"/>
        <v>0</v>
      </c>
      <c r="I258">
        <f t="shared" si="704"/>
        <v>0</v>
      </c>
      <c r="J258">
        <f t="shared" si="704"/>
        <v>0</v>
      </c>
      <c r="K258">
        <f t="shared" si="704"/>
        <v>0</v>
      </c>
      <c r="L258">
        <f t="shared" si="704"/>
        <v>0</v>
      </c>
      <c r="M258">
        <f t="shared" si="704"/>
        <v>0</v>
      </c>
      <c r="N258">
        <f t="shared" si="704"/>
        <v>0</v>
      </c>
      <c r="O258">
        <f t="shared" si="704"/>
        <v>0</v>
      </c>
      <c r="P258">
        <f t="shared" si="704"/>
        <v>7457.5199999999995</v>
      </c>
      <c r="Q258">
        <f t="shared" si="704"/>
        <v>0</v>
      </c>
      <c r="R258">
        <f t="shared" si="704"/>
        <v>6740.2</v>
      </c>
      <c r="S258">
        <f t="shared" si="704"/>
        <v>6880.0109999999995</v>
      </c>
      <c r="T258">
        <f t="shared" si="704"/>
        <v>6483.78</v>
      </c>
      <c r="U258">
        <f>U255*U290</f>
        <v>0</v>
      </c>
      <c r="V258">
        <f t="shared" si="704"/>
        <v>0</v>
      </c>
      <c r="W258">
        <f t="shared" si="704"/>
        <v>0</v>
      </c>
      <c r="X258">
        <f t="shared" si="704"/>
        <v>0</v>
      </c>
      <c r="Y258">
        <f t="shared" si="704"/>
        <v>0</v>
      </c>
      <c r="Z258">
        <f t="shared" si="704"/>
        <v>0</v>
      </c>
      <c r="AA258">
        <f t="shared" si="704"/>
        <v>0</v>
      </c>
      <c r="AB258">
        <f t="shared" si="704"/>
        <v>7509.1380000000008</v>
      </c>
      <c r="AC258">
        <f t="shared" si="704"/>
        <v>7407.2040000000006</v>
      </c>
      <c r="AD258">
        <f t="shared" si="704"/>
        <v>4748.4255000000003</v>
      </c>
      <c r="AE258">
        <f t="shared" si="704"/>
        <v>4756.92</v>
      </c>
      <c r="AF258">
        <f t="shared" si="704"/>
        <v>4756.92</v>
      </c>
      <c r="AG258">
        <f t="shared" si="704"/>
        <v>0</v>
      </c>
      <c r="AH258">
        <f t="shared" si="704"/>
        <v>0</v>
      </c>
      <c r="AI258">
        <f t="shared" si="704"/>
        <v>0</v>
      </c>
      <c r="AJ258">
        <f t="shared" si="704"/>
        <v>0</v>
      </c>
      <c r="AK258">
        <f t="shared" si="704"/>
        <v>0</v>
      </c>
      <c r="AL258">
        <f t="shared" si="704"/>
        <v>0</v>
      </c>
      <c r="AM258">
        <f t="shared" si="704"/>
        <v>0</v>
      </c>
      <c r="AN258">
        <f t="shared" si="704"/>
        <v>8154.72</v>
      </c>
      <c r="AO258">
        <f t="shared" si="704"/>
        <v>8154.72</v>
      </c>
      <c r="AP258">
        <f t="shared" si="704"/>
        <v>8154.72</v>
      </c>
      <c r="AQ258">
        <f t="shared" si="704"/>
        <v>8154.72</v>
      </c>
      <c r="AR258">
        <f t="shared" si="704"/>
        <v>5096.7000000000007</v>
      </c>
      <c r="AS258">
        <f t="shared" si="704"/>
        <v>0</v>
      </c>
      <c r="AT258">
        <f t="shared" si="704"/>
        <v>0</v>
      </c>
      <c r="AU258">
        <f t="shared" si="704"/>
        <v>0</v>
      </c>
      <c r="AV258">
        <f t="shared" si="704"/>
        <v>0</v>
      </c>
      <c r="AW258">
        <f t="shared" si="704"/>
        <v>0</v>
      </c>
      <c r="AX258">
        <f t="shared" si="704"/>
        <v>0</v>
      </c>
      <c r="AY258">
        <f t="shared" ref="AY258:BJ258" si="705">AY255*AY290</f>
        <v>0</v>
      </c>
      <c r="AZ258">
        <f t="shared" si="705"/>
        <v>8645.0399999999991</v>
      </c>
      <c r="BA258">
        <f t="shared" si="705"/>
        <v>8645.0399999999991</v>
      </c>
      <c r="BB258">
        <f t="shared" si="705"/>
        <v>8645.0399999999991</v>
      </c>
      <c r="BC258">
        <f t="shared" si="705"/>
        <v>8645.0399999999991</v>
      </c>
      <c r="BD258">
        <f t="shared" si="705"/>
        <v>6123.57</v>
      </c>
      <c r="BE258">
        <f t="shared" si="705"/>
        <v>0</v>
      </c>
      <c r="BF258">
        <f t="shared" si="705"/>
        <v>0</v>
      </c>
      <c r="BG258">
        <f t="shared" si="705"/>
        <v>0</v>
      </c>
      <c r="BH258">
        <f t="shared" si="705"/>
        <v>0</v>
      </c>
      <c r="BI258">
        <f t="shared" si="705"/>
        <v>0</v>
      </c>
      <c r="BJ258">
        <f t="shared" si="705"/>
        <v>0</v>
      </c>
    </row>
    <row r="259" spans="2:62" outlineLevel="1"/>
    <row r="260" spans="2:62" outlineLevel="1">
      <c r="B260" s="54" t="s">
        <v>407</v>
      </c>
    </row>
    <row r="261" spans="2:62" outlineLevel="1">
      <c r="B261" t="s">
        <v>290</v>
      </c>
      <c r="C261" s="80">
        <v>0</v>
      </c>
      <c r="D261" s="62">
        <f>+C264</f>
        <v>0</v>
      </c>
      <c r="E261" s="62">
        <f>+D264</f>
        <v>0</v>
      </c>
      <c r="F261" s="62">
        <f t="shared" ref="F261:AX261" si="706">+E264</f>
        <v>4850</v>
      </c>
      <c r="G261" s="62">
        <f t="shared" si="706"/>
        <v>4656.25</v>
      </c>
      <c r="H261" s="62">
        <f t="shared" si="706"/>
        <v>4400.5</v>
      </c>
      <c r="I261" s="62">
        <f t="shared" si="706"/>
        <v>4015.5</v>
      </c>
      <c r="J261" s="62">
        <f t="shared" si="706"/>
        <v>3635.75</v>
      </c>
      <c r="K261" s="62">
        <f t="shared" si="706"/>
        <v>3268.25</v>
      </c>
      <c r="L261" s="80">
        <v>2000</v>
      </c>
      <c r="M261" s="62">
        <f t="shared" si="706"/>
        <v>1775</v>
      </c>
      <c r="N261" s="62">
        <f t="shared" si="706"/>
        <v>1534.75</v>
      </c>
      <c r="O261" s="62">
        <f t="shared" si="706"/>
        <v>1310</v>
      </c>
      <c r="P261" s="80">
        <v>250</v>
      </c>
      <c r="Q261" s="62">
        <f t="shared" si="706"/>
        <v>203.5</v>
      </c>
      <c r="R261" s="62">
        <f t="shared" si="706"/>
        <v>83.5</v>
      </c>
      <c r="S261" s="62">
        <f t="shared" si="706"/>
        <v>-63.75</v>
      </c>
      <c r="T261" s="62">
        <f t="shared" si="706"/>
        <v>1815.35</v>
      </c>
      <c r="U261" s="62">
        <f t="shared" si="706"/>
        <v>1633.35</v>
      </c>
      <c r="V261" s="62">
        <f t="shared" si="706"/>
        <v>1422.55</v>
      </c>
      <c r="W261" s="80">
        <v>0</v>
      </c>
      <c r="X261" s="62">
        <f t="shared" si="706"/>
        <v>1197.4000000000001</v>
      </c>
      <c r="Y261" s="62">
        <f t="shared" si="706"/>
        <v>1011.4000000000001</v>
      </c>
      <c r="Z261" s="62">
        <f>+Y264</f>
        <v>859.50000000000011</v>
      </c>
      <c r="AA261" s="80">
        <v>0</v>
      </c>
      <c r="AB261" s="80">
        <v>0</v>
      </c>
      <c r="AC261" s="80">
        <v>0</v>
      </c>
      <c r="AD261" s="62">
        <f t="shared" si="706"/>
        <v>791</v>
      </c>
      <c r="AE261" s="62">
        <f t="shared" si="706"/>
        <v>791</v>
      </c>
      <c r="AF261" s="62">
        <f t="shared" si="706"/>
        <v>791</v>
      </c>
      <c r="AG261" s="62">
        <f t="shared" si="706"/>
        <v>791</v>
      </c>
      <c r="AH261" s="62">
        <f t="shared" si="706"/>
        <v>791</v>
      </c>
      <c r="AI261" s="62">
        <f t="shared" si="706"/>
        <v>791</v>
      </c>
      <c r="AJ261" s="62">
        <f t="shared" si="706"/>
        <v>791</v>
      </c>
      <c r="AK261" s="62">
        <f t="shared" si="706"/>
        <v>542</v>
      </c>
      <c r="AL261" s="62">
        <f t="shared" si="706"/>
        <v>331.2</v>
      </c>
      <c r="AM261" s="62">
        <f t="shared" si="706"/>
        <v>154.49999999999997</v>
      </c>
      <c r="AN261" s="62">
        <f t="shared" si="706"/>
        <v>10.499999999999943</v>
      </c>
      <c r="AO261" s="62">
        <f t="shared" si="706"/>
        <v>439.19999999999993</v>
      </c>
      <c r="AP261" s="62">
        <f t="shared" si="706"/>
        <v>391.19999999999993</v>
      </c>
      <c r="AQ261" s="62">
        <f t="shared" si="706"/>
        <v>375.69999999999993</v>
      </c>
      <c r="AR261" s="62">
        <f t="shared" si="706"/>
        <v>316.79999999999995</v>
      </c>
      <c r="AS261" s="62">
        <f t="shared" si="706"/>
        <v>243.99999999999994</v>
      </c>
      <c r="AT261" s="62">
        <f t="shared" si="706"/>
        <v>100.77999999999994</v>
      </c>
      <c r="AU261" s="62">
        <f t="shared" si="706"/>
        <v>878.3</v>
      </c>
      <c r="AV261" s="62">
        <f t="shared" si="706"/>
        <v>616.02622222222203</v>
      </c>
      <c r="AW261" s="62">
        <f t="shared" si="706"/>
        <v>299.64709941520442</v>
      </c>
      <c r="AX261" s="62">
        <f t="shared" si="706"/>
        <v>964.16600584795287</v>
      </c>
      <c r="AY261" s="62">
        <f t="shared" ref="AY261:BJ261" si="707">+AX264</f>
        <v>699.89191228070149</v>
      </c>
      <c r="AZ261" s="62">
        <f t="shared" si="707"/>
        <v>512.49612280701729</v>
      </c>
      <c r="BA261" s="62">
        <f t="shared" si="707"/>
        <v>399.65682735247179</v>
      </c>
      <c r="BB261" s="62">
        <f t="shared" si="707"/>
        <v>361.92698285486409</v>
      </c>
      <c r="BC261" s="62">
        <f t="shared" si="707"/>
        <v>336.15689792663443</v>
      </c>
      <c r="BD261" s="62">
        <f t="shared" si="707"/>
        <v>259.53702352472055</v>
      </c>
      <c r="BE261" s="62">
        <f t="shared" si="707"/>
        <v>166.81580308231014</v>
      </c>
      <c r="BF261" s="62">
        <f t="shared" si="707"/>
        <v>985.72037669024303</v>
      </c>
      <c r="BG261" s="62">
        <f t="shared" si="707"/>
        <v>708.60568561472815</v>
      </c>
      <c r="BH261" s="62">
        <f t="shared" si="707"/>
        <v>392.88818973521683</v>
      </c>
      <c r="BI261" s="62">
        <f t="shared" si="707"/>
        <v>719.15718870322507</v>
      </c>
      <c r="BJ261" s="62">
        <f t="shared" si="707"/>
        <v>332.96848763683346</v>
      </c>
    </row>
    <row r="262" spans="2:62" outlineLevel="1">
      <c r="B262" t="s">
        <v>291</v>
      </c>
      <c r="C262" s="80"/>
      <c r="D262" s="80"/>
      <c r="E262" s="80">
        <v>5000</v>
      </c>
      <c r="F262" s="80"/>
      <c r="G262" s="80"/>
      <c r="H262" s="80"/>
      <c r="I262" s="80"/>
      <c r="J262" s="80"/>
      <c r="K262" s="80"/>
      <c r="L262" s="80"/>
      <c r="M262" s="80"/>
      <c r="N262" s="80"/>
      <c r="O262" s="80"/>
      <c r="P262" s="80"/>
      <c r="Q262" s="80"/>
      <c r="R262" s="80"/>
      <c r="S262" s="80">
        <v>2000</v>
      </c>
      <c r="T262" s="80"/>
      <c r="U262" s="80"/>
      <c r="V262" s="80"/>
      <c r="W262" s="80">
        <v>1340</v>
      </c>
      <c r="X262" s="80"/>
      <c r="Y262" s="474"/>
      <c r="Z262" s="474"/>
      <c r="AA262" s="474"/>
      <c r="AB262" s="474"/>
      <c r="AC262" s="509">
        <v>875</v>
      </c>
      <c r="AD262" s="474"/>
      <c r="AE262" s="474"/>
      <c r="AF262" s="474"/>
      <c r="AG262" s="474"/>
      <c r="AH262" s="474"/>
      <c r="AI262" s="474"/>
      <c r="AJ262" s="474"/>
      <c r="AK262" s="474"/>
      <c r="AL262" s="474"/>
      <c r="AM262" s="474"/>
      <c r="AN262" s="474">
        <v>500</v>
      </c>
      <c r="AO262" s="474"/>
      <c r="AP262" s="474"/>
      <c r="AQ262" s="474"/>
      <c r="AR262" s="474"/>
      <c r="AS262" s="474"/>
      <c r="AT262" s="474">
        <v>1000</v>
      </c>
      <c r="AU262" s="474"/>
      <c r="AV262" s="474"/>
      <c r="AW262" s="474">
        <v>1000</v>
      </c>
      <c r="AX262" s="474"/>
      <c r="AY262" s="474"/>
      <c r="AZ262" s="474"/>
      <c r="BA262" s="474"/>
      <c r="BB262" s="474"/>
      <c r="BC262" s="474"/>
      <c r="BD262" s="474"/>
      <c r="BE262" s="474">
        <v>1000</v>
      </c>
      <c r="BF262" s="474"/>
      <c r="BG262" s="474"/>
      <c r="BH262" s="474">
        <v>700</v>
      </c>
      <c r="BI262" s="474"/>
      <c r="BJ262" s="474"/>
    </row>
    <row r="263" spans="2:62" outlineLevel="1">
      <c r="B263" t="s">
        <v>292</v>
      </c>
      <c r="C263" s="62">
        <f t="shared" ref="C263:AX263" si="708">-C203</f>
        <v>0</v>
      </c>
      <c r="D263" s="62">
        <f t="shared" si="708"/>
        <v>0</v>
      </c>
      <c r="E263" s="62">
        <f t="shared" si="708"/>
        <v>-150</v>
      </c>
      <c r="F263" s="62">
        <f t="shared" si="708"/>
        <v>-193.75</v>
      </c>
      <c r="G263" s="62">
        <f t="shared" si="708"/>
        <v>-255.75</v>
      </c>
      <c r="H263" s="62">
        <f t="shared" si="708"/>
        <v>-385</v>
      </c>
      <c r="I263" s="62">
        <f t="shared" si="708"/>
        <v>-379.75</v>
      </c>
      <c r="J263" s="62">
        <f t="shared" si="708"/>
        <v>-367.5</v>
      </c>
      <c r="K263" s="62">
        <f t="shared" si="708"/>
        <v>-379.75</v>
      </c>
      <c r="L263" s="62">
        <f t="shared" si="708"/>
        <v>-225</v>
      </c>
      <c r="M263" s="62">
        <f t="shared" si="708"/>
        <v>-240.24999999999997</v>
      </c>
      <c r="N263" s="62">
        <f t="shared" si="708"/>
        <v>-224.75</v>
      </c>
      <c r="O263" s="62">
        <f t="shared" si="708"/>
        <v>-105</v>
      </c>
      <c r="P263" s="62">
        <f t="shared" si="708"/>
        <v>-46.5</v>
      </c>
      <c r="Q263" s="62">
        <f t="shared" si="708"/>
        <v>-120</v>
      </c>
      <c r="R263" s="62">
        <f t="shared" si="708"/>
        <v>-147.25</v>
      </c>
      <c r="S263" s="62">
        <f t="shared" si="708"/>
        <v>-120.9</v>
      </c>
      <c r="T263" s="62">
        <f t="shared" si="708"/>
        <v>-182</v>
      </c>
      <c r="U263" s="62">
        <f t="shared" si="708"/>
        <v>-210.8</v>
      </c>
      <c r="V263" s="62">
        <f t="shared" si="708"/>
        <v>-183.00000000000003</v>
      </c>
      <c r="W263" s="62">
        <f t="shared" si="708"/>
        <v>-142.60000000000002</v>
      </c>
      <c r="X263" s="62">
        <f t="shared" si="708"/>
        <v>-186</v>
      </c>
      <c r="Y263" s="62">
        <f t="shared" si="708"/>
        <v>-151.9</v>
      </c>
      <c r="Z263" s="62">
        <f t="shared" si="708"/>
        <v>-114.7</v>
      </c>
      <c r="AA263" s="62">
        <f t="shared" si="708"/>
        <v>-87.000000000000014</v>
      </c>
      <c r="AB263" s="62">
        <f t="shared" si="708"/>
        <v>-80.600000000000009</v>
      </c>
      <c r="AC263" s="62">
        <f t="shared" si="708"/>
        <v>-84.000000000000014</v>
      </c>
      <c r="AD263" s="62">
        <f t="shared" si="708"/>
        <v>0</v>
      </c>
      <c r="AE263" s="62">
        <f t="shared" si="708"/>
        <v>0</v>
      </c>
      <c r="AF263" s="62">
        <f t="shared" si="708"/>
        <v>0</v>
      </c>
      <c r="AG263" s="62">
        <f t="shared" si="708"/>
        <v>0</v>
      </c>
      <c r="AH263" s="62">
        <f t="shared" si="708"/>
        <v>0</v>
      </c>
      <c r="AI263" s="62">
        <f t="shared" si="708"/>
        <v>0</v>
      </c>
      <c r="AJ263" s="62">
        <f t="shared" si="708"/>
        <v>-249.00000000000003</v>
      </c>
      <c r="AK263" s="62">
        <f t="shared" si="708"/>
        <v>-210.8</v>
      </c>
      <c r="AL263" s="62">
        <f t="shared" si="708"/>
        <v>-176.70000000000002</v>
      </c>
      <c r="AM263" s="62">
        <f t="shared" si="708"/>
        <v>-144.00000000000003</v>
      </c>
      <c r="AN263" s="62">
        <f t="shared" si="708"/>
        <v>-71.300000000000011</v>
      </c>
      <c r="AO263" s="62">
        <f t="shared" si="708"/>
        <v>-47.999999999999993</v>
      </c>
      <c r="AP263" s="62">
        <f t="shared" si="708"/>
        <v>-15.5</v>
      </c>
      <c r="AQ263" s="62">
        <f t="shared" si="708"/>
        <v>-58.900000000000006</v>
      </c>
      <c r="AR263" s="62">
        <f t="shared" si="708"/>
        <v>-72.8</v>
      </c>
      <c r="AS263" s="62">
        <f t="shared" si="708"/>
        <v>-143.22</v>
      </c>
      <c r="AT263" s="62">
        <f t="shared" si="708"/>
        <v>-222.48000000000005</v>
      </c>
      <c r="AU263" s="62">
        <f t="shared" si="708"/>
        <v>-262.27377777777787</v>
      </c>
      <c r="AV263" s="62">
        <f t="shared" si="708"/>
        <v>-316.37912280701761</v>
      </c>
      <c r="AW263" s="62">
        <f t="shared" si="708"/>
        <v>-335.48109356725155</v>
      </c>
      <c r="AX263" s="62">
        <f t="shared" si="708"/>
        <v>-264.27409356725144</v>
      </c>
      <c r="AY263" s="62">
        <f t="shared" ref="AY263:BJ263" si="709">-AY203</f>
        <v>-187.3957894736842</v>
      </c>
      <c r="AZ263" s="62">
        <f t="shared" si="709"/>
        <v>-112.83929545454548</v>
      </c>
      <c r="BA263" s="62">
        <f t="shared" si="709"/>
        <v>-37.729844497607679</v>
      </c>
      <c r="BB263" s="62">
        <f t="shared" si="709"/>
        <v>-25.770084928229693</v>
      </c>
      <c r="BC263" s="62">
        <f t="shared" si="709"/>
        <v>-76.619874401913904</v>
      </c>
      <c r="BD263" s="62">
        <f t="shared" si="709"/>
        <v>-92.721220442410399</v>
      </c>
      <c r="BE263" s="62">
        <f t="shared" si="709"/>
        <v>-181.09542639206717</v>
      </c>
      <c r="BF263" s="62">
        <f t="shared" si="709"/>
        <v>-277.11469107551494</v>
      </c>
      <c r="BG263" s="62">
        <f t="shared" si="709"/>
        <v>-315.71749587951132</v>
      </c>
      <c r="BH263" s="62">
        <f t="shared" si="709"/>
        <v>-373.73100103199181</v>
      </c>
      <c r="BI263" s="62">
        <f t="shared" si="709"/>
        <v>-386.18870106639162</v>
      </c>
      <c r="BJ263" s="62">
        <f t="shared" si="709"/>
        <v>-296.84670106639157</v>
      </c>
    </row>
    <row r="264" spans="2:62" outlineLevel="1">
      <c r="B264" t="s">
        <v>293</v>
      </c>
      <c r="C264" s="62">
        <f>SUM(C261:C263)</f>
        <v>0</v>
      </c>
      <c r="D264" s="62">
        <f t="shared" ref="D264:AX264" si="710">SUM(D261:D263)</f>
        <v>0</v>
      </c>
      <c r="E264" s="62">
        <f t="shared" si="710"/>
        <v>4850</v>
      </c>
      <c r="F264" s="62">
        <f t="shared" si="710"/>
        <v>4656.25</v>
      </c>
      <c r="G264" s="62">
        <f t="shared" si="710"/>
        <v>4400.5</v>
      </c>
      <c r="H264" s="62">
        <f t="shared" si="710"/>
        <v>4015.5</v>
      </c>
      <c r="I264" s="62">
        <f t="shared" si="710"/>
        <v>3635.75</v>
      </c>
      <c r="J264" s="62">
        <f t="shared" si="710"/>
        <v>3268.25</v>
      </c>
      <c r="K264" s="62">
        <f t="shared" si="710"/>
        <v>2888.5</v>
      </c>
      <c r="L264" s="62">
        <f t="shared" si="710"/>
        <v>1775</v>
      </c>
      <c r="M264" s="62">
        <f t="shared" si="710"/>
        <v>1534.75</v>
      </c>
      <c r="N264" s="62">
        <f t="shared" si="710"/>
        <v>1310</v>
      </c>
      <c r="O264" s="62">
        <f t="shared" si="710"/>
        <v>1205</v>
      </c>
      <c r="P264" s="62">
        <f t="shared" si="710"/>
        <v>203.5</v>
      </c>
      <c r="Q264" s="62">
        <f t="shared" si="710"/>
        <v>83.5</v>
      </c>
      <c r="R264" s="62">
        <f t="shared" si="710"/>
        <v>-63.75</v>
      </c>
      <c r="S264" s="62">
        <f t="shared" si="710"/>
        <v>1815.35</v>
      </c>
      <c r="T264" s="62">
        <f t="shared" si="710"/>
        <v>1633.35</v>
      </c>
      <c r="U264" s="62">
        <f t="shared" si="710"/>
        <v>1422.55</v>
      </c>
      <c r="V264" s="62">
        <f t="shared" si="710"/>
        <v>1239.55</v>
      </c>
      <c r="W264" s="62">
        <f t="shared" si="710"/>
        <v>1197.4000000000001</v>
      </c>
      <c r="X264" s="62">
        <f t="shared" si="710"/>
        <v>1011.4000000000001</v>
      </c>
      <c r="Y264" s="62">
        <f t="shared" si="710"/>
        <v>859.50000000000011</v>
      </c>
      <c r="Z264" s="62">
        <f t="shared" si="710"/>
        <v>744.80000000000007</v>
      </c>
      <c r="AA264" s="62">
        <f t="shared" si="710"/>
        <v>-87.000000000000014</v>
      </c>
      <c r="AB264" s="62">
        <f t="shared" si="710"/>
        <v>-80.600000000000009</v>
      </c>
      <c r="AC264" s="62">
        <f t="shared" si="710"/>
        <v>791</v>
      </c>
      <c r="AD264" s="62">
        <f t="shared" si="710"/>
        <v>791</v>
      </c>
      <c r="AE264" s="62">
        <f t="shared" si="710"/>
        <v>791</v>
      </c>
      <c r="AF264" s="62">
        <f t="shared" si="710"/>
        <v>791</v>
      </c>
      <c r="AG264" s="62">
        <f t="shared" si="710"/>
        <v>791</v>
      </c>
      <c r="AH264" s="62">
        <f t="shared" si="710"/>
        <v>791</v>
      </c>
      <c r="AI264" s="62">
        <f t="shared" si="710"/>
        <v>791</v>
      </c>
      <c r="AJ264" s="62">
        <f t="shared" si="710"/>
        <v>542</v>
      </c>
      <c r="AK264" s="62">
        <f t="shared" si="710"/>
        <v>331.2</v>
      </c>
      <c r="AL264" s="62">
        <f t="shared" si="710"/>
        <v>154.49999999999997</v>
      </c>
      <c r="AM264" s="62">
        <f t="shared" si="710"/>
        <v>10.499999999999943</v>
      </c>
      <c r="AN264" s="62">
        <f t="shared" si="710"/>
        <v>439.19999999999993</v>
      </c>
      <c r="AO264" s="62">
        <f t="shared" si="710"/>
        <v>391.19999999999993</v>
      </c>
      <c r="AP264" s="62">
        <f t="shared" si="710"/>
        <v>375.69999999999993</v>
      </c>
      <c r="AQ264" s="62">
        <f t="shared" si="710"/>
        <v>316.79999999999995</v>
      </c>
      <c r="AR264" s="62">
        <f t="shared" si="710"/>
        <v>243.99999999999994</v>
      </c>
      <c r="AS264" s="62">
        <f t="shared" si="710"/>
        <v>100.77999999999994</v>
      </c>
      <c r="AT264" s="62">
        <f t="shared" si="710"/>
        <v>878.3</v>
      </c>
      <c r="AU264" s="62">
        <f t="shared" si="710"/>
        <v>616.02622222222203</v>
      </c>
      <c r="AV264" s="62">
        <f t="shared" si="710"/>
        <v>299.64709941520442</v>
      </c>
      <c r="AW264" s="62">
        <f t="shared" si="710"/>
        <v>964.16600584795287</v>
      </c>
      <c r="AX264" s="62">
        <f t="shared" si="710"/>
        <v>699.89191228070149</v>
      </c>
      <c r="AY264" s="62">
        <f t="shared" ref="AY264:BJ264" si="711">SUM(AY261:AY263)</f>
        <v>512.49612280701729</v>
      </c>
      <c r="AZ264" s="62">
        <f t="shared" si="711"/>
        <v>399.65682735247179</v>
      </c>
      <c r="BA264" s="62">
        <f t="shared" si="711"/>
        <v>361.92698285486409</v>
      </c>
      <c r="BB264" s="62">
        <f t="shared" si="711"/>
        <v>336.15689792663443</v>
      </c>
      <c r="BC264" s="62">
        <f t="shared" si="711"/>
        <v>259.53702352472055</v>
      </c>
      <c r="BD264" s="62">
        <f t="shared" si="711"/>
        <v>166.81580308231014</v>
      </c>
      <c r="BE264" s="62">
        <f t="shared" si="711"/>
        <v>985.72037669024303</v>
      </c>
      <c r="BF264" s="62">
        <f t="shared" si="711"/>
        <v>708.60568561472815</v>
      </c>
      <c r="BG264" s="62">
        <f t="shared" si="711"/>
        <v>392.88818973521683</v>
      </c>
      <c r="BH264" s="62">
        <f t="shared" si="711"/>
        <v>719.15718870322507</v>
      </c>
      <c r="BI264" s="62">
        <f t="shared" si="711"/>
        <v>332.96848763683346</v>
      </c>
      <c r="BJ264" s="62">
        <f t="shared" si="711"/>
        <v>36.121786570441884</v>
      </c>
    </row>
    <row r="265" spans="2:62" outlineLevel="1">
      <c r="B265" t="s">
        <v>222</v>
      </c>
      <c r="C265">
        <f>C262*C295</f>
        <v>0</v>
      </c>
      <c r="D265">
        <f t="shared" ref="D265:AX265" si="712">D262*D295</f>
        <v>0</v>
      </c>
      <c r="E265">
        <f t="shared" si="712"/>
        <v>2750</v>
      </c>
      <c r="F265">
        <f t="shared" si="712"/>
        <v>0</v>
      </c>
      <c r="G265">
        <f t="shared" si="712"/>
        <v>0</v>
      </c>
      <c r="H265">
        <f t="shared" si="712"/>
        <v>0</v>
      </c>
      <c r="I265">
        <f t="shared" si="712"/>
        <v>0</v>
      </c>
      <c r="J265">
        <f t="shared" si="712"/>
        <v>0</v>
      </c>
      <c r="K265">
        <f t="shared" si="712"/>
        <v>0</v>
      </c>
      <c r="L265">
        <f t="shared" si="712"/>
        <v>0</v>
      </c>
      <c r="M265">
        <f t="shared" si="712"/>
        <v>0</v>
      </c>
      <c r="N265">
        <f t="shared" si="712"/>
        <v>0</v>
      </c>
      <c r="O265">
        <f t="shared" si="712"/>
        <v>0</v>
      </c>
      <c r="P265">
        <f t="shared" si="712"/>
        <v>0</v>
      </c>
      <c r="Q265">
        <f t="shared" si="712"/>
        <v>0</v>
      </c>
      <c r="R265">
        <f t="shared" si="712"/>
        <v>0</v>
      </c>
      <c r="S265">
        <f t="shared" si="712"/>
        <v>900</v>
      </c>
      <c r="T265">
        <f t="shared" si="712"/>
        <v>0</v>
      </c>
      <c r="U265">
        <f t="shared" si="712"/>
        <v>0</v>
      </c>
      <c r="V265">
        <f t="shared" si="712"/>
        <v>0</v>
      </c>
      <c r="W265">
        <f t="shared" si="712"/>
        <v>603</v>
      </c>
      <c r="X265">
        <f t="shared" si="712"/>
        <v>0</v>
      </c>
      <c r="Y265">
        <f t="shared" si="712"/>
        <v>0</v>
      </c>
      <c r="Z265">
        <f t="shared" si="712"/>
        <v>0</v>
      </c>
      <c r="AA265">
        <f t="shared" si="712"/>
        <v>0</v>
      </c>
      <c r="AB265">
        <f t="shared" si="712"/>
        <v>0</v>
      </c>
      <c r="AC265">
        <f t="shared" si="712"/>
        <v>415.625</v>
      </c>
      <c r="AD265">
        <f t="shared" si="712"/>
        <v>0</v>
      </c>
      <c r="AE265">
        <f t="shared" si="712"/>
        <v>0</v>
      </c>
      <c r="AF265">
        <f t="shared" si="712"/>
        <v>0</v>
      </c>
      <c r="AG265">
        <f t="shared" si="712"/>
        <v>0</v>
      </c>
      <c r="AH265">
        <f t="shared" si="712"/>
        <v>0</v>
      </c>
      <c r="AI265">
        <f t="shared" si="712"/>
        <v>0</v>
      </c>
      <c r="AJ265">
        <f t="shared" si="712"/>
        <v>0</v>
      </c>
      <c r="AK265">
        <f t="shared" si="712"/>
        <v>0</v>
      </c>
      <c r="AL265">
        <f t="shared" si="712"/>
        <v>0</v>
      </c>
      <c r="AM265">
        <f t="shared" si="712"/>
        <v>0</v>
      </c>
      <c r="AN265">
        <f t="shared" si="712"/>
        <v>237.5</v>
      </c>
      <c r="AO265">
        <f t="shared" si="712"/>
        <v>0</v>
      </c>
      <c r="AP265">
        <f t="shared" si="712"/>
        <v>0</v>
      </c>
      <c r="AQ265">
        <f t="shared" si="712"/>
        <v>0</v>
      </c>
      <c r="AR265">
        <f t="shared" si="712"/>
        <v>0</v>
      </c>
      <c r="AS265">
        <f t="shared" si="712"/>
        <v>0</v>
      </c>
      <c r="AT265">
        <f t="shared" si="712"/>
        <v>475</v>
      </c>
      <c r="AU265">
        <f t="shared" si="712"/>
        <v>0</v>
      </c>
      <c r="AV265">
        <f t="shared" si="712"/>
        <v>0</v>
      </c>
      <c r="AW265">
        <f t="shared" si="712"/>
        <v>475</v>
      </c>
      <c r="AX265">
        <f t="shared" si="712"/>
        <v>0</v>
      </c>
      <c r="AY265">
        <f t="shared" ref="AY265:BJ265" si="713">AY262*AY295</f>
        <v>0</v>
      </c>
      <c r="AZ265">
        <f t="shared" si="713"/>
        <v>0</v>
      </c>
      <c r="BA265">
        <f t="shared" si="713"/>
        <v>0</v>
      </c>
      <c r="BB265">
        <f t="shared" si="713"/>
        <v>0</v>
      </c>
      <c r="BC265">
        <f t="shared" si="713"/>
        <v>0</v>
      </c>
      <c r="BD265">
        <f t="shared" si="713"/>
        <v>0</v>
      </c>
      <c r="BE265">
        <f t="shared" si="713"/>
        <v>450</v>
      </c>
      <c r="BF265">
        <f t="shared" si="713"/>
        <v>0</v>
      </c>
      <c r="BG265">
        <f t="shared" si="713"/>
        <v>0</v>
      </c>
      <c r="BH265">
        <f t="shared" si="713"/>
        <v>315</v>
      </c>
      <c r="BI265">
        <f t="shared" si="713"/>
        <v>0</v>
      </c>
      <c r="BJ265">
        <f t="shared" si="713"/>
        <v>0</v>
      </c>
    </row>
    <row r="266" spans="2:62" outlineLevel="1"/>
    <row r="267" spans="2:62" outlineLevel="1">
      <c r="B267" s="54" t="s">
        <v>433</v>
      </c>
    </row>
    <row r="268" spans="2:62" outlineLevel="1">
      <c r="B268" t="s">
        <v>290</v>
      </c>
      <c r="C268" s="80">
        <v>0</v>
      </c>
      <c r="D268" s="62">
        <f>+C271</f>
        <v>-47349</v>
      </c>
      <c r="E268" s="62">
        <f>+D271</f>
        <v>-96276.3</v>
      </c>
      <c r="F268" s="62">
        <f t="shared" ref="F268" si="714">+E271</f>
        <v>-127096.3</v>
      </c>
      <c r="G268" s="62">
        <f t="shared" ref="G268" si="715">+F271</f>
        <v>-144394.29999999999</v>
      </c>
      <c r="H268" s="62">
        <f t="shared" ref="H268" si="716">+G271</f>
        <v>-161692.29999999999</v>
      </c>
      <c r="I268" s="62">
        <f t="shared" ref="I268" si="717">+H271</f>
        <v>-167085.09999999998</v>
      </c>
      <c r="J268" s="62">
        <f t="shared" ref="J268" si="718">+I271</f>
        <v>-167085.09999999998</v>
      </c>
      <c r="K268" s="62">
        <f t="shared" ref="K268" si="719">+J271</f>
        <v>-167085.09999999998</v>
      </c>
      <c r="L268" s="80">
        <v>2000</v>
      </c>
      <c r="M268" s="62">
        <f t="shared" ref="M268" si="720">+L271</f>
        <v>-4660</v>
      </c>
      <c r="N268" s="62">
        <f t="shared" ref="N268" si="721">+M271</f>
        <v>-8194</v>
      </c>
      <c r="O268" s="62">
        <f t="shared" ref="O268" si="722">+N271</f>
        <v>-14890</v>
      </c>
      <c r="P268" s="80">
        <v>3000</v>
      </c>
      <c r="Q268" s="62">
        <f t="shared" ref="Q268" si="723">+P271</f>
        <v>20190</v>
      </c>
      <c r="R268" s="62">
        <f t="shared" ref="R268" si="724">+Q271</f>
        <v>18690</v>
      </c>
      <c r="S268" s="62">
        <f t="shared" ref="S268" si="725">+R271</f>
        <v>17140</v>
      </c>
      <c r="T268" s="62">
        <f t="shared" ref="T268" si="726">+S271</f>
        <v>34255</v>
      </c>
      <c r="U268" s="62">
        <f t="shared" ref="U268" si="727">+T271</f>
        <v>32855</v>
      </c>
      <c r="V268" s="62">
        <f t="shared" ref="V268" si="728">+U271</f>
        <v>28205</v>
      </c>
      <c r="W268" s="80">
        <v>0</v>
      </c>
      <c r="X268" s="62">
        <f t="shared" ref="X268" si="729">+W271</f>
        <v>14010</v>
      </c>
      <c r="Y268" s="62">
        <f t="shared" ref="Y268" si="730">+X271</f>
        <v>5610</v>
      </c>
      <c r="Z268" s="62">
        <f t="shared" ref="Z268" si="731">+Y271</f>
        <v>23510</v>
      </c>
      <c r="AA268" s="62">
        <f t="shared" ref="AA268" si="732">+Z271</f>
        <v>6584</v>
      </c>
      <c r="AB268" s="62">
        <f t="shared" ref="AB268" si="733">+AA271</f>
        <v>13816</v>
      </c>
      <c r="AC268" s="62">
        <f t="shared" ref="AC268" si="734">+AB271</f>
        <v>16729.02</v>
      </c>
      <c r="AD268" s="62">
        <f t="shared" ref="AD268" si="735">+AC271</f>
        <v>21690.220000000005</v>
      </c>
      <c r="AE268" s="62">
        <f t="shared" ref="AE268" si="736">+AD271</f>
        <v>12053.560000000005</v>
      </c>
      <c r="AF268" s="62">
        <f t="shared" ref="AF268" si="737">+AE271</f>
        <v>21948.640000000007</v>
      </c>
      <c r="AG268" s="80">
        <v>0</v>
      </c>
      <c r="AH268" s="62">
        <f t="shared" ref="AH268" si="738">+AG271</f>
        <v>12520.94</v>
      </c>
      <c r="AI268" s="62">
        <f t="shared" ref="AI268" si="739">+AH271</f>
        <v>4280.5399999999991</v>
      </c>
      <c r="AJ268" s="62">
        <f t="shared" ref="AJ268" si="740">+AI271</f>
        <v>16250.04</v>
      </c>
      <c r="AK268" s="62">
        <f t="shared" ref="AK268" si="741">+AJ271</f>
        <v>8990.0400000000009</v>
      </c>
      <c r="AL268" s="62">
        <f t="shared" ref="AL268" si="742">+AK271</f>
        <v>11043.04</v>
      </c>
      <c r="AM268" s="62">
        <f t="shared" ref="AM268" si="743">+AL271</f>
        <v>658.04000000000087</v>
      </c>
      <c r="AN268" s="62">
        <f t="shared" ref="AN268" si="744">+AM271</f>
        <v>3403.0399999999991</v>
      </c>
      <c r="AO268" s="62">
        <f t="shared" ref="AO268" si="745">+AN271</f>
        <v>3177.5200000000004</v>
      </c>
      <c r="AP268" s="62">
        <f t="shared" ref="AP268" si="746">+AO271</f>
        <v>6067.42</v>
      </c>
      <c r="AQ268" s="62">
        <f t="shared" ref="AQ268" si="747">+AP271</f>
        <v>14810.819999999998</v>
      </c>
      <c r="AR268" s="62">
        <f t="shared" ref="AR268" si="748">+AQ271</f>
        <v>9034.8999999999978</v>
      </c>
      <c r="AS268" s="62">
        <f t="shared" ref="AS268" si="749">+AR271</f>
        <v>7121.9399999999978</v>
      </c>
      <c r="AT268" s="62">
        <f t="shared" ref="AT268" si="750">+AS271</f>
        <v>5013.9399999999978</v>
      </c>
      <c r="AU268" s="62">
        <f t="shared" ref="AU268" si="751">+AT271</f>
        <v>1848.9399999999978</v>
      </c>
      <c r="AV268" s="62">
        <f t="shared" ref="AV268" si="752">+AU271</f>
        <v>15617.439999999999</v>
      </c>
      <c r="AW268" s="62">
        <f t="shared" ref="AW268" si="753">+AV271</f>
        <v>10688.439999999999</v>
      </c>
      <c r="AX268" s="62">
        <f t="shared" ref="AX268" si="754">+AW271</f>
        <v>2469.0999999999985</v>
      </c>
      <c r="AY268" s="62">
        <f t="shared" ref="AY268:BJ268" si="755">+AX271</f>
        <v>11521.948888888886</v>
      </c>
      <c r="AZ268" s="62">
        <f t="shared" si="755"/>
        <v>1227.4839766081841</v>
      </c>
      <c r="BA268" s="62">
        <f t="shared" si="755"/>
        <v>9061.3113450292403</v>
      </c>
      <c r="BB268" s="62">
        <f t="shared" si="755"/>
        <v>5193.4113450292407</v>
      </c>
      <c r="BC268" s="62">
        <f t="shared" si="755"/>
        <v>4616.8113450292403</v>
      </c>
      <c r="BD268" s="62">
        <f t="shared" si="755"/>
        <v>4065.0395268474217</v>
      </c>
      <c r="BE268" s="62">
        <f t="shared" si="755"/>
        <v>3513.2586656034027</v>
      </c>
      <c r="BF268" s="62">
        <f t="shared" si="755"/>
        <v>3406.2270866560343</v>
      </c>
      <c r="BG268" s="62">
        <f t="shared" si="755"/>
        <v>1271.490244550771</v>
      </c>
      <c r="BH268" s="62">
        <f t="shared" si="755"/>
        <v>15520.296346762825</v>
      </c>
      <c r="BI268" s="62">
        <f t="shared" si="755"/>
        <v>10764.887651110654</v>
      </c>
      <c r="BJ268" s="62">
        <f t="shared" si="755"/>
        <v>3186.0076511106545</v>
      </c>
    </row>
    <row r="269" spans="2:62" outlineLevel="1">
      <c r="B269" t="s">
        <v>291</v>
      </c>
      <c r="C269" s="80"/>
      <c r="D269" s="80"/>
      <c r="E269" s="80">
        <v>5000</v>
      </c>
      <c r="F269" s="80"/>
      <c r="G269" s="80"/>
      <c r="H269" s="80"/>
      <c r="I269" s="80"/>
      <c r="J269" s="80"/>
      <c r="K269" s="80"/>
      <c r="L269" s="80"/>
      <c r="M269" s="80"/>
      <c r="N269" s="80"/>
      <c r="O269" s="80"/>
      <c r="P269" s="80">
        <v>18120</v>
      </c>
      <c r="Q269" s="80"/>
      <c r="R269" s="80"/>
      <c r="S269" s="80">
        <v>18200</v>
      </c>
      <c r="T269" s="80"/>
      <c r="U269" s="80"/>
      <c r="V269" s="80"/>
      <c r="W269" s="80">
        <f>1000+18280</f>
        <v>19280</v>
      </c>
      <c r="X269" s="80"/>
      <c r="Y269" s="509">
        <v>17900</v>
      </c>
      <c r="Z269" s="474"/>
      <c r="AA269" s="509">
        <v>18080</v>
      </c>
      <c r="AB269" s="509">
        <f>1200+17820</f>
        <v>19020</v>
      </c>
      <c r="AC269" s="509">
        <v>17980</v>
      </c>
      <c r="AD269" s="474"/>
      <c r="AE269" s="509">
        <v>17500</v>
      </c>
      <c r="AF269" s="474"/>
      <c r="AG269" s="509">
        <v>18140</v>
      </c>
      <c r="AH269" s="474"/>
      <c r="AI269" s="509">
        <v>18340</v>
      </c>
      <c r="AJ269" s="474"/>
      <c r="AK269" s="474">
        <v>12500</v>
      </c>
      <c r="AL269" s="474"/>
      <c r="AM269" s="474">
        <v>18000</v>
      </c>
      <c r="AN269" s="474">
        <v>18000</v>
      </c>
      <c r="AO269" s="474">
        <v>18000</v>
      </c>
      <c r="AP269" s="474">
        <v>18000</v>
      </c>
      <c r="AQ269" s="474"/>
      <c r="AR269" s="474"/>
      <c r="AS269" s="474"/>
      <c r="AT269" s="474"/>
      <c r="AU269" s="474">
        <v>18000</v>
      </c>
      <c r="AV269" s="474"/>
      <c r="AW269" s="474"/>
      <c r="AX269" s="474">
        <v>18000</v>
      </c>
      <c r="AY269" s="474"/>
      <c r="AZ269" s="474">
        <v>18000</v>
      </c>
      <c r="BA269" s="474"/>
      <c r="BB269" s="474"/>
      <c r="BC269" s="474"/>
      <c r="BD269" s="474"/>
      <c r="BE269" s="474"/>
      <c r="BF269" s="474"/>
      <c r="BG269" s="474">
        <v>18000</v>
      </c>
      <c r="BH269" s="474"/>
      <c r="BI269" s="474"/>
      <c r="BJ269" s="474">
        <v>5000</v>
      </c>
    </row>
    <row r="270" spans="2:62" outlineLevel="1">
      <c r="B270" t="s">
        <v>292</v>
      </c>
      <c r="C270" s="62">
        <f t="shared" ref="C270:AX270" si="756">-C205</f>
        <v>-47349</v>
      </c>
      <c r="D270" s="62">
        <f t="shared" si="756"/>
        <v>-48927.3</v>
      </c>
      <c r="E270" s="62">
        <f t="shared" si="756"/>
        <v>-35820</v>
      </c>
      <c r="F270" s="62">
        <f t="shared" si="756"/>
        <v>-17298</v>
      </c>
      <c r="G270" s="62">
        <f t="shared" si="756"/>
        <v>-17298</v>
      </c>
      <c r="H270" s="62">
        <f t="shared" si="756"/>
        <v>-5392.7999999999993</v>
      </c>
      <c r="I270" s="62">
        <f t="shared" si="756"/>
        <v>0</v>
      </c>
      <c r="J270" s="62">
        <f t="shared" si="756"/>
        <v>0</v>
      </c>
      <c r="K270" s="62">
        <f t="shared" si="756"/>
        <v>0</v>
      </c>
      <c r="L270" s="62">
        <f t="shared" si="756"/>
        <v>-6660</v>
      </c>
      <c r="M270" s="62">
        <f t="shared" si="756"/>
        <v>-3534</v>
      </c>
      <c r="N270" s="62">
        <f t="shared" si="756"/>
        <v>-6696</v>
      </c>
      <c r="O270" s="62">
        <f t="shared" si="756"/>
        <v>-4860</v>
      </c>
      <c r="P270" s="62">
        <f>-P205</f>
        <v>-929.99999999999989</v>
      </c>
      <c r="Q270" s="62">
        <f t="shared" si="756"/>
        <v>-1500</v>
      </c>
      <c r="R270" s="62">
        <f t="shared" si="756"/>
        <v>-1550</v>
      </c>
      <c r="S270" s="62">
        <f>-S205</f>
        <v>-1085</v>
      </c>
      <c r="T270" s="62">
        <f t="shared" si="756"/>
        <v>-1400</v>
      </c>
      <c r="U270" s="62">
        <f t="shared" si="756"/>
        <v>-4650</v>
      </c>
      <c r="V270" s="62">
        <f t="shared" si="756"/>
        <v>-6750</v>
      </c>
      <c r="W270" s="62">
        <f t="shared" si="756"/>
        <v>-5270</v>
      </c>
      <c r="X270" s="62">
        <f t="shared" si="756"/>
        <v>-8400</v>
      </c>
      <c r="Y270" s="62">
        <f t="shared" si="756"/>
        <v>0</v>
      </c>
      <c r="Z270" s="62">
        <f t="shared" si="756"/>
        <v>-16926</v>
      </c>
      <c r="AA270" s="62">
        <f t="shared" si="756"/>
        <v>-10848</v>
      </c>
      <c r="AB270" s="62">
        <f t="shared" si="756"/>
        <v>-16106.98</v>
      </c>
      <c r="AC270" s="62">
        <f t="shared" si="756"/>
        <v>-13018.8</v>
      </c>
      <c r="AD270" s="62">
        <f t="shared" si="756"/>
        <v>-9636.66</v>
      </c>
      <c r="AE270" s="62">
        <f t="shared" si="756"/>
        <v>-7604.92</v>
      </c>
      <c r="AF270" s="62">
        <f t="shared" si="756"/>
        <v>-3930.639999999999</v>
      </c>
      <c r="AG270" s="62">
        <f t="shared" si="756"/>
        <v>-5619.0599999999995</v>
      </c>
      <c r="AH270" s="62">
        <f t="shared" si="756"/>
        <v>-8240.4000000000015</v>
      </c>
      <c r="AI270" s="62">
        <f t="shared" si="756"/>
        <v>-6370.5</v>
      </c>
      <c r="AJ270" s="62">
        <f t="shared" si="756"/>
        <v>-7260</v>
      </c>
      <c r="AK270" s="62">
        <f t="shared" si="756"/>
        <v>-10447</v>
      </c>
      <c r="AL270" s="62">
        <f t="shared" si="756"/>
        <v>-10385</v>
      </c>
      <c r="AM270" s="62">
        <f t="shared" si="756"/>
        <v>-15255.000000000002</v>
      </c>
      <c r="AN270" s="62">
        <f t="shared" si="756"/>
        <v>-18225.52</v>
      </c>
      <c r="AO270" s="62">
        <f t="shared" si="756"/>
        <v>-15110.1</v>
      </c>
      <c r="AP270" s="62">
        <f t="shared" si="756"/>
        <v>-9256.6</v>
      </c>
      <c r="AQ270" s="62">
        <f t="shared" si="756"/>
        <v>-5775.92</v>
      </c>
      <c r="AR270" s="62">
        <f t="shared" si="756"/>
        <v>-1912.9599999999998</v>
      </c>
      <c r="AS270" s="62">
        <f t="shared" si="756"/>
        <v>-2108</v>
      </c>
      <c r="AT270" s="62">
        <f t="shared" si="756"/>
        <v>-3165</v>
      </c>
      <c r="AU270" s="62">
        <f t="shared" si="756"/>
        <v>-4231.5</v>
      </c>
      <c r="AV270" s="62">
        <f t="shared" si="756"/>
        <v>-4929</v>
      </c>
      <c r="AW270" s="62">
        <f t="shared" si="756"/>
        <v>-8219.34</v>
      </c>
      <c r="AX270" s="62">
        <f t="shared" si="756"/>
        <v>-8947.1511111111122</v>
      </c>
      <c r="AY270" s="62">
        <f t="shared" ref="AY270:BJ270" si="757">-AY205</f>
        <v>-10294.464912280702</v>
      </c>
      <c r="AZ270" s="62">
        <f t="shared" si="757"/>
        <v>-10166.172631578946</v>
      </c>
      <c r="BA270" s="62">
        <f t="shared" si="757"/>
        <v>-3867.8999999999996</v>
      </c>
      <c r="BB270" s="62">
        <f t="shared" si="757"/>
        <v>-576.60000000000025</v>
      </c>
      <c r="BC270" s="62">
        <f t="shared" si="757"/>
        <v>-551.7718181818185</v>
      </c>
      <c r="BD270" s="62">
        <f t="shared" si="757"/>
        <v>-551.78086124401921</v>
      </c>
      <c r="BE270" s="62">
        <f t="shared" si="757"/>
        <v>-107.03157894736863</v>
      </c>
      <c r="BF270" s="62">
        <f t="shared" si="757"/>
        <v>-2134.7368421052633</v>
      </c>
      <c r="BG270" s="62">
        <f t="shared" si="757"/>
        <v>-3751.1938977879477</v>
      </c>
      <c r="BH270" s="62">
        <f t="shared" si="757"/>
        <v>-4755.4086956521724</v>
      </c>
      <c r="BI270" s="62">
        <f t="shared" si="757"/>
        <v>-7578.8799999999992</v>
      </c>
      <c r="BJ270" s="62">
        <f t="shared" si="757"/>
        <v>-7714.7775163398674</v>
      </c>
    </row>
    <row r="271" spans="2:62" outlineLevel="1">
      <c r="B271" t="s">
        <v>293</v>
      </c>
      <c r="C271" s="62">
        <f>SUM(C268:C270)</f>
        <v>-47349</v>
      </c>
      <c r="D271" s="62">
        <f t="shared" ref="D271:AX271" si="758">SUM(D268:D270)</f>
        <v>-96276.3</v>
      </c>
      <c r="E271" s="62">
        <f t="shared" si="758"/>
        <v>-127096.3</v>
      </c>
      <c r="F271" s="62">
        <f t="shared" si="758"/>
        <v>-144394.29999999999</v>
      </c>
      <c r="G271" s="62">
        <f t="shared" si="758"/>
        <v>-161692.29999999999</v>
      </c>
      <c r="H271" s="62">
        <f t="shared" si="758"/>
        <v>-167085.09999999998</v>
      </c>
      <c r="I271" s="62">
        <f t="shared" si="758"/>
        <v>-167085.09999999998</v>
      </c>
      <c r="J271" s="62">
        <f t="shared" si="758"/>
        <v>-167085.09999999998</v>
      </c>
      <c r="K271" s="62">
        <f t="shared" si="758"/>
        <v>-167085.09999999998</v>
      </c>
      <c r="L271" s="62">
        <f t="shared" si="758"/>
        <v>-4660</v>
      </c>
      <c r="M271" s="62">
        <f t="shared" si="758"/>
        <v>-8194</v>
      </c>
      <c r="N271" s="62">
        <f t="shared" si="758"/>
        <v>-14890</v>
      </c>
      <c r="O271" s="62">
        <f t="shared" si="758"/>
        <v>-19750</v>
      </c>
      <c r="P271" s="62">
        <f t="shared" si="758"/>
        <v>20190</v>
      </c>
      <c r="Q271" s="62">
        <f t="shared" si="758"/>
        <v>18690</v>
      </c>
      <c r="R271" s="62">
        <f t="shared" si="758"/>
        <v>17140</v>
      </c>
      <c r="S271" s="62">
        <f>SUM(S268:S270)</f>
        <v>34255</v>
      </c>
      <c r="T271" s="62">
        <f t="shared" si="758"/>
        <v>32855</v>
      </c>
      <c r="U271" s="62">
        <f t="shared" si="758"/>
        <v>28205</v>
      </c>
      <c r="V271" s="62">
        <f t="shared" si="758"/>
        <v>21455</v>
      </c>
      <c r="W271" s="62">
        <f t="shared" si="758"/>
        <v>14010</v>
      </c>
      <c r="X271" s="62">
        <f t="shared" si="758"/>
        <v>5610</v>
      </c>
      <c r="Y271" s="62">
        <f t="shared" si="758"/>
        <v>23510</v>
      </c>
      <c r="Z271" s="62">
        <f t="shared" si="758"/>
        <v>6584</v>
      </c>
      <c r="AA271" s="62">
        <f t="shared" si="758"/>
        <v>13816</v>
      </c>
      <c r="AB271" s="62">
        <f t="shared" si="758"/>
        <v>16729.02</v>
      </c>
      <c r="AC271" s="62">
        <f t="shared" si="758"/>
        <v>21690.220000000005</v>
      </c>
      <c r="AD271" s="62">
        <f t="shared" si="758"/>
        <v>12053.560000000005</v>
      </c>
      <c r="AE271" s="62">
        <f t="shared" si="758"/>
        <v>21948.640000000007</v>
      </c>
      <c r="AF271" s="62">
        <f t="shared" si="758"/>
        <v>18018.000000000007</v>
      </c>
      <c r="AG271" s="62">
        <f t="shared" si="758"/>
        <v>12520.94</v>
      </c>
      <c r="AH271" s="62">
        <f t="shared" si="758"/>
        <v>4280.5399999999991</v>
      </c>
      <c r="AI271" s="62">
        <f t="shared" si="758"/>
        <v>16250.04</v>
      </c>
      <c r="AJ271" s="62">
        <f t="shared" si="758"/>
        <v>8990.0400000000009</v>
      </c>
      <c r="AK271" s="62">
        <f t="shared" si="758"/>
        <v>11043.04</v>
      </c>
      <c r="AL271" s="62">
        <f t="shared" si="758"/>
        <v>658.04000000000087</v>
      </c>
      <c r="AM271" s="62">
        <f t="shared" si="758"/>
        <v>3403.0399999999991</v>
      </c>
      <c r="AN271" s="62">
        <f t="shared" si="758"/>
        <v>3177.5200000000004</v>
      </c>
      <c r="AO271" s="62">
        <f t="shared" si="758"/>
        <v>6067.42</v>
      </c>
      <c r="AP271" s="62">
        <f t="shared" si="758"/>
        <v>14810.819999999998</v>
      </c>
      <c r="AQ271" s="62">
        <f t="shared" si="758"/>
        <v>9034.8999999999978</v>
      </c>
      <c r="AR271" s="62">
        <f t="shared" si="758"/>
        <v>7121.9399999999978</v>
      </c>
      <c r="AS271" s="62">
        <f t="shared" si="758"/>
        <v>5013.9399999999978</v>
      </c>
      <c r="AT271" s="62">
        <f t="shared" si="758"/>
        <v>1848.9399999999978</v>
      </c>
      <c r="AU271" s="62">
        <f t="shared" si="758"/>
        <v>15617.439999999999</v>
      </c>
      <c r="AV271" s="62">
        <f t="shared" si="758"/>
        <v>10688.439999999999</v>
      </c>
      <c r="AW271" s="62">
        <f t="shared" si="758"/>
        <v>2469.0999999999985</v>
      </c>
      <c r="AX271" s="62">
        <f t="shared" si="758"/>
        <v>11521.948888888886</v>
      </c>
      <c r="AY271" s="62">
        <f t="shared" ref="AY271:BJ271" si="759">SUM(AY268:AY270)</f>
        <v>1227.4839766081841</v>
      </c>
      <c r="AZ271" s="62">
        <f t="shared" si="759"/>
        <v>9061.3113450292403</v>
      </c>
      <c r="BA271" s="62">
        <f t="shared" si="759"/>
        <v>5193.4113450292407</v>
      </c>
      <c r="BB271" s="62">
        <f t="shared" si="759"/>
        <v>4616.8113450292403</v>
      </c>
      <c r="BC271" s="62">
        <f t="shared" si="759"/>
        <v>4065.0395268474217</v>
      </c>
      <c r="BD271" s="62">
        <f t="shared" si="759"/>
        <v>3513.2586656034027</v>
      </c>
      <c r="BE271" s="62">
        <f t="shared" si="759"/>
        <v>3406.2270866560343</v>
      </c>
      <c r="BF271" s="62">
        <f t="shared" si="759"/>
        <v>1271.490244550771</v>
      </c>
      <c r="BG271" s="62">
        <f t="shared" si="759"/>
        <v>15520.296346762825</v>
      </c>
      <c r="BH271" s="62">
        <f t="shared" si="759"/>
        <v>10764.887651110654</v>
      </c>
      <c r="BI271" s="62">
        <f t="shared" si="759"/>
        <v>3186.0076511106545</v>
      </c>
      <c r="BJ271" s="62">
        <f t="shared" si="759"/>
        <v>471.23013477078712</v>
      </c>
    </row>
    <row r="272" spans="2:62" outlineLevel="1">
      <c r="B272" t="s">
        <v>222</v>
      </c>
      <c r="C272">
        <f>C269*C296</f>
        <v>0</v>
      </c>
      <c r="D272">
        <f t="shared" ref="D272:AX272" si="760">D269*D296</f>
        <v>0</v>
      </c>
      <c r="E272">
        <f t="shared" si="760"/>
        <v>1865.75</v>
      </c>
      <c r="F272">
        <f t="shared" si="760"/>
        <v>0</v>
      </c>
      <c r="G272">
        <f t="shared" si="760"/>
        <v>0</v>
      </c>
      <c r="H272">
        <f t="shared" si="760"/>
        <v>0</v>
      </c>
      <c r="I272">
        <f t="shared" si="760"/>
        <v>0</v>
      </c>
      <c r="J272">
        <f t="shared" si="760"/>
        <v>0</v>
      </c>
      <c r="K272">
        <f t="shared" si="760"/>
        <v>0</v>
      </c>
      <c r="L272">
        <f t="shared" si="760"/>
        <v>0</v>
      </c>
      <c r="M272">
        <f t="shared" si="760"/>
        <v>0</v>
      </c>
      <c r="N272">
        <f t="shared" si="760"/>
        <v>0</v>
      </c>
      <c r="O272">
        <f t="shared" si="760"/>
        <v>0</v>
      </c>
      <c r="P272">
        <f t="shared" si="760"/>
        <v>6595.6799999999994</v>
      </c>
      <c r="Q272">
        <f t="shared" si="760"/>
        <v>0</v>
      </c>
      <c r="R272">
        <f t="shared" si="760"/>
        <v>0</v>
      </c>
      <c r="S272">
        <f t="shared" si="760"/>
        <v>6624.8</v>
      </c>
      <c r="T272">
        <f t="shared" si="760"/>
        <v>0</v>
      </c>
      <c r="U272">
        <f t="shared" si="760"/>
        <v>0</v>
      </c>
      <c r="V272">
        <f t="shared" si="760"/>
        <v>0</v>
      </c>
      <c r="W272">
        <f t="shared" si="760"/>
        <v>7017.92</v>
      </c>
      <c r="X272">
        <f t="shared" si="760"/>
        <v>0</v>
      </c>
      <c r="Y272">
        <f t="shared" si="760"/>
        <v>6265</v>
      </c>
      <c r="Z272">
        <f t="shared" si="760"/>
        <v>0</v>
      </c>
      <c r="AA272">
        <f t="shared" si="760"/>
        <v>6183.3600000000006</v>
      </c>
      <c r="AB272">
        <f t="shared" si="760"/>
        <v>6504.84</v>
      </c>
      <c r="AC272">
        <f t="shared" si="760"/>
        <v>6382.9</v>
      </c>
      <c r="AD272">
        <f t="shared" si="760"/>
        <v>0</v>
      </c>
      <c r="AE272">
        <f t="shared" si="760"/>
        <v>6212.5</v>
      </c>
      <c r="AF272">
        <f t="shared" si="760"/>
        <v>0</v>
      </c>
      <c r="AG272">
        <f t="shared" si="760"/>
        <v>6682.7759999999998</v>
      </c>
      <c r="AH272">
        <f t="shared" si="760"/>
        <v>0</v>
      </c>
      <c r="AI272">
        <f t="shared" si="760"/>
        <v>6895.84</v>
      </c>
      <c r="AJ272">
        <f t="shared" si="760"/>
        <v>0</v>
      </c>
      <c r="AK272">
        <f t="shared" si="760"/>
        <v>4700</v>
      </c>
      <c r="AL272">
        <f t="shared" si="760"/>
        <v>0</v>
      </c>
      <c r="AM272">
        <f t="shared" si="760"/>
        <v>6768</v>
      </c>
      <c r="AN272">
        <f t="shared" si="760"/>
        <v>6768</v>
      </c>
      <c r="AO272">
        <f t="shared" si="760"/>
        <v>6768</v>
      </c>
      <c r="AP272">
        <f t="shared" si="760"/>
        <v>6768</v>
      </c>
      <c r="AQ272">
        <f t="shared" si="760"/>
        <v>0</v>
      </c>
      <c r="AR272">
        <f t="shared" si="760"/>
        <v>0</v>
      </c>
      <c r="AS272">
        <f t="shared" si="760"/>
        <v>0</v>
      </c>
      <c r="AT272">
        <f t="shared" si="760"/>
        <v>0</v>
      </c>
      <c r="AU272">
        <f t="shared" si="760"/>
        <v>6768</v>
      </c>
      <c r="AV272">
        <f t="shared" si="760"/>
        <v>0</v>
      </c>
      <c r="AW272">
        <f t="shared" si="760"/>
        <v>0</v>
      </c>
      <c r="AX272">
        <f t="shared" si="760"/>
        <v>6768</v>
      </c>
      <c r="AY272">
        <f t="shared" ref="AY272:BJ272" si="761">AY269*AY296</f>
        <v>0</v>
      </c>
      <c r="AZ272">
        <f t="shared" si="761"/>
        <v>6552</v>
      </c>
      <c r="BA272">
        <f t="shared" si="761"/>
        <v>0</v>
      </c>
      <c r="BB272">
        <f t="shared" si="761"/>
        <v>0</v>
      </c>
      <c r="BC272">
        <f t="shared" si="761"/>
        <v>0</v>
      </c>
      <c r="BD272">
        <f t="shared" si="761"/>
        <v>0</v>
      </c>
      <c r="BE272">
        <f t="shared" si="761"/>
        <v>0</v>
      </c>
      <c r="BF272">
        <f t="shared" si="761"/>
        <v>0</v>
      </c>
      <c r="BG272">
        <f t="shared" si="761"/>
        <v>6552</v>
      </c>
      <c r="BH272">
        <f t="shared" si="761"/>
        <v>0</v>
      </c>
      <c r="BI272">
        <f t="shared" si="761"/>
        <v>0</v>
      </c>
      <c r="BJ272">
        <f t="shared" si="761"/>
        <v>1820</v>
      </c>
    </row>
    <row r="274" spans="2:62" outlineLevel="1">
      <c r="B274" s="54" t="s">
        <v>434</v>
      </c>
    </row>
    <row r="275" spans="2:62" outlineLevel="1">
      <c r="B275" t="s">
        <v>290</v>
      </c>
      <c r="C275" s="80">
        <v>0</v>
      </c>
      <c r="D275" s="62">
        <f t="shared" ref="D275:O275" si="762">+C278</f>
        <v>0</v>
      </c>
      <c r="E275" s="62">
        <f t="shared" si="762"/>
        <v>0</v>
      </c>
      <c r="F275" s="62">
        <f t="shared" si="762"/>
        <v>0</v>
      </c>
      <c r="G275" s="62">
        <f t="shared" si="762"/>
        <v>0</v>
      </c>
      <c r="H275" s="62">
        <f t="shared" si="762"/>
        <v>0</v>
      </c>
      <c r="I275" s="62">
        <f t="shared" si="762"/>
        <v>0</v>
      </c>
      <c r="J275" s="62">
        <f t="shared" si="762"/>
        <v>0</v>
      </c>
      <c r="K275" s="62">
        <f t="shared" si="762"/>
        <v>0</v>
      </c>
      <c r="L275" s="62">
        <f t="shared" si="762"/>
        <v>0</v>
      </c>
      <c r="M275" s="62">
        <f t="shared" si="762"/>
        <v>0</v>
      </c>
      <c r="N275" s="62">
        <f t="shared" si="762"/>
        <v>0</v>
      </c>
      <c r="O275" s="62">
        <f t="shared" si="762"/>
        <v>0</v>
      </c>
      <c r="P275" s="80">
        <v>7150</v>
      </c>
      <c r="Q275" s="62">
        <f t="shared" ref="Q275:AW275" si="763">+P278</f>
        <v>1663</v>
      </c>
      <c r="R275" s="62">
        <f t="shared" si="763"/>
        <v>14603</v>
      </c>
      <c r="S275" s="62">
        <f t="shared" si="763"/>
        <v>9271</v>
      </c>
      <c r="T275" s="80">
        <f>+S278-4032</f>
        <v>0</v>
      </c>
      <c r="U275" s="62">
        <f t="shared" si="763"/>
        <v>0</v>
      </c>
      <c r="V275" s="62">
        <f t="shared" si="763"/>
        <v>0</v>
      </c>
      <c r="W275" s="62">
        <f t="shared" si="763"/>
        <v>0</v>
      </c>
      <c r="X275" s="62">
        <f t="shared" si="763"/>
        <v>0</v>
      </c>
      <c r="Y275" s="62">
        <f t="shared" si="763"/>
        <v>0</v>
      </c>
      <c r="Z275" s="62">
        <f t="shared" si="763"/>
        <v>0</v>
      </c>
      <c r="AA275" s="62">
        <f t="shared" si="763"/>
        <v>0</v>
      </c>
      <c r="AB275" s="62">
        <f t="shared" si="763"/>
        <v>0</v>
      </c>
      <c r="AC275" s="62">
        <f t="shared" si="763"/>
        <v>5000</v>
      </c>
      <c r="AD275" s="62">
        <f t="shared" si="763"/>
        <v>3886.7000000000007</v>
      </c>
      <c r="AE275" s="62">
        <f t="shared" si="763"/>
        <v>5254.2000000000007</v>
      </c>
      <c r="AF275" s="62">
        <f t="shared" si="763"/>
        <v>5961.4</v>
      </c>
      <c r="AG275" s="80">
        <v>0</v>
      </c>
      <c r="AH275" s="62">
        <f t="shared" si="763"/>
        <v>0</v>
      </c>
      <c r="AI275" s="62">
        <f t="shared" si="763"/>
        <v>0</v>
      </c>
      <c r="AJ275" s="62">
        <f t="shared" si="763"/>
        <v>0</v>
      </c>
      <c r="AK275" s="62">
        <f t="shared" si="763"/>
        <v>0</v>
      </c>
      <c r="AL275" s="62">
        <f t="shared" si="763"/>
        <v>0</v>
      </c>
      <c r="AM275" s="62">
        <f t="shared" si="763"/>
        <v>0</v>
      </c>
      <c r="AN275" s="62">
        <f t="shared" si="763"/>
        <v>0</v>
      </c>
      <c r="AO275" s="62">
        <f t="shared" si="763"/>
        <v>5068.2800000000007</v>
      </c>
      <c r="AP275" s="62">
        <f t="shared" si="763"/>
        <v>4368.2799999999988</v>
      </c>
      <c r="AQ275" s="62">
        <f t="shared" si="763"/>
        <v>589.15999999999985</v>
      </c>
      <c r="AR275" s="62">
        <f t="shared" si="763"/>
        <v>7.7099999999991269</v>
      </c>
      <c r="AS275" s="62">
        <f t="shared" si="763"/>
        <v>7.7099999999991269</v>
      </c>
      <c r="AT275" s="62">
        <f t="shared" si="763"/>
        <v>7.7099999999991269</v>
      </c>
      <c r="AU275" s="62">
        <f t="shared" si="763"/>
        <v>7.7099999999991269</v>
      </c>
      <c r="AV275" s="62">
        <f t="shared" si="763"/>
        <v>7.7099999999991269</v>
      </c>
      <c r="AW275" s="62">
        <f t="shared" si="763"/>
        <v>7.7099999999991269</v>
      </c>
      <c r="AX275" s="80">
        <v>0</v>
      </c>
      <c r="AY275" s="62">
        <f t="shared" ref="AY275:BJ275" si="764">+AX278</f>
        <v>0</v>
      </c>
      <c r="AZ275" s="62">
        <f t="shared" si="764"/>
        <v>0</v>
      </c>
      <c r="BA275" s="62">
        <f t="shared" si="764"/>
        <v>4561.93</v>
      </c>
      <c r="BB275" s="62">
        <f t="shared" si="764"/>
        <v>4611.93</v>
      </c>
      <c r="BC275" s="62">
        <f t="shared" si="764"/>
        <v>-1736.5900000000038</v>
      </c>
      <c r="BD275" s="62">
        <f t="shared" si="764"/>
        <v>5.7599999999947613</v>
      </c>
      <c r="BE275" s="62">
        <f t="shared" si="764"/>
        <v>5.7599999999947613</v>
      </c>
      <c r="BF275" s="62">
        <f t="shared" si="764"/>
        <v>5.7599999999947613</v>
      </c>
      <c r="BG275" s="62">
        <f t="shared" si="764"/>
        <v>5.7599999999947613</v>
      </c>
      <c r="BH275" s="62">
        <f t="shared" si="764"/>
        <v>5.7599999999947613</v>
      </c>
      <c r="BI275" s="62">
        <f t="shared" si="764"/>
        <v>5.7599999999947613</v>
      </c>
      <c r="BJ275" s="62">
        <f t="shared" si="764"/>
        <v>5.7599999999947613</v>
      </c>
    </row>
    <row r="276" spans="2:62" outlineLevel="1">
      <c r="B276" t="s">
        <v>291</v>
      </c>
      <c r="C276" s="80"/>
      <c r="D276" s="80"/>
      <c r="E276" s="80"/>
      <c r="F276" s="80"/>
      <c r="G276" s="80"/>
      <c r="H276" s="80"/>
      <c r="I276" s="80"/>
      <c r="J276" s="80"/>
      <c r="K276" s="80"/>
      <c r="L276" s="80"/>
      <c r="M276" s="80"/>
      <c r="N276" s="80"/>
      <c r="O276" s="80"/>
      <c r="P276" s="80"/>
      <c r="Q276" s="80">
        <f>2000+16220</f>
        <v>18220</v>
      </c>
      <c r="R276" s="80"/>
      <c r="S276" s="80"/>
      <c r="T276" s="80"/>
      <c r="U276" s="80"/>
      <c r="V276" s="80"/>
      <c r="W276" s="80"/>
      <c r="X276" s="80"/>
      <c r="Y276" s="80"/>
      <c r="Z276" s="80"/>
      <c r="AA276" s="474"/>
      <c r="AB276" s="509">
        <v>5000</v>
      </c>
      <c r="AC276" s="509">
        <f>6075</f>
        <v>6075</v>
      </c>
      <c r="AD276" s="509">
        <v>14000</v>
      </c>
      <c r="AE276" s="509">
        <v>14000</v>
      </c>
      <c r="AF276" s="474"/>
      <c r="AG276" s="474"/>
      <c r="AH276" s="474"/>
      <c r="AI276" s="474"/>
      <c r="AJ276" s="474"/>
      <c r="AK276" s="474"/>
      <c r="AL276" s="474"/>
      <c r="AM276" s="474"/>
      <c r="AN276" s="474">
        <v>14000</v>
      </c>
      <c r="AO276" s="474">
        <v>14000</v>
      </c>
      <c r="AP276" s="474">
        <v>14000</v>
      </c>
      <c r="AQ276" s="474">
        <v>8500</v>
      </c>
      <c r="AR276" s="80"/>
      <c r="AS276" s="80"/>
      <c r="AT276" s="80"/>
      <c r="AU276" s="80"/>
      <c r="AV276" s="80"/>
      <c r="AW276" s="80"/>
      <c r="AX276" s="80"/>
      <c r="AY276" s="474"/>
      <c r="AZ276" s="474">
        <v>16000</v>
      </c>
      <c r="BA276" s="474">
        <v>20000</v>
      </c>
      <c r="BB276" s="474">
        <v>16000</v>
      </c>
      <c r="BC276" s="474">
        <v>13000</v>
      </c>
      <c r="BD276" s="80"/>
      <c r="BE276" s="80"/>
      <c r="BF276" s="80"/>
      <c r="BG276" s="80"/>
      <c r="BH276" s="80"/>
      <c r="BI276" s="80"/>
      <c r="BJ276" s="80"/>
    </row>
    <row r="277" spans="2:62" outlineLevel="1">
      <c r="B277" t="s">
        <v>292</v>
      </c>
      <c r="C277" s="62">
        <f t="shared" ref="C277:AX277" si="765">-C207</f>
        <v>0</v>
      </c>
      <c r="D277" s="62">
        <f t="shared" si="765"/>
        <v>0</v>
      </c>
      <c r="E277" s="62">
        <f t="shared" si="765"/>
        <v>0</v>
      </c>
      <c r="F277" s="62">
        <f t="shared" si="765"/>
        <v>0</v>
      </c>
      <c r="G277" s="62">
        <f t="shared" si="765"/>
        <v>0</v>
      </c>
      <c r="H277" s="62">
        <f t="shared" si="765"/>
        <v>0</v>
      </c>
      <c r="I277" s="62">
        <f t="shared" si="765"/>
        <v>0</v>
      </c>
      <c r="J277" s="62">
        <f t="shared" si="765"/>
        <v>0</v>
      </c>
      <c r="K277" s="62">
        <f t="shared" si="765"/>
        <v>0</v>
      </c>
      <c r="L277" s="62">
        <f t="shared" si="765"/>
        <v>0</v>
      </c>
      <c r="M277" s="62">
        <f t="shared" si="765"/>
        <v>0</v>
      </c>
      <c r="N277" s="62">
        <f t="shared" si="765"/>
        <v>0</v>
      </c>
      <c r="O277" s="62">
        <f t="shared" si="765"/>
        <v>0</v>
      </c>
      <c r="P277" s="62">
        <f t="shared" si="765"/>
        <v>-5487</v>
      </c>
      <c r="Q277" s="62">
        <f t="shared" si="765"/>
        <v>-5280</v>
      </c>
      <c r="R277" s="62">
        <f t="shared" si="765"/>
        <v>-5332</v>
      </c>
      <c r="S277" s="62">
        <f t="shared" si="765"/>
        <v>-5239</v>
      </c>
      <c r="T277" s="62">
        <f t="shared" si="765"/>
        <v>0</v>
      </c>
      <c r="U277" s="62">
        <f t="shared" si="765"/>
        <v>0</v>
      </c>
      <c r="V277" s="62">
        <f t="shared" si="765"/>
        <v>0</v>
      </c>
      <c r="W277" s="62">
        <f t="shared" si="765"/>
        <v>0</v>
      </c>
      <c r="X277" s="62">
        <f t="shared" si="765"/>
        <v>0</v>
      </c>
      <c r="Y277" s="62">
        <f t="shared" si="765"/>
        <v>0</v>
      </c>
      <c r="Z277" s="62">
        <f t="shared" si="765"/>
        <v>0</v>
      </c>
      <c r="AA277" s="62">
        <f t="shared" si="765"/>
        <v>0</v>
      </c>
      <c r="AB277" s="62">
        <f t="shared" si="765"/>
        <v>0</v>
      </c>
      <c r="AC277" s="62">
        <f t="shared" si="765"/>
        <v>-7188.2999999999993</v>
      </c>
      <c r="AD277" s="62">
        <f t="shared" si="765"/>
        <v>-12632.5</v>
      </c>
      <c r="AE277" s="62">
        <f t="shared" si="765"/>
        <v>-13292.800000000001</v>
      </c>
      <c r="AF277" s="62">
        <f t="shared" si="765"/>
        <v>-5972.4000000000005</v>
      </c>
      <c r="AG277" s="62">
        <f t="shared" si="765"/>
        <v>0</v>
      </c>
      <c r="AH277" s="62">
        <f t="shared" si="765"/>
        <v>0</v>
      </c>
      <c r="AI277" s="62">
        <f t="shared" si="765"/>
        <v>0</v>
      </c>
      <c r="AJ277" s="62">
        <f t="shared" si="765"/>
        <v>0</v>
      </c>
      <c r="AK277" s="62">
        <f t="shared" si="765"/>
        <v>0</v>
      </c>
      <c r="AL277" s="62">
        <f t="shared" si="765"/>
        <v>0</v>
      </c>
      <c r="AM277" s="62">
        <f t="shared" si="765"/>
        <v>0</v>
      </c>
      <c r="AN277" s="62">
        <f t="shared" si="765"/>
        <v>-8931.7199999999993</v>
      </c>
      <c r="AO277" s="62">
        <f t="shared" si="765"/>
        <v>-14700</v>
      </c>
      <c r="AP277" s="62">
        <f t="shared" si="765"/>
        <v>-17779.12</v>
      </c>
      <c r="AQ277" s="62">
        <f t="shared" si="765"/>
        <v>-9081.4500000000007</v>
      </c>
      <c r="AR277" s="62">
        <f t="shared" si="765"/>
        <v>0</v>
      </c>
      <c r="AS277" s="62">
        <f t="shared" si="765"/>
        <v>0</v>
      </c>
      <c r="AT277" s="62">
        <f t="shared" si="765"/>
        <v>0</v>
      </c>
      <c r="AU277" s="62">
        <f t="shared" si="765"/>
        <v>0</v>
      </c>
      <c r="AV277" s="62">
        <f t="shared" si="765"/>
        <v>0</v>
      </c>
      <c r="AW277" s="62">
        <f t="shared" si="765"/>
        <v>0</v>
      </c>
      <c r="AX277" s="62">
        <f t="shared" si="765"/>
        <v>0</v>
      </c>
      <c r="AY277" s="62">
        <f t="shared" ref="AY277:BJ277" si="766">-AY207</f>
        <v>0</v>
      </c>
      <c r="AZ277" s="62">
        <f t="shared" si="766"/>
        <v>-11438.07</v>
      </c>
      <c r="BA277" s="62">
        <f t="shared" si="766"/>
        <v>-19950</v>
      </c>
      <c r="BB277" s="62">
        <f t="shared" si="766"/>
        <v>-22348.520000000004</v>
      </c>
      <c r="BC277" s="62">
        <f t="shared" si="766"/>
        <v>-11257.650000000001</v>
      </c>
      <c r="BD277" s="62">
        <f t="shared" si="766"/>
        <v>0</v>
      </c>
      <c r="BE277" s="62">
        <f t="shared" si="766"/>
        <v>0</v>
      </c>
      <c r="BF277" s="62">
        <f t="shared" si="766"/>
        <v>0</v>
      </c>
      <c r="BG277" s="62">
        <f t="shared" si="766"/>
        <v>0</v>
      </c>
      <c r="BH277" s="62">
        <f t="shared" si="766"/>
        <v>0</v>
      </c>
      <c r="BI277" s="62">
        <f t="shared" si="766"/>
        <v>0</v>
      </c>
      <c r="BJ277" s="62">
        <f t="shared" si="766"/>
        <v>0</v>
      </c>
    </row>
    <row r="278" spans="2:62" outlineLevel="1">
      <c r="B278" t="s">
        <v>293</v>
      </c>
      <c r="C278" s="62">
        <f t="shared" ref="C278:AX278" si="767">SUM(C275:C277)</f>
        <v>0</v>
      </c>
      <c r="D278" s="62">
        <f t="shared" si="767"/>
        <v>0</v>
      </c>
      <c r="E278" s="62">
        <f t="shared" si="767"/>
        <v>0</v>
      </c>
      <c r="F278" s="62">
        <f t="shared" si="767"/>
        <v>0</v>
      </c>
      <c r="G278" s="62">
        <f t="shared" si="767"/>
        <v>0</v>
      </c>
      <c r="H278" s="62">
        <f t="shared" si="767"/>
        <v>0</v>
      </c>
      <c r="I278" s="62">
        <f t="shared" si="767"/>
        <v>0</v>
      </c>
      <c r="J278" s="62">
        <f t="shared" si="767"/>
        <v>0</v>
      </c>
      <c r="K278" s="62">
        <f t="shared" si="767"/>
        <v>0</v>
      </c>
      <c r="L278" s="62">
        <f t="shared" si="767"/>
        <v>0</v>
      </c>
      <c r="M278" s="62">
        <f t="shared" si="767"/>
        <v>0</v>
      </c>
      <c r="N278" s="62">
        <f t="shared" si="767"/>
        <v>0</v>
      </c>
      <c r="O278" s="62">
        <f t="shared" si="767"/>
        <v>0</v>
      </c>
      <c r="P278" s="62">
        <f t="shared" si="767"/>
        <v>1663</v>
      </c>
      <c r="Q278" s="62">
        <f t="shared" si="767"/>
        <v>14603</v>
      </c>
      <c r="R278" s="62">
        <f t="shared" si="767"/>
        <v>9271</v>
      </c>
      <c r="S278" s="62">
        <f t="shared" si="767"/>
        <v>4032</v>
      </c>
      <c r="T278" s="62">
        <f t="shared" si="767"/>
        <v>0</v>
      </c>
      <c r="U278" s="62">
        <f t="shared" si="767"/>
        <v>0</v>
      </c>
      <c r="V278" s="62">
        <f t="shared" si="767"/>
        <v>0</v>
      </c>
      <c r="W278" s="62">
        <f t="shared" si="767"/>
        <v>0</v>
      </c>
      <c r="X278" s="62">
        <f t="shared" si="767"/>
        <v>0</v>
      </c>
      <c r="Y278" s="62">
        <f t="shared" si="767"/>
        <v>0</v>
      </c>
      <c r="Z278" s="62">
        <f t="shared" si="767"/>
        <v>0</v>
      </c>
      <c r="AA278" s="62">
        <f t="shared" si="767"/>
        <v>0</v>
      </c>
      <c r="AB278" s="62">
        <f t="shared" si="767"/>
        <v>5000</v>
      </c>
      <c r="AC278" s="62">
        <f t="shared" si="767"/>
        <v>3886.7000000000007</v>
      </c>
      <c r="AD278" s="62">
        <f t="shared" si="767"/>
        <v>5254.2000000000007</v>
      </c>
      <c r="AE278" s="62">
        <f t="shared" si="767"/>
        <v>5961.4</v>
      </c>
      <c r="AF278" s="62">
        <f t="shared" si="767"/>
        <v>-11.000000000000909</v>
      </c>
      <c r="AG278" s="62">
        <f t="shared" si="767"/>
        <v>0</v>
      </c>
      <c r="AH278" s="62">
        <f t="shared" si="767"/>
        <v>0</v>
      </c>
      <c r="AI278" s="62">
        <f t="shared" si="767"/>
        <v>0</v>
      </c>
      <c r="AJ278" s="62">
        <f t="shared" si="767"/>
        <v>0</v>
      </c>
      <c r="AK278" s="62">
        <f t="shared" si="767"/>
        <v>0</v>
      </c>
      <c r="AL278" s="62">
        <f t="shared" si="767"/>
        <v>0</v>
      </c>
      <c r="AM278" s="62">
        <f t="shared" si="767"/>
        <v>0</v>
      </c>
      <c r="AN278" s="62">
        <f t="shared" si="767"/>
        <v>5068.2800000000007</v>
      </c>
      <c r="AO278" s="62">
        <f t="shared" si="767"/>
        <v>4368.2799999999988</v>
      </c>
      <c r="AP278" s="62">
        <f t="shared" si="767"/>
        <v>589.15999999999985</v>
      </c>
      <c r="AQ278" s="62">
        <f t="shared" si="767"/>
        <v>7.7099999999991269</v>
      </c>
      <c r="AR278" s="62">
        <f t="shared" si="767"/>
        <v>7.7099999999991269</v>
      </c>
      <c r="AS278" s="62">
        <f t="shared" si="767"/>
        <v>7.7099999999991269</v>
      </c>
      <c r="AT278" s="62">
        <f t="shared" si="767"/>
        <v>7.7099999999991269</v>
      </c>
      <c r="AU278" s="62">
        <f t="shared" si="767"/>
        <v>7.7099999999991269</v>
      </c>
      <c r="AV278" s="62">
        <f t="shared" si="767"/>
        <v>7.7099999999991269</v>
      </c>
      <c r="AW278" s="62">
        <f t="shared" si="767"/>
        <v>7.7099999999991269</v>
      </c>
      <c r="AX278" s="62">
        <f t="shared" si="767"/>
        <v>0</v>
      </c>
      <c r="AY278" s="62">
        <f t="shared" ref="AY278:BJ278" si="768">SUM(AY275:AY277)</f>
        <v>0</v>
      </c>
      <c r="AZ278" s="62">
        <f t="shared" si="768"/>
        <v>4561.93</v>
      </c>
      <c r="BA278" s="62">
        <f t="shared" si="768"/>
        <v>4611.93</v>
      </c>
      <c r="BB278" s="62">
        <f t="shared" si="768"/>
        <v>-1736.5900000000038</v>
      </c>
      <c r="BC278" s="62">
        <f t="shared" si="768"/>
        <v>5.7599999999947613</v>
      </c>
      <c r="BD278" s="62">
        <f t="shared" si="768"/>
        <v>5.7599999999947613</v>
      </c>
      <c r="BE278" s="62">
        <f t="shared" si="768"/>
        <v>5.7599999999947613</v>
      </c>
      <c r="BF278" s="62">
        <f t="shared" si="768"/>
        <v>5.7599999999947613</v>
      </c>
      <c r="BG278" s="62">
        <f t="shared" si="768"/>
        <v>5.7599999999947613</v>
      </c>
      <c r="BH278" s="62">
        <f t="shared" si="768"/>
        <v>5.7599999999947613</v>
      </c>
      <c r="BI278" s="62">
        <f t="shared" si="768"/>
        <v>5.7599999999947613</v>
      </c>
      <c r="BJ278" s="62">
        <f t="shared" si="768"/>
        <v>5.7599999999947613</v>
      </c>
    </row>
    <row r="279" spans="2:62" outlineLevel="1">
      <c r="B279" t="s">
        <v>222</v>
      </c>
      <c r="C279">
        <f t="shared" ref="C279:AX279" si="769">C276*C297</f>
        <v>0</v>
      </c>
      <c r="D279">
        <f t="shared" si="769"/>
        <v>0</v>
      </c>
      <c r="E279">
        <f t="shared" si="769"/>
        <v>0</v>
      </c>
      <c r="F279">
        <f t="shared" si="769"/>
        <v>0</v>
      </c>
      <c r="G279">
        <f t="shared" si="769"/>
        <v>0</v>
      </c>
      <c r="H279">
        <f t="shared" si="769"/>
        <v>0</v>
      </c>
      <c r="I279">
        <f t="shared" si="769"/>
        <v>0</v>
      </c>
      <c r="J279">
        <f t="shared" si="769"/>
        <v>0</v>
      </c>
      <c r="K279">
        <f t="shared" si="769"/>
        <v>0</v>
      </c>
      <c r="L279">
        <f t="shared" si="769"/>
        <v>0</v>
      </c>
      <c r="M279">
        <f t="shared" si="769"/>
        <v>0</v>
      </c>
      <c r="N279">
        <f t="shared" si="769"/>
        <v>0</v>
      </c>
      <c r="O279">
        <f t="shared" si="769"/>
        <v>0</v>
      </c>
      <c r="P279">
        <f t="shared" si="769"/>
        <v>0</v>
      </c>
      <c r="Q279">
        <f t="shared" si="769"/>
        <v>6140.14</v>
      </c>
      <c r="R279">
        <f t="shared" si="769"/>
        <v>0</v>
      </c>
      <c r="S279">
        <f t="shared" si="769"/>
        <v>0</v>
      </c>
      <c r="T279">
        <f>T276*T297</f>
        <v>0</v>
      </c>
      <c r="U279">
        <f t="shared" si="769"/>
        <v>0</v>
      </c>
      <c r="V279">
        <f t="shared" si="769"/>
        <v>0</v>
      </c>
      <c r="W279">
        <f t="shared" si="769"/>
        <v>0</v>
      </c>
      <c r="X279">
        <f t="shared" si="769"/>
        <v>0</v>
      </c>
      <c r="Y279">
        <f t="shared" si="769"/>
        <v>0</v>
      </c>
      <c r="Z279">
        <f t="shared" si="769"/>
        <v>0</v>
      </c>
      <c r="AA279">
        <f t="shared" si="769"/>
        <v>0</v>
      </c>
      <c r="AB279">
        <f t="shared" si="769"/>
        <v>1625</v>
      </c>
      <c r="AC279">
        <f t="shared" si="769"/>
        <v>2156.625</v>
      </c>
      <c r="AD279">
        <f t="shared" si="769"/>
        <v>4970</v>
      </c>
      <c r="AE279">
        <f t="shared" si="769"/>
        <v>4970</v>
      </c>
      <c r="AF279">
        <f t="shared" si="769"/>
        <v>0</v>
      </c>
      <c r="AG279">
        <f t="shared" si="769"/>
        <v>0</v>
      </c>
      <c r="AH279">
        <f t="shared" si="769"/>
        <v>0</v>
      </c>
      <c r="AI279">
        <f t="shared" si="769"/>
        <v>0</v>
      </c>
      <c r="AJ279">
        <f t="shared" si="769"/>
        <v>0</v>
      </c>
      <c r="AK279">
        <f t="shared" si="769"/>
        <v>0</v>
      </c>
      <c r="AL279">
        <f t="shared" si="769"/>
        <v>0</v>
      </c>
      <c r="AM279">
        <f t="shared" si="769"/>
        <v>0</v>
      </c>
      <c r="AN279">
        <f t="shared" si="769"/>
        <v>4970</v>
      </c>
      <c r="AO279">
        <f t="shared" si="769"/>
        <v>4970</v>
      </c>
      <c r="AP279">
        <f t="shared" si="769"/>
        <v>4970</v>
      </c>
      <c r="AQ279">
        <f t="shared" si="769"/>
        <v>3017.5</v>
      </c>
      <c r="AR279">
        <f t="shared" si="769"/>
        <v>0</v>
      </c>
      <c r="AS279">
        <f t="shared" si="769"/>
        <v>0</v>
      </c>
      <c r="AT279">
        <f t="shared" si="769"/>
        <v>0</v>
      </c>
      <c r="AU279">
        <f t="shared" si="769"/>
        <v>0</v>
      </c>
      <c r="AV279">
        <f t="shared" si="769"/>
        <v>0</v>
      </c>
      <c r="AW279">
        <f t="shared" si="769"/>
        <v>0</v>
      </c>
      <c r="AX279">
        <f t="shared" si="769"/>
        <v>0</v>
      </c>
      <c r="AY279">
        <f t="shared" ref="AY279:BJ279" si="770">AY276*AY297</f>
        <v>0</v>
      </c>
      <c r="AZ279">
        <f t="shared" si="770"/>
        <v>5680</v>
      </c>
      <c r="BA279">
        <f t="shared" si="770"/>
        <v>7100</v>
      </c>
      <c r="BB279">
        <f t="shared" si="770"/>
        <v>5680</v>
      </c>
      <c r="BC279">
        <f t="shared" si="770"/>
        <v>4615</v>
      </c>
      <c r="BD279">
        <f t="shared" si="770"/>
        <v>0</v>
      </c>
      <c r="BE279">
        <f t="shared" si="770"/>
        <v>0</v>
      </c>
      <c r="BF279">
        <f t="shared" si="770"/>
        <v>0</v>
      </c>
      <c r="BG279">
        <f t="shared" si="770"/>
        <v>0</v>
      </c>
      <c r="BH279">
        <f t="shared" si="770"/>
        <v>0</v>
      </c>
      <c r="BI279">
        <f t="shared" si="770"/>
        <v>0</v>
      </c>
      <c r="BJ279">
        <f t="shared" si="770"/>
        <v>0</v>
      </c>
    </row>
    <row r="281" spans="2:62">
      <c r="B281" s="82" t="s">
        <v>298</v>
      </c>
    </row>
    <row r="282" spans="2:62">
      <c r="B282" s="83" t="s">
        <v>299</v>
      </c>
      <c r="C282" s="467">
        <f>(3.5+2.6)/2</f>
        <v>3.05</v>
      </c>
      <c r="D282" s="467">
        <f t="shared" ref="D282:F282" si="771">(3.5+2.6)/2</f>
        <v>3.05</v>
      </c>
      <c r="E282" s="467">
        <f t="shared" si="771"/>
        <v>3.05</v>
      </c>
      <c r="F282" s="467">
        <f t="shared" si="771"/>
        <v>3.05</v>
      </c>
      <c r="G282" s="467">
        <f>((4.1+4.22)/2+(2.91+3.03)/2)/2</f>
        <v>3.5649999999999999</v>
      </c>
      <c r="H282" s="467">
        <f t="shared" ref="H282:O282" si="772">((4.1+4.22)/2+(2.91+3.03)/2)/2</f>
        <v>3.5649999999999999</v>
      </c>
      <c r="I282" s="467">
        <f t="shared" si="772"/>
        <v>3.5649999999999999</v>
      </c>
      <c r="J282" s="467">
        <f t="shared" si="772"/>
        <v>3.5649999999999999</v>
      </c>
      <c r="K282" s="467">
        <f t="shared" si="772"/>
        <v>3.5649999999999999</v>
      </c>
      <c r="L282" s="467">
        <f t="shared" si="772"/>
        <v>3.5649999999999999</v>
      </c>
      <c r="M282" s="467">
        <f t="shared" si="772"/>
        <v>3.5649999999999999</v>
      </c>
      <c r="N282" s="467">
        <f t="shared" si="772"/>
        <v>3.5649999999999999</v>
      </c>
      <c r="O282" s="467">
        <f t="shared" si="772"/>
        <v>3.5649999999999999</v>
      </c>
      <c r="P282" s="467">
        <f>((4.3+4.42)/2+(3.17+3.29)/2)/2</f>
        <v>3.7949999999999999</v>
      </c>
      <c r="Q282" s="467">
        <f t="shared" ref="Q282:T282" si="773">((4.3+4.42)/2+(3.17+3.29)/2)/2</f>
        <v>3.7949999999999999</v>
      </c>
      <c r="R282" s="467">
        <f t="shared" si="773"/>
        <v>3.7949999999999999</v>
      </c>
      <c r="S282" s="467">
        <f>((4.3+4.42)/2+(3.17+3.29)/2)/2</f>
        <v>3.7949999999999999</v>
      </c>
      <c r="T282" s="467">
        <f t="shared" si="773"/>
        <v>3.7949999999999999</v>
      </c>
      <c r="U282" s="467">
        <f>((5.93+6.05)/2+(4.78+4.9)/2)/2</f>
        <v>5.415</v>
      </c>
      <c r="V282" s="467">
        <f t="shared" ref="V282:X282" si="774">((5.93+6.05)/2+(4.78+4.9)/2)/2</f>
        <v>5.415</v>
      </c>
      <c r="W282" s="467">
        <f t="shared" si="774"/>
        <v>5.415</v>
      </c>
      <c r="X282" s="467">
        <f t="shared" si="774"/>
        <v>5.415</v>
      </c>
      <c r="Y282" s="467">
        <f>((5.93+6.05)/2+(4.86+4.98)/2)/2</f>
        <v>5.4550000000000001</v>
      </c>
      <c r="Z282" s="467">
        <f>((5.93+6.05)/2+(4.86+4.98)/2)/2</f>
        <v>5.4550000000000001</v>
      </c>
      <c r="AA282" s="467">
        <f>((5.93+6.05)/2+(4.86+4.98)/2)/2</f>
        <v>5.4550000000000001</v>
      </c>
      <c r="AB282" s="467">
        <f>((6.2+6.32)/2+(5.19+5.31)/2)/2</f>
        <v>5.7549999999999999</v>
      </c>
      <c r="AC282" s="467">
        <f>((6.3+6.42)/2+(5.43+5.56)/2)/2</f>
        <v>5.9274999999999993</v>
      </c>
      <c r="AD282" s="467">
        <f t="shared" ref="AD282:AL282" si="775">AC282</f>
        <v>5.9274999999999993</v>
      </c>
      <c r="AE282" s="467">
        <f t="shared" si="775"/>
        <v>5.9274999999999993</v>
      </c>
      <c r="AF282" s="467">
        <f t="shared" si="775"/>
        <v>5.9274999999999993</v>
      </c>
      <c r="AG282" s="467">
        <f t="shared" si="775"/>
        <v>5.9274999999999993</v>
      </c>
      <c r="AH282" s="467">
        <f t="shared" si="775"/>
        <v>5.9274999999999993</v>
      </c>
      <c r="AI282" s="467">
        <f t="shared" si="775"/>
        <v>5.9274999999999993</v>
      </c>
      <c r="AJ282" s="467">
        <f t="shared" si="775"/>
        <v>5.9274999999999993</v>
      </c>
      <c r="AK282" s="467">
        <f t="shared" si="775"/>
        <v>5.9274999999999993</v>
      </c>
      <c r="AL282" s="467">
        <f t="shared" si="775"/>
        <v>5.9274999999999993</v>
      </c>
      <c r="AM282" s="467">
        <f t="shared" ref="AM282" si="776">AL282</f>
        <v>5.9274999999999993</v>
      </c>
      <c r="AN282" s="467">
        <f t="shared" ref="AN282" si="777">AM282</f>
        <v>5.9274999999999993</v>
      </c>
      <c r="AO282" s="467">
        <f t="shared" ref="AO282" si="778">AN282</f>
        <v>5.9274999999999993</v>
      </c>
      <c r="AP282" s="467">
        <f t="shared" ref="AP282" si="779">AO282</f>
        <v>5.9274999999999993</v>
      </c>
      <c r="AQ282" s="467">
        <f t="shared" ref="AQ282" si="780">AP282</f>
        <v>5.9274999999999993</v>
      </c>
      <c r="AR282" s="467">
        <f t="shared" ref="AR282" si="781">AQ282</f>
        <v>5.9274999999999993</v>
      </c>
      <c r="AS282" s="467">
        <f t="shared" ref="AS282" si="782">AR282</f>
        <v>5.9274999999999993</v>
      </c>
      <c r="AT282" s="467">
        <f t="shared" ref="AT282" si="783">AS282</f>
        <v>5.9274999999999993</v>
      </c>
      <c r="AU282" s="467">
        <f t="shared" ref="AU282" si="784">AT282</f>
        <v>5.9274999999999993</v>
      </c>
      <c r="AV282" s="467">
        <f t="shared" ref="AV282" si="785">AU282</f>
        <v>5.9274999999999993</v>
      </c>
      <c r="AW282" s="467">
        <f t="shared" ref="AW282" si="786">AV282</f>
        <v>5.9274999999999993</v>
      </c>
      <c r="AX282" s="467">
        <f t="shared" ref="AX282" si="787">AW282</f>
        <v>5.9274999999999993</v>
      </c>
      <c r="AY282" s="467">
        <f t="shared" ref="AY282:BJ282" si="788">((5.93+6.05)/2+(4.78+4.9)/2)/2</f>
        <v>5.415</v>
      </c>
      <c r="AZ282" s="467">
        <f t="shared" si="788"/>
        <v>5.415</v>
      </c>
      <c r="BA282" s="467">
        <f t="shared" si="788"/>
        <v>5.415</v>
      </c>
      <c r="BB282" s="467">
        <f t="shared" si="788"/>
        <v>5.415</v>
      </c>
      <c r="BC282" s="467">
        <f t="shared" si="788"/>
        <v>5.415</v>
      </c>
      <c r="BD282" s="467">
        <f t="shared" si="788"/>
        <v>5.415</v>
      </c>
      <c r="BE282" s="467">
        <f t="shared" si="788"/>
        <v>5.415</v>
      </c>
      <c r="BF282" s="467">
        <f t="shared" si="788"/>
        <v>5.415</v>
      </c>
      <c r="BG282" s="467">
        <f t="shared" si="788"/>
        <v>5.415</v>
      </c>
      <c r="BH282" s="467">
        <f t="shared" si="788"/>
        <v>5.415</v>
      </c>
      <c r="BI282" s="467">
        <f t="shared" si="788"/>
        <v>5.415</v>
      </c>
      <c r="BJ282" s="467">
        <f t="shared" si="788"/>
        <v>5.415</v>
      </c>
    </row>
    <row r="283" spans="2:62">
      <c r="B283" s="83" t="s">
        <v>300</v>
      </c>
      <c r="C283" s="467">
        <f>(3.02+2.91)/2</f>
        <v>2.9649999999999999</v>
      </c>
      <c r="D283" s="467">
        <f t="shared" ref="D283:O283" si="789">(3.02+2.91)/2</f>
        <v>2.9649999999999999</v>
      </c>
      <c r="E283" s="467">
        <f t="shared" si="789"/>
        <v>2.9649999999999999</v>
      </c>
      <c r="F283" s="467">
        <f t="shared" si="789"/>
        <v>2.9649999999999999</v>
      </c>
      <c r="G283" s="467">
        <f t="shared" si="789"/>
        <v>2.9649999999999999</v>
      </c>
      <c r="H283" s="467">
        <f t="shared" si="789"/>
        <v>2.9649999999999999</v>
      </c>
      <c r="I283" s="467">
        <f t="shared" si="789"/>
        <v>2.9649999999999999</v>
      </c>
      <c r="J283" s="467">
        <f t="shared" si="789"/>
        <v>2.9649999999999999</v>
      </c>
      <c r="K283" s="467">
        <f t="shared" si="789"/>
        <v>2.9649999999999999</v>
      </c>
      <c r="L283" s="467">
        <f t="shared" si="789"/>
        <v>2.9649999999999999</v>
      </c>
      <c r="M283" s="467">
        <f t="shared" si="789"/>
        <v>2.9649999999999999</v>
      </c>
      <c r="N283" s="467">
        <f t="shared" si="789"/>
        <v>2.9649999999999999</v>
      </c>
      <c r="O283" s="467">
        <f t="shared" si="789"/>
        <v>2.9649999999999999</v>
      </c>
      <c r="P283" s="467">
        <f>(3.52+3.58)/2</f>
        <v>3.55</v>
      </c>
      <c r="Q283" s="467">
        <f t="shared" ref="Q283:X283" si="790">(3.52+3.58)/2</f>
        <v>3.55</v>
      </c>
      <c r="R283" s="467">
        <f t="shared" si="790"/>
        <v>3.55</v>
      </c>
      <c r="S283" s="467">
        <f t="shared" si="790"/>
        <v>3.55</v>
      </c>
      <c r="T283" s="467">
        <f t="shared" si="790"/>
        <v>3.55</v>
      </c>
      <c r="U283" s="467">
        <f t="shared" si="790"/>
        <v>3.55</v>
      </c>
      <c r="V283" s="467">
        <f t="shared" si="790"/>
        <v>3.55</v>
      </c>
      <c r="W283" s="467">
        <f t="shared" si="790"/>
        <v>3.55</v>
      </c>
      <c r="X283" s="467">
        <f t="shared" si="790"/>
        <v>3.55</v>
      </c>
      <c r="Y283" s="467">
        <f>(4.1+4.15)/2</f>
        <v>4.125</v>
      </c>
      <c r="Z283" s="467">
        <f t="shared" ref="Z283:AA283" si="791">(4.1+4.15)/2</f>
        <v>4.125</v>
      </c>
      <c r="AA283" s="467">
        <f t="shared" si="791"/>
        <v>4.125</v>
      </c>
      <c r="AB283" s="467">
        <f>(4.34+4.39)/2</f>
        <v>4.3650000000000002</v>
      </c>
      <c r="AC283" s="467">
        <f>(4.49+4.54)/2</f>
        <v>4.5150000000000006</v>
      </c>
      <c r="AD283" s="467">
        <f t="shared" ref="AD283:BJ283" si="792">AC283</f>
        <v>4.5150000000000006</v>
      </c>
      <c r="AE283" s="467">
        <f t="shared" si="792"/>
        <v>4.5150000000000006</v>
      </c>
      <c r="AF283" s="467">
        <f t="shared" si="792"/>
        <v>4.5150000000000006</v>
      </c>
      <c r="AG283" s="467">
        <f t="shared" si="792"/>
        <v>4.5150000000000006</v>
      </c>
      <c r="AH283" s="467">
        <f t="shared" si="792"/>
        <v>4.5150000000000006</v>
      </c>
      <c r="AI283" s="467">
        <f t="shared" si="792"/>
        <v>4.5150000000000006</v>
      </c>
      <c r="AJ283" s="467">
        <f t="shared" si="792"/>
        <v>4.5150000000000006</v>
      </c>
      <c r="AK283" s="467">
        <f t="shared" si="792"/>
        <v>4.5150000000000006</v>
      </c>
      <c r="AL283" s="467">
        <f t="shared" si="792"/>
        <v>4.5150000000000006</v>
      </c>
      <c r="AM283" s="467">
        <f t="shared" si="792"/>
        <v>4.5150000000000006</v>
      </c>
      <c r="AN283" s="467">
        <f t="shared" si="792"/>
        <v>4.5150000000000006</v>
      </c>
      <c r="AO283" s="467">
        <f t="shared" si="792"/>
        <v>4.5150000000000006</v>
      </c>
      <c r="AP283" s="467">
        <f t="shared" si="792"/>
        <v>4.5150000000000006</v>
      </c>
      <c r="AQ283" s="467">
        <f t="shared" si="792"/>
        <v>4.5150000000000006</v>
      </c>
      <c r="AR283" s="467">
        <f t="shared" si="792"/>
        <v>4.5150000000000006</v>
      </c>
      <c r="AS283" s="467">
        <f t="shared" si="792"/>
        <v>4.5150000000000006</v>
      </c>
      <c r="AT283" s="467">
        <f t="shared" si="792"/>
        <v>4.5150000000000006</v>
      </c>
      <c r="AU283" s="467">
        <f t="shared" si="792"/>
        <v>4.5150000000000006</v>
      </c>
      <c r="AV283" s="467">
        <f t="shared" si="792"/>
        <v>4.5150000000000006</v>
      </c>
      <c r="AW283" s="467">
        <f t="shared" si="792"/>
        <v>4.5150000000000006</v>
      </c>
      <c r="AX283" s="467">
        <f t="shared" si="792"/>
        <v>4.5150000000000006</v>
      </c>
      <c r="AY283" s="467">
        <f t="shared" si="792"/>
        <v>4.5150000000000006</v>
      </c>
      <c r="AZ283" s="467">
        <f t="shared" si="792"/>
        <v>4.5150000000000006</v>
      </c>
      <c r="BA283" s="467">
        <f t="shared" si="792"/>
        <v>4.5150000000000006</v>
      </c>
      <c r="BB283" s="467">
        <f t="shared" si="792"/>
        <v>4.5150000000000006</v>
      </c>
      <c r="BC283" s="467">
        <f t="shared" si="792"/>
        <v>4.5150000000000006</v>
      </c>
      <c r="BD283" s="467">
        <f t="shared" si="792"/>
        <v>4.5150000000000006</v>
      </c>
      <c r="BE283" s="467">
        <f t="shared" si="792"/>
        <v>4.5150000000000006</v>
      </c>
      <c r="BF283" s="467">
        <f t="shared" si="792"/>
        <v>4.5150000000000006</v>
      </c>
      <c r="BG283" s="467">
        <f t="shared" si="792"/>
        <v>4.5150000000000006</v>
      </c>
      <c r="BH283" s="467">
        <f t="shared" si="792"/>
        <v>4.5150000000000006</v>
      </c>
      <c r="BI283" s="467">
        <f t="shared" si="792"/>
        <v>4.5150000000000006</v>
      </c>
      <c r="BJ283" s="467">
        <f t="shared" si="792"/>
        <v>4.5150000000000006</v>
      </c>
    </row>
    <row r="284" spans="2:62">
      <c r="B284" s="83" t="s">
        <v>301</v>
      </c>
      <c r="C284" s="467">
        <v>5.5</v>
      </c>
      <c r="D284" s="467">
        <v>5.5</v>
      </c>
      <c r="E284" s="467">
        <v>5.5</v>
      </c>
      <c r="F284" s="467">
        <v>5.5</v>
      </c>
      <c r="G284" s="467">
        <v>5.5</v>
      </c>
      <c r="H284" s="467">
        <v>5.5</v>
      </c>
      <c r="I284" s="467">
        <v>5.5</v>
      </c>
      <c r="J284" s="467">
        <v>5.5</v>
      </c>
      <c r="K284" s="467">
        <v>5.5</v>
      </c>
      <c r="L284" s="467">
        <v>5.5</v>
      </c>
      <c r="M284" s="467">
        <v>5.5</v>
      </c>
      <c r="N284" s="467">
        <v>5.5</v>
      </c>
      <c r="O284" s="467">
        <v>5.5</v>
      </c>
      <c r="P284" s="467">
        <v>5.5</v>
      </c>
      <c r="Q284" s="467">
        <v>5.5</v>
      </c>
      <c r="R284" s="467">
        <v>5.5</v>
      </c>
      <c r="S284" s="467">
        <v>5.5</v>
      </c>
      <c r="T284" s="467">
        <v>5.5</v>
      </c>
      <c r="U284" s="467">
        <v>5.5</v>
      </c>
      <c r="V284" s="467">
        <v>5.5</v>
      </c>
      <c r="W284" s="467">
        <v>5.5</v>
      </c>
      <c r="X284" s="467">
        <v>5.5</v>
      </c>
      <c r="Y284" s="467">
        <v>6.9</v>
      </c>
      <c r="Z284" s="467">
        <v>6.9</v>
      </c>
      <c r="AA284" s="467">
        <v>6.9</v>
      </c>
      <c r="AB284" s="467">
        <v>6.9</v>
      </c>
      <c r="AC284" s="467">
        <v>7.41</v>
      </c>
      <c r="AD284" s="467">
        <f>AC284</f>
        <v>7.41</v>
      </c>
      <c r="AE284" s="467">
        <f t="shared" ref="AE284:BJ284" si="793">AD284</f>
        <v>7.41</v>
      </c>
      <c r="AF284" s="467">
        <f t="shared" si="793"/>
        <v>7.41</v>
      </c>
      <c r="AG284" s="467">
        <f t="shared" si="793"/>
        <v>7.41</v>
      </c>
      <c r="AH284" s="467">
        <f t="shared" si="793"/>
        <v>7.41</v>
      </c>
      <c r="AI284" s="467">
        <f t="shared" si="793"/>
        <v>7.41</v>
      </c>
      <c r="AJ284" s="467">
        <f t="shared" si="793"/>
        <v>7.41</v>
      </c>
      <c r="AK284" s="467">
        <f t="shared" si="793"/>
        <v>7.41</v>
      </c>
      <c r="AL284" s="467">
        <f t="shared" si="793"/>
        <v>7.41</v>
      </c>
      <c r="AM284" s="467">
        <f t="shared" si="793"/>
        <v>7.41</v>
      </c>
      <c r="AN284" s="467">
        <f t="shared" si="793"/>
        <v>7.41</v>
      </c>
      <c r="AO284" s="467">
        <f t="shared" si="793"/>
        <v>7.41</v>
      </c>
      <c r="AP284" s="467">
        <f t="shared" si="793"/>
        <v>7.41</v>
      </c>
      <c r="AQ284" s="467">
        <f t="shared" si="793"/>
        <v>7.41</v>
      </c>
      <c r="AR284" s="467">
        <f t="shared" si="793"/>
        <v>7.41</v>
      </c>
      <c r="AS284" s="467">
        <f t="shared" si="793"/>
        <v>7.41</v>
      </c>
      <c r="AT284" s="467">
        <f t="shared" si="793"/>
        <v>7.41</v>
      </c>
      <c r="AU284" s="467">
        <f t="shared" si="793"/>
        <v>7.41</v>
      </c>
      <c r="AV284" s="467">
        <f t="shared" si="793"/>
        <v>7.41</v>
      </c>
      <c r="AW284" s="467">
        <f t="shared" si="793"/>
        <v>7.41</v>
      </c>
      <c r="AX284" s="467">
        <f t="shared" si="793"/>
        <v>7.41</v>
      </c>
      <c r="AY284" s="467">
        <f t="shared" si="793"/>
        <v>7.41</v>
      </c>
      <c r="AZ284" s="467">
        <f t="shared" si="793"/>
        <v>7.41</v>
      </c>
      <c r="BA284" s="467">
        <f t="shared" si="793"/>
        <v>7.41</v>
      </c>
      <c r="BB284" s="467">
        <f t="shared" si="793"/>
        <v>7.41</v>
      </c>
      <c r="BC284" s="467">
        <f t="shared" si="793"/>
        <v>7.41</v>
      </c>
      <c r="BD284" s="467">
        <f t="shared" si="793"/>
        <v>7.41</v>
      </c>
      <c r="BE284" s="467">
        <f t="shared" si="793"/>
        <v>7.41</v>
      </c>
      <c r="BF284" s="467">
        <f t="shared" si="793"/>
        <v>7.41</v>
      </c>
      <c r="BG284" s="467">
        <f t="shared" si="793"/>
        <v>7.41</v>
      </c>
      <c r="BH284" s="467">
        <f t="shared" si="793"/>
        <v>7.41</v>
      </c>
      <c r="BI284" s="467">
        <f t="shared" si="793"/>
        <v>7.41</v>
      </c>
      <c r="BJ284" s="467">
        <f t="shared" si="793"/>
        <v>7.41</v>
      </c>
    </row>
    <row r="285" spans="2:62">
      <c r="B285" t="s">
        <v>302</v>
      </c>
      <c r="C285" s="467">
        <v>28</v>
      </c>
      <c r="D285" s="467">
        <v>28</v>
      </c>
      <c r="E285" s="467">
        <v>28</v>
      </c>
      <c r="F285" s="467">
        <v>28</v>
      </c>
      <c r="G285" s="467">
        <v>28</v>
      </c>
      <c r="H285" s="467">
        <v>28</v>
      </c>
      <c r="I285" s="467">
        <v>28</v>
      </c>
      <c r="J285" s="467">
        <v>28</v>
      </c>
      <c r="K285" s="467">
        <v>28</v>
      </c>
      <c r="L285" s="467">
        <v>28</v>
      </c>
      <c r="M285" s="467">
        <v>28</v>
      </c>
      <c r="N285" s="467">
        <v>28</v>
      </c>
      <c r="O285" s="467">
        <v>28</v>
      </c>
      <c r="P285" s="467">
        <f>(33.55+34.9)/2</f>
        <v>34.224999999999994</v>
      </c>
      <c r="Q285" s="467">
        <f t="shared" ref="Q285:X285" si="794">(33.55+34.9)/2</f>
        <v>34.224999999999994</v>
      </c>
      <c r="R285" s="467">
        <f t="shared" si="794"/>
        <v>34.224999999999994</v>
      </c>
      <c r="S285" s="467">
        <f t="shared" si="794"/>
        <v>34.224999999999994</v>
      </c>
      <c r="T285" s="467">
        <f t="shared" si="794"/>
        <v>34.224999999999994</v>
      </c>
      <c r="U285" s="467">
        <f t="shared" si="794"/>
        <v>34.224999999999994</v>
      </c>
      <c r="V285" s="467">
        <f t="shared" si="794"/>
        <v>34.224999999999994</v>
      </c>
      <c r="W285" s="467">
        <f t="shared" si="794"/>
        <v>34.224999999999994</v>
      </c>
      <c r="X285" s="467">
        <f t="shared" si="794"/>
        <v>34.224999999999994</v>
      </c>
      <c r="Y285" s="467">
        <v>36</v>
      </c>
      <c r="Z285" s="467">
        <v>36</v>
      </c>
      <c r="AA285" s="467">
        <v>36</v>
      </c>
      <c r="AB285" s="467">
        <v>36</v>
      </c>
      <c r="AC285" s="467">
        <v>36</v>
      </c>
      <c r="AD285" s="467">
        <v>36</v>
      </c>
      <c r="AE285" s="467">
        <v>36</v>
      </c>
      <c r="AF285" s="467">
        <v>36</v>
      </c>
      <c r="AG285" s="467">
        <v>36</v>
      </c>
      <c r="AH285" s="467">
        <v>36</v>
      </c>
      <c r="AI285" s="467">
        <v>36</v>
      </c>
      <c r="AJ285" s="467">
        <v>36</v>
      </c>
      <c r="AK285" s="467">
        <v>36</v>
      </c>
      <c r="AL285" s="467">
        <v>36</v>
      </c>
      <c r="AM285" s="467">
        <v>36</v>
      </c>
      <c r="AN285" s="467">
        <v>36</v>
      </c>
      <c r="AO285" s="467">
        <v>36</v>
      </c>
      <c r="AP285" s="467">
        <v>36</v>
      </c>
      <c r="AQ285" s="467">
        <v>36</v>
      </c>
      <c r="AR285" s="467">
        <v>36</v>
      </c>
      <c r="AS285" s="467">
        <v>36</v>
      </c>
      <c r="AT285" s="467">
        <v>36</v>
      </c>
      <c r="AU285" s="467">
        <v>36</v>
      </c>
      <c r="AV285" s="467">
        <v>36</v>
      </c>
      <c r="AW285" s="467">
        <v>36</v>
      </c>
      <c r="AX285" s="467">
        <v>36</v>
      </c>
      <c r="AY285" s="467">
        <v>36</v>
      </c>
      <c r="AZ285" s="467">
        <v>36</v>
      </c>
      <c r="BA285" s="467">
        <v>36</v>
      </c>
      <c r="BB285" s="467">
        <v>36</v>
      </c>
      <c r="BC285" s="467">
        <v>36</v>
      </c>
      <c r="BD285" s="467">
        <v>36</v>
      </c>
      <c r="BE285" s="467">
        <v>36</v>
      </c>
      <c r="BF285" s="467">
        <v>36</v>
      </c>
      <c r="BG285" s="467">
        <v>36</v>
      </c>
      <c r="BH285" s="467">
        <v>36</v>
      </c>
      <c r="BI285" s="467">
        <v>36</v>
      </c>
      <c r="BJ285" s="467">
        <v>36</v>
      </c>
    </row>
    <row r="286" spans="2:62">
      <c r="B286" t="s">
        <v>303</v>
      </c>
      <c r="C286" s="467">
        <v>40</v>
      </c>
      <c r="D286" s="467">
        <v>40</v>
      </c>
      <c r="E286" s="467">
        <v>40</v>
      </c>
      <c r="F286" s="467">
        <v>40</v>
      </c>
      <c r="G286" s="467">
        <v>40</v>
      </c>
      <c r="H286" s="467">
        <v>40</v>
      </c>
      <c r="I286" s="467">
        <v>40</v>
      </c>
      <c r="J286" s="467">
        <v>40</v>
      </c>
      <c r="K286" s="467">
        <v>40</v>
      </c>
      <c r="L286" s="467">
        <v>40</v>
      </c>
      <c r="M286" s="467">
        <v>40</v>
      </c>
      <c r="N286" s="467">
        <v>40</v>
      </c>
      <c r="O286" s="467">
        <v>40</v>
      </c>
      <c r="P286" s="467">
        <v>40</v>
      </c>
      <c r="Q286" s="467">
        <v>38</v>
      </c>
      <c r="R286" s="467">
        <v>38</v>
      </c>
      <c r="S286" s="467">
        <v>38</v>
      </c>
      <c r="T286" s="467">
        <v>38</v>
      </c>
      <c r="U286" s="467">
        <v>38</v>
      </c>
      <c r="V286" s="467">
        <v>38</v>
      </c>
      <c r="W286" s="467">
        <v>38</v>
      </c>
      <c r="X286" s="467">
        <v>38</v>
      </c>
      <c r="Y286" s="467">
        <v>40</v>
      </c>
      <c r="Z286" s="467">
        <v>40</v>
      </c>
      <c r="AA286" s="467">
        <v>40</v>
      </c>
      <c r="AB286" s="467">
        <v>40</v>
      </c>
      <c r="AC286" s="467">
        <v>40</v>
      </c>
      <c r="AD286" s="467">
        <v>40</v>
      </c>
      <c r="AE286" s="467">
        <v>40</v>
      </c>
      <c r="AF286" s="467">
        <v>40</v>
      </c>
      <c r="AG286" s="467">
        <v>40</v>
      </c>
      <c r="AH286" s="467">
        <v>40</v>
      </c>
      <c r="AI286" s="467">
        <v>40</v>
      </c>
      <c r="AJ286" s="467">
        <v>40</v>
      </c>
      <c r="AK286" s="467">
        <v>40</v>
      </c>
      <c r="AL286" s="467">
        <v>40</v>
      </c>
      <c r="AM286" s="467">
        <v>40</v>
      </c>
      <c r="AN286" s="467">
        <v>40</v>
      </c>
      <c r="AO286" s="467">
        <v>40</v>
      </c>
      <c r="AP286" s="467">
        <v>40</v>
      </c>
      <c r="AQ286" s="467">
        <v>40</v>
      </c>
      <c r="AR286" s="467">
        <v>40</v>
      </c>
      <c r="AS286" s="467">
        <v>40</v>
      </c>
      <c r="AT286" s="467">
        <v>40</v>
      </c>
      <c r="AU286" s="467">
        <v>40</v>
      </c>
      <c r="AV286" s="467">
        <v>40</v>
      </c>
      <c r="AW286" s="467">
        <v>40</v>
      </c>
      <c r="AX286" s="467">
        <v>40</v>
      </c>
      <c r="AY286" s="467">
        <v>40</v>
      </c>
      <c r="AZ286" s="467">
        <v>40</v>
      </c>
      <c r="BA286" s="467">
        <v>40</v>
      </c>
      <c r="BB286" s="467">
        <v>40</v>
      </c>
      <c r="BC286" s="467">
        <v>40</v>
      </c>
      <c r="BD286" s="467">
        <v>40</v>
      </c>
      <c r="BE286" s="467">
        <v>40</v>
      </c>
      <c r="BF286" s="467">
        <v>40</v>
      </c>
      <c r="BG286" s="467">
        <v>40</v>
      </c>
      <c r="BH286" s="467">
        <v>40</v>
      </c>
      <c r="BI286" s="467">
        <v>40</v>
      </c>
      <c r="BJ286" s="467">
        <v>40</v>
      </c>
    </row>
    <row r="287" spans="2:62">
      <c r="B287" s="83" t="s">
        <v>403</v>
      </c>
      <c r="C287" s="467">
        <f>0.32315+0.05</f>
        <v>0.37314999999999998</v>
      </c>
      <c r="D287" s="467">
        <f t="shared" ref="D287" si="795">C287</f>
        <v>0.37314999999999998</v>
      </c>
      <c r="E287" s="467">
        <f t="shared" ref="E287" si="796">D287</f>
        <v>0.37314999999999998</v>
      </c>
      <c r="F287" s="467">
        <f t="shared" ref="F287" si="797">E287</f>
        <v>0.37314999999999998</v>
      </c>
      <c r="G287" s="467">
        <f t="shared" ref="G287" si="798">F287</f>
        <v>0.37314999999999998</v>
      </c>
      <c r="H287" s="467">
        <f t="shared" ref="H287" si="799">G287</f>
        <v>0.37314999999999998</v>
      </c>
      <c r="I287" s="467">
        <f t="shared" ref="I287" si="800">H287</f>
        <v>0.37314999999999998</v>
      </c>
      <c r="J287" s="467">
        <f t="shared" ref="J287" si="801">I287</f>
        <v>0.37314999999999998</v>
      </c>
      <c r="K287" s="467">
        <f t="shared" ref="K287" si="802">J287</f>
        <v>0.37314999999999998</v>
      </c>
      <c r="L287" s="467">
        <f>+(0.31308+0.28926)/2</f>
        <v>0.30117000000000005</v>
      </c>
      <c r="M287" s="467">
        <f t="shared" ref="M287" si="803">L287</f>
        <v>0.30117000000000005</v>
      </c>
      <c r="N287" s="467">
        <f t="shared" ref="N287" si="804">M287</f>
        <v>0.30117000000000005</v>
      </c>
      <c r="O287" s="467">
        <f t="shared" ref="O287" si="805">N287</f>
        <v>0.30117000000000005</v>
      </c>
      <c r="P287" s="467">
        <v>0.39396999999999999</v>
      </c>
      <c r="Q287" s="467">
        <f t="shared" ref="Q287" si="806">P287</f>
        <v>0.39396999999999999</v>
      </c>
      <c r="R287" s="467">
        <f t="shared" ref="R287" si="807">Q287</f>
        <v>0.39396999999999999</v>
      </c>
      <c r="S287" s="467">
        <f t="shared" ref="S287" si="808">R287</f>
        <v>0.39396999999999999</v>
      </c>
      <c r="T287" s="467">
        <f t="shared" ref="T287" si="809">S287</f>
        <v>0.39396999999999999</v>
      </c>
      <c r="U287" s="467">
        <f t="shared" ref="U287" si="810">T287</f>
        <v>0.39396999999999999</v>
      </c>
      <c r="V287" s="467">
        <f t="shared" ref="V287" si="811">U287</f>
        <v>0.39396999999999999</v>
      </c>
      <c r="W287" s="467">
        <f t="shared" ref="W287" si="812">V287</f>
        <v>0.39396999999999999</v>
      </c>
      <c r="X287" s="467">
        <f t="shared" ref="X287" si="813">W287</f>
        <v>0.39396999999999999</v>
      </c>
      <c r="Y287" s="467">
        <v>0.38390000000000002</v>
      </c>
      <c r="Z287" s="467">
        <f t="shared" ref="Z287" si="814">Y287</f>
        <v>0.38390000000000002</v>
      </c>
      <c r="AA287" s="467">
        <f t="shared" ref="AA287" si="815">Z287</f>
        <v>0.38390000000000002</v>
      </c>
      <c r="AB287" s="467">
        <f t="shared" ref="AB287" si="816">AA287</f>
        <v>0.38390000000000002</v>
      </c>
      <c r="AC287" s="467">
        <v>0.40139999999999998</v>
      </c>
      <c r="AD287" s="467">
        <f t="shared" ref="AD287" si="817">AC287</f>
        <v>0.40139999999999998</v>
      </c>
      <c r="AE287" s="467">
        <f t="shared" ref="AE287" si="818">AD287</f>
        <v>0.40139999999999998</v>
      </c>
      <c r="AF287" s="467">
        <f t="shared" ref="AF287" si="819">AE287</f>
        <v>0.40139999999999998</v>
      </c>
      <c r="AG287" s="467">
        <f t="shared" ref="AG287" si="820">AF287</f>
        <v>0.40139999999999998</v>
      </c>
      <c r="AH287" s="467">
        <f t="shared" ref="AH287" si="821">AG287</f>
        <v>0.40139999999999998</v>
      </c>
      <c r="AI287" s="467">
        <f t="shared" ref="AI287" si="822">AH287</f>
        <v>0.40139999999999998</v>
      </c>
      <c r="AJ287" s="467">
        <f t="shared" ref="AJ287" si="823">AI287</f>
        <v>0.40139999999999998</v>
      </c>
      <c r="AK287" s="467">
        <f t="shared" ref="AK287" si="824">AJ287</f>
        <v>0.40139999999999998</v>
      </c>
      <c r="AL287" s="467">
        <f t="shared" ref="AL287" si="825">AK287</f>
        <v>0.40139999999999998</v>
      </c>
      <c r="AM287" s="467">
        <f t="shared" ref="AM287" si="826">AL287</f>
        <v>0.40139999999999998</v>
      </c>
      <c r="AN287" s="467">
        <f t="shared" ref="AN287" si="827">AM287</f>
        <v>0.40139999999999998</v>
      </c>
      <c r="AO287" s="467">
        <f t="shared" ref="AO287" si="828">AN287</f>
        <v>0.40139999999999998</v>
      </c>
      <c r="AP287" s="467">
        <f t="shared" ref="AP287" si="829">AO287</f>
        <v>0.40139999999999998</v>
      </c>
      <c r="AQ287" s="467">
        <f t="shared" ref="AQ287" si="830">AP287</f>
        <v>0.40139999999999998</v>
      </c>
      <c r="AR287" s="467">
        <f t="shared" ref="AR287" si="831">AQ287</f>
        <v>0.40139999999999998</v>
      </c>
      <c r="AS287" s="467">
        <f t="shared" ref="AS287" si="832">AR287</f>
        <v>0.40139999999999998</v>
      </c>
      <c r="AT287" s="467">
        <f t="shared" ref="AT287" si="833">AS287</f>
        <v>0.40139999999999998</v>
      </c>
      <c r="AU287" s="467">
        <f t="shared" ref="AU287" si="834">AT287</f>
        <v>0.40139999999999998</v>
      </c>
      <c r="AV287" s="467">
        <f t="shared" ref="AV287" si="835">AU287</f>
        <v>0.40139999999999998</v>
      </c>
      <c r="AW287" s="467">
        <f t="shared" ref="AW287" si="836">AV287</f>
        <v>0.40139999999999998</v>
      </c>
      <c r="AX287" s="467">
        <f t="shared" ref="AX287" si="837">AW287</f>
        <v>0.40139999999999998</v>
      </c>
      <c r="AY287" s="467">
        <v>0.39396999999999999</v>
      </c>
      <c r="AZ287" s="467">
        <v>0.39396999999999999</v>
      </c>
      <c r="BA287" s="467">
        <v>0.39396999999999999</v>
      </c>
      <c r="BB287" s="467">
        <v>0.39396999999999999</v>
      </c>
      <c r="BC287" s="467">
        <v>0.39396999999999999</v>
      </c>
      <c r="BD287" s="467">
        <v>0.39396999999999999</v>
      </c>
      <c r="BE287" s="467">
        <v>0.39396999999999999</v>
      </c>
      <c r="BF287" s="467">
        <v>0.39396999999999999</v>
      </c>
      <c r="BG287" s="467">
        <v>0.39396999999999999</v>
      </c>
      <c r="BH287" s="467">
        <v>0.39396999999999999</v>
      </c>
      <c r="BI287" s="467">
        <v>0.39396999999999999</v>
      </c>
      <c r="BJ287" s="467">
        <v>0.39396999999999999</v>
      </c>
    </row>
    <row r="288" spans="2:62">
      <c r="B288" s="83" t="s">
        <v>404</v>
      </c>
      <c r="C288" s="467">
        <f>0.32315+0.05</f>
        <v>0.37314999999999998</v>
      </c>
      <c r="D288" s="467">
        <f t="shared" ref="D288" si="838">C288</f>
        <v>0.37314999999999998</v>
      </c>
      <c r="E288" s="467">
        <f t="shared" ref="E288" si="839">D288</f>
        <v>0.37314999999999998</v>
      </c>
      <c r="F288" s="467">
        <f t="shared" ref="F288" si="840">E288</f>
        <v>0.37314999999999998</v>
      </c>
      <c r="G288" s="467">
        <f t="shared" ref="G288" si="841">F288</f>
        <v>0.37314999999999998</v>
      </c>
      <c r="H288" s="467">
        <f t="shared" ref="H288" si="842">G288</f>
        <v>0.37314999999999998</v>
      </c>
      <c r="I288" s="467">
        <f t="shared" ref="I288" si="843">H288</f>
        <v>0.37314999999999998</v>
      </c>
      <c r="J288" s="467">
        <f t="shared" ref="J288" si="844">I288</f>
        <v>0.37314999999999998</v>
      </c>
      <c r="K288" s="467">
        <f t="shared" ref="K288" si="845">J288</f>
        <v>0.37314999999999998</v>
      </c>
      <c r="L288" s="467">
        <f>+(0.31308+0.28926)/2</f>
        <v>0.30117000000000005</v>
      </c>
      <c r="M288" s="467">
        <f t="shared" ref="M288" si="846">L288</f>
        <v>0.30117000000000005</v>
      </c>
      <c r="N288" s="467">
        <f t="shared" ref="N288" si="847">M288</f>
        <v>0.30117000000000005</v>
      </c>
      <c r="O288" s="467">
        <f t="shared" ref="O288" si="848">N288</f>
        <v>0.30117000000000005</v>
      </c>
      <c r="P288" s="467">
        <f t="shared" ref="P288" si="849">O288</f>
        <v>0.30117000000000005</v>
      </c>
      <c r="Q288" s="467">
        <f t="shared" ref="Q288" si="850">P288</f>
        <v>0.30117000000000005</v>
      </c>
      <c r="R288" s="467">
        <f t="shared" ref="R288" si="851">Q288</f>
        <v>0.30117000000000005</v>
      </c>
      <c r="S288" s="467">
        <f t="shared" ref="S288" si="852">R288</f>
        <v>0.30117000000000005</v>
      </c>
      <c r="T288" s="467">
        <f t="shared" ref="T288" si="853">S288</f>
        <v>0.30117000000000005</v>
      </c>
      <c r="U288" s="467">
        <f t="shared" ref="U288" si="854">T288</f>
        <v>0.30117000000000005</v>
      </c>
      <c r="V288" s="467">
        <f t="shared" ref="V288" si="855">U288</f>
        <v>0.30117000000000005</v>
      </c>
      <c r="W288" s="467">
        <f t="shared" ref="W288" si="856">V288</f>
        <v>0.30117000000000005</v>
      </c>
      <c r="X288" s="467">
        <f t="shared" ref="X288" si="857">W288</f>
        <v>0.30117000000000005</v>
      </c>
      <c r="Y288" s="467">
        <f t="shared" ref="Y288" si="858">X288</f>
        <v>0.30117000000000005</v>
      </c>
      <c r="Z288" s="467">
        <f t="shared" ref="Z288" si="859">Y288</f>
        <v>0.30117000000000005</v>
      </c>
      <c r="AA288" s="467">
        <f t="shared" ref="AA288" si="860">Z288</f>
        <v>0.30117000000000005</v>
      </c>
      <c r="AB288" s="467">
        <f t="shared" ref="AB288" si="861">AA288</f>
        <v>0.30117000000000005</v>
      </c>
      <c r="AC288" s="467">
        <f t="shared" ref="AC288" si="862">AB288</f>
        <v>0.30117000000000005</v>
      </c>
      <c r="AD288" s="467">
        <f t="shared" ref="AD288" si="863">AC288</f>
        <v>0.30117000000000005</v>
      </c>
      <c r="AE288" s="467">
        <f t="shared" ref="AE288" si="864">AD288</f>
        <v>0.30117000000000005</v>
      </c>
      <c r="AF288" s="467">
        <f t="shared" ref="AF288" si="865">AE288</f>
        <v>0.30117000000000005</v>
      </c>
      <c r="AG288" s="467">
        <f t="shared" ref="AG288" si="866">AF288</f>
        <v>0.30117000000000005</v>
      </c>
      <c r="AH288" s="467">
        <f t="shared" ref="AH288" si="867">AG288</f>
        <v>0.30117000000000005</v>
      </c>
      <c r="AI288" s="467">
        <f t="shared" ref="AI288" si="868">AH288</f>
        <v>0.30117000000000005</v>
      </c>
      <c r="AJ288" s="467">
        <f t="shared" ref="AJ288" si="869">AI288</f>
        <v>0.30117000000000005</v>
      </c>
      <c r="AK288" s="467">
        <f t="shared" ref="AK288" si="870">AJ288</f>
        <v>0.30117000000000005</v>
      </c>
      <c r="AL288" s="467">
        <f t="shared" ref="AL288" si="871">AK288</f>
        <v>0.30117000000000005</v>
      </c>
      <c r="AM288" s="467">
        <f t="shared" ref="AM288" si="872">AL288</f>
        <v>0.30117000000000005</v>
      </c>
      <c r="AN288" s="467">
        <f t="shared" ref="AN288" si="873">AM288</f>
        <v>0.30117000000000005</v>
      </c>
      <c r="AO288" s="467">
        <f t="shared" ref="AO288" si="874">AN288</f>
        <v>0.30117000000000005</v>
      </c>
      <c r="AP288" s="467">
        <f t="shared" ref="AP288" si="875">AO288</f>
        <v>0.30117000000000005</v>
      </c>
      <c r="AQ288" s="467">
        <f t="shared" ref="AQ288" si="876">AP288</f>
        <v>0.30117000000000005</v>
      </c>
      <c r="AR288" s="467">
        <f t="shared" ref="AR288" si="877">AQ288</f>
        <v>0.30117000000000005</v>
      </c>
      <c r="AS288" s="467">
        <f t="shared" ref="AS288" si="878">AR288</f>
        <v>0.30117000000000005</v>
      </c>
      <c r="AT288" s="467">
        <f t="shared" ref="AT288" si="879">AS288</f>
        <v>0.30117000000000005</v>
      </c>
      <c r="AU288" s="467">
        <f t="shared" ref="AU288" si="880">AT288</f>
        <v>0.30117000000000005</v>
      </c>
      <c r="AV288" s="467">
        <f t="shared" ref="AV288" si="881">AU288</f>
        <v>0.30117000000000005</v>
      </c>
      <c r="AW288" s="467">
        <f t="shared" ref="AW288" si="882">AV288</f>
        <v>0.30117000000000005</v>
      </c>
      <c r="AX288" s="467">
        <f t="shared" ref="AX288" si="883">AW288</f>
        <v>0.30117000000000005</v>
      </c>
      <c r="AY288" s="467">
        <v>0.30117000000000005</v>
      </c>
      <c r="AZ288" s="467">
        <v>0.30117000000000005</v>
      </c>
      <c r="BA288" s="467">
        <v>0.30117000000000005</v>
      </c>
      <c r="BB288" s="467">
        <v>0.30117000000000005</v>
      </c>
      <c r="BC288" s="467">
        <v>0.30117000000000005</v>
      </c>
      <c r="BD288" s="467">
        <v>0.30117000000000005</v>
      </c>
      <c r="BE288" s="467">
        <v>0.30117000000000005</v>
      </c>
      <c r="BF288" s="467">
        <v>0.30117000000000005</v>
      </c>
      <c r="BG288" s="467">
        <v>0.30117000000000005</v>
      </c>
      <c r="BH288" s="467">
        <v>0.30117000000000005</v>
      </c>
      <c r="BI288" s="467">
        <v>0.30117000000000005</v>
      </c>
      <c r="BJ288" s="467">
        <v>0.30117000000000005</v>
      </c>
    </row>
    <row r="289" spans="2:62">
      <c r="B289" s="83" t="s">
        <v>405</v>
      </c>
      <c r="C289" s="467">
        <f>0.32315+0.05</f>
        <v>0.37314999999999998</v>
      </c>
      <c r="D289" s="467">
        <f t="shared" ref="D289" si="884">C289</f>
        <v>0.37314999999999998</v>
      </c>
      <c r="E289" s="467">
        <f t="shared" ref="E289" si="885">D289</f>
        <v>0.37314999999999998</v>
      </c>
      <c r="F289" s="467">
        <f t="shared" ref="F289" si="886">E289</f>
        <v>0.37314999999999998</v>
      </c>
      <c r="G289" s="467">
        <f t="shared" ref="G289" si="887">F289</f>
        <v>0.37314999999999998</v>
      </c>
      <c r="H289" s="467">
        <f t="shared" ref="H289" si="888">G289</f>
        <v>0.37314999999999998</v>
      </c>
      <c r="I289" s="467">
        <f t="shared" ref="I289" si="889">H289</f>
        <v>0.37314999999999998</v>
      </c>
      <c r="J289" s="467">
        <f t="shared" ref="J289" si="890">I289</f>
        <v>0.37314999999999998</v>
      </c>
      <c r="K289" s="467">
        <f t="shared" ref="K289" si="891">J289</f>
        <v>0.37314999999999998</v>
      </c>
      <c r="L289" s="467">
        <f>+(0.31308+0.28926)/2</f>
        <v>0.30117000000000005</v>
      </c>
      <c r="M289" s="467">
        <f t="shared" ref="M289" si="892">L289</f>
        <v>0.30117000000000005</v>
      </c>
      <c r="N289" s="467">
        <f t="shared" ref="N289" si="893">M289</f>
        <v>0.30117000000000005</v>
      </c>
      <c r="O289" s="467">
        <f t="shared" ref="O289" si="894">N289</f>
        <v>0.30117000000000005</v>
      </c>
      <c r="P289" s="467">
        <v>0.28720000000000001</v>
      </c>
      <c r="Q289" s="467">
        <f t="shared" ref="Q289" si="895">P289</f>
        <v>0.28720000000000001</v>
      </c>
      <c r="R289" s="467">
        <f t="shared" ref="R289" si="896">Q289</f>
        <v>0.28720000000000001</v>
      </c>
      <c r="S289" s="467">
        <f t="shared" ref="S289" si="897">R289</f>
        <v>0.28720000000000001</v>
      </c>
      <c r="T289" s="467">
        <f t="shared" ref="T289" si="898">S289</f>
        <v>0.28720000000000001</v>
      </c>
      <c r="U289" s="467">
        <f t="shared" ref="U289" si="899">T289</f>
        <v>0.28720000000000001</v>
      </c>
      <c r="V289" s="467">
        <f t="shared" ref="V289" si="900">U289</f>
        <v>0.28720000000000001</v>
      </c>
      <c r="W289" s="467">
        <f t="shared" ref="W289" si="901">V289</f>
        <v>0.28720000000000001</v>
      </c>
      <c r="X289" s="467">
        <f t="shared" ref="X289" si="902">W289</f>
        <v>0.28720000000000001</v>
      </c>
      <c r="Y289" s="467">
        <v>0.27600000000000002</v>
      </c>
      <c r="Z289" s="467">
        <v>0.27750000000000002</v>
      </c>
      <c r="AA289" s="467">
        <f t="shared" ref="AA289" si="903">Z289</f>
        <v>0.27750000000000002</v>
      </c>
      <c r="AB289" s="467">
        <f t="shared" ref="AB289" si="904">AA289</f>
        <v>0.27750000000000002</v>
      </c>
      <c r="AC289" s="467">
        <v>0.27759</v>
      </c>
      <c r="AD289" s="467">
        <f t="shared" ref="AD289" si="905">AC289</f>
        <v>0.27759</v>
      </c>
      <c r="AE289" s="467">
        <f t="shared" ref="AE289" si="906">AD289</f>
        <v>0.27759</v>
      </c>
      <c r="AF289" s="467">
        <f t="shared" ref="AF289" si="907">AE289</f>
        <v>0.27759</v>
      </c>
      <c r="AG289" s="467">
        <f t="shared" ref="AG289" si="908">AF289</f>
        <v>0.27759</v>
      </c>
      <c r="AH289" s="467">
        <f t="shared" ref="AH289" si="909">AG289</f>
        <v>0.27759</v>
      </c>
      <c r="AI289" s="467">
        <f t="shared" ref="AI289" si="910">AH289</f>
        <v>0.27759</v>
      </c>
      <c r="AJ289" s="467">
        <f t="shared" ref="AJ289" si="911">AI289</f>
        <v>0.27759</v>
      </c>
      <c r="AK289" s="467">
        <f t="shared" ref="AK289" si="912">AJ289</f>
        <v>0.27759</v>
      </c>
      <c r="AL289" s="467">
        <f t="shared" ref="AL289" si="913">AK289</f>
        <v>0.27759</v>
      </c>
      <c r="AM289" s="467">
        <f t="shared" ref="AM289" si="914">AL289</f>
        <v>0.27759</v>
      </c>
      <c r="AN289" s="467">
        <f t="shared" ref="AN289" si="915">AM289</f>
        <v>0.27759</v>
      </c>
      <c r="AO289" s="467">
        <f t="shared" ref="AO289" si="916">AN289</f>
        <v>0.27759</v>
      </c>
      <c r="AP289" s="467">
        <f t="shared" ref="AP289" si="917">AO289</f>
        <v>0.27759</v>
      </c>
      <c r="AQ289" s="467">
        <f t="shared" ref="AQ289" si="918">AP289</f>
        <v>0.27759</v>
      </c>
      <c r="AR289" s="467">
        <f t="shared" ref="AR289" si="919">AQ289</f>
        <v>0.27759</v>
      </c>
      <c r="AS289" s="467">
        <f t="shared" ref="AS289" si="920">AR289</f>
        <v>0.27759</v>
      </c>
      <c r="AT289" s="467">
        <f t="shared" ref="AT289" si="921">AS289</f>
        <v>0.27759</v>
      </c>
      <c r="AU289" s="467">
        <f t="shared" ref="AU289" si="922">AT289</f>
        <v>0.27759</v>
      </c>
      <c r="AV289" s="467">
        <f t="shared" ref="AV289" si="923">AU289</f>
        <v>0.27759</v>
      </c>
      <c r="AW289" s="467">
        <f t="shared" ref="AW289" si="924">AV289</f>
        <v>0.27759</v>
      </c>
      <c r="AX289" s="467">
        <f t="shared" ref="AX289" si="925">AW289</f>
        <v>0.27759</v>
      </c>
      <c r="AY289" s="467">
        <v>0.28720000000000001</v>
      </c>
      <c r="AZ289" s="467">
        <v>0.28720000000000001</v>
      </c>
      <c r="BA289" s="467">
        <v>0.28720000000000001</v>
      </c>
      <c r="BB289" s="467">
        <v>0.28720000000000001</v>
      </c>
      <c r="BC289" s="467">
        <v>0.28720000000000001</v>
      </c>
      <c r="BD289" s="467">
        <v>0.28720000000000001</v>
      </c>
      <c r="BE289" s="467">
        <v>0.28720000000000001</v>
      </c>
      <c r="BF289" s="467">
        <v>0.28720000000000001</v>
      </c>
      <c r="BG289" s="467">
        <v>0.28720000000000001</v>
      </c>
      <c r="BH289" s="467">
        <v>0.28720000000000001</v>
      </c>
      <c r="BI289" s="467">
        <v>0.28720000000000001</v>
      </c>
      <c r="BJ289" s="467">
        <v>0.28720000000000001</v>
      </c>
    </row>
    <row r="290" spans="2:62">
      <c r="B290" s="83" t="s">
        <v>245</v>
      </c>
      <c r="C290" s="467">
        <f>0.32315+0.05</f>
        <v>0.37314999999999998</v>
      </c>
      <c r="D290" s="467">
        <f t="shared" ref="D290:AX290" si="926">C290</f>
        <v>0.37314999999999998</v>
      </c>
      <c r="E290" s="467">
        <f t="shared" si="926"/>
        <v>0.37314999999999998</v>
      </c>
      <c r="F290" s="467">
        <f t="shared" si="926"/>
        <v>0.37314999999999998</v>
      </c>
      <c r="G290" s="467">
        <f t="shared" si="926"/>
        <v>0.37314999999999998</v>
      </c>
      <c r="H290" s="467">
        <f t="shared" si="926"/>
        <v>0.37314999999999998</v>
      </c>
      <c r="I290" s="467">
        <f t="shared" si="926"/>
        <v>0.37314999999999998</v>
      </c>
      <c r="J290" s="467">
        <f t="shared" si="926"/>
        <v>0.37314999999999998</v>
      </c>
      <c r="K290" s="467">
        <f t="shared" si="926"/>
        <v>0.37314999999999998</v>
      </c>
      <c r="L290" s="467">
        <f>+(0.31308+0.28926)/2</f>
        <v>0.30117000000000005</v>
      </c>
      <c r="M290" s="467">
        <f t="shared" si="926"/>
        <v>0.30117000000000005</v>
      </c>
      <c r="N290" s="467">
        <f t="shared" si="926"/>
        <v>0.30117000000000005</v>
      </c>
      <c r="O290" s="467">
        <f t="shared" si="926"/>
        <v>0.30117000000000005</v>
      </c>
      <c r="P290" s="467">
        <v>0.32423999999999997</v>
      </c>
      <c r="Q290" s="467">
        <f t="shared" si="926"/>
        <v>0.32423999999999997</v>
      </c>
      <c r="R290" s="467">
        <v>0.33700999999999998</v>
      </c>
      <c r="S290" s="467">
        <v>0.36020999999999997</v>
      </c>
      <c r="T290" s="467">
        <f t="shared" si="926"/>
        <v>0.36020999999999997</v>
      </c>
      <c r="U290" s="467">
        <f t="shared" si="926"/>
        <v>0.36020999999999997</v>
      </c>
      <c r="V290" s="467">
        <f t="shared" si="926"/>
        <v>0.36020999999999997</v>
      </c>
      <c r="W290" s="467">
        <f t="shared" si="926"/>
        <v>0.36020999999999997</v>
      </c>
      <c r="X290" s="467">
        <f t="shared" si="926"/>
        <v>0.36020999999999997</v>
      </c>
      <c r="Y290" s="467">
        <v>0.34399000000000002</v>
      </c>
      <c r="Z290" s="467">
        <v>0.33978000000000003</v>
      </c>
      <c r="AA290" s="467">
        <f t="shared" si="926"/>
        <v>0.33978000000000003</v>
      </c>
      <c r="AB290" s="467">
        <f t="shared" si="926"/>
        <v>0.33978000000000003</v>
      </c>
      <c r="AC290" s="467">
        <f t="shared" si="926"/>
        <v>0.33978000000000003</v>
      </c>
      <c r="AD290" s="467">
        <f t="shared" si="926"/>
        <v>0.33978000000000003</v>
      </c>
      <c r="AE290" s="467">
        <f t="shared" si="926"/>
        <v>0.33978000000000003</v>
      </c>
      <c r="AF290" s="467">
        <f t="shared" si="926"/>
        <v>0.33978000000000003</v>
      </c>
      <c r="AG290" s="467">
        <f t="shared" si="926"/>
        <v>0.33978000000000003</v>
      </c>
      <c r="AH290" s="467">
        <f t="shared" si="926"/>
        <v>0.33978000000000003</v>
      </c>
      <c r="AI290" s="467">
        <f t="shared" si="926"/>
        <v>0.33978000000000003</v>
      </c>
      <c r="AJ290" s="467">
        <f t="shared" si="926"/>
        <v>0.33978000000000003</v>
      </c>
      <c r="AK290" s="467">
        <f t="shared" si="926"/>
        <v>0.33978000000000003</v>
      </c>
      <c r="AL290" s="467">
        <f t="shared" si="926"/>
        <v>0.33978000000000003</v>
      </c>
      <c r="AM290" s="467">
        <f t="shared" si="926"/>
        <v>0.33978000000000003</v>
      </c>
      <c r="AN290" s="467">
        <f t="shared" si="926"/>
        <v>0.33978000000000003</v>
      </c>
      <c r="AO290" s="467">
        <f t="shared" si="926"/>
        <v>0.33978000000000003</v>
      </c>
      <c r="AP290" s="467">
        <f t="shared" si="926"/>
        <v>0.33978000000000003</v>
      </c>
      <c r="AQ290" s="467">
        <f t="shared" si="926"/>
        <v>0.33978000000000003</v>
      </c>
      <c r="AR290" s="467">
        <f t="shared" si="926"/>
        <v>0.33978000000000003</v>
      </c>
      <c r="AS290" s="467">
        <f t="shared" si="926"/>
        <v>0.33978000000000003</v>
      </c>
      <c r="AT290" s="467">
        <f t="shared" si="926"/>
        <v>0.33978000000000003</v>
      </c>
      <c r="AU290" s="467">
        <f t="shared" si="926"/>
        <v>0.33978000000000003</v>
      </c>
      <c r="AV290" s="467">
        <f t="shared" si="926"/>
        <v>0.33978000000000003</v>
      </c>
      <c r="AW290" s="467">
        <f t="shared" si="926"/>
        <v>0.33978000000000003</v>
      </c>
      <c r="AX290" s="467">
        <f t="shared" si="926"/>
        <v>0.33978000000000003</v>
      </c>
      <c r="AY290" s="467">
        <v>0.36020999999999997</v>
      </c>
      <c r="AZ290" s="467">
        <v>0.36020999999999997</v>
      </c>
      <c r="BA290" s="467">
        <v>0.36020999999999997</v>
      </c>
      <c r="BB290" s="467">
        <v>0.36020999999999997</v>
      </c>
      <c r="BC290" s="467">
        <v>0.36020999999999997</v>
      </c>
      <c r="BD290" s="467">
        <v>0.36020999999999997</v>
      </c>
      <c r="BE290" s="467">
        <v>0.36020999999999997</v>
      </c>
      <c r="BF290" s="467">
        <v>0.36020999999999997</v>
      </c>
      <c r="BG290" s="467">
        <v>0.36020999999999997</v>
      </c>
      <c r="BH290" s="467">
        <v>0.36020999999999997</v>
      </c>
      <c r="BI290" s="467">
        <v>0.36020999999999997</v>
      </c>
      <c r="BJ290" s="467">
        <v>0.36020999999999997</v>
      </c>
    </row>
    <row r="291" spans="2:62">
      <c r="B291" s="83" t="s">
        <v>241</v>
      </c>
      <c r="C291" s="467">
        <v>0.23794000000000001</v>
      </c>
      <c r="D291" s="467">
        <f>+C291</f>
        <v>0.23794000000000001</v>
      </c>
      <c r="E291" s="467">
        <f t="shared" ref="E291:AX292" si="927">+D291</f>
        <v>0.23794000000000001</v>
      </c>
      <c r="F291" s="467">
        <f t="shared" si="927"/>
        <v>0.23794000000000001</v>
      </c>
      <c r="G291" s="467">
        <f t="shared" si="927"/>
        <v>0.23794000000000001</v>
      </c>
      <c r="H291" s="467">
        <f t="shared" si="927"/>
        <v>0.23794000000000001</v>
      </c>
      <c r="I291" s="467">
        <f t="shared" si="927"/>
        <v>0.23794000000000001</v>
      </c>
      <c r="J291" s="467">
        <f t="shared" si="927"/>
        <v>0.23794000000000001</v>
      </c>
      <c r="K291" s="467">
        <f t="shared" si="927"/>
        <v>0.23794000000000001</v>
      </c>
      <c r="L291" s="467">
        <v>0.219</v>
      </c>
      <c r="M291" s="467">
        <f t="shared" si="927"/>
        <v>0.219</v>
      </c>
      <c r="N291" s="467">
        <f t="shared" si="927"/>
        <v>0.219</v>
      </c>
      <c r="O291" s="467">
        <f t="shared" si="927"/>
        <v>0.219</v>
      </c>
      <c r="P291" s="467">
        <v>0.218</v>
      </c>
      <c r="Q291" s="467">
        <f t="shared" si="927"/>
        <v>0.218</v>
      </c>
      <c r="R291" s="467">
        <f t="shared" si="927"/>
        <v>0.218</v>
      </c>
      <c r="S291" s="467">
        <v>0.24299999999999999</v>
      </c>
      <c r="T291" s="467">
        <f t="shared" si="927"/>
        <v>0.24299999999999999</v>
      </c>
      <c r="U291" s="467">
        <f t="shared" si="927"/>
        <v>0.24299999999999999</v>
      </c>
      <c r="V291" s="467">
        <f t="shared" si="927"/>
        <v>0.24299999999999999</v>
      </c>
      <c r="W291" s="467">
        <f t="shared" si="927"/>
        <v>0.24299999999999999</v>
      </c>
      <c r="X291" s="467">
        <f t="shared" si="927"/>
        <v>0.24299999999999999</v>
      </c>
      <c r="Y291" s="467">
        <v>0.22</v>
      </c>
      <c r="Z291" s="467">
        <f t="shared" si="927"/>
        <v>0.22</v>
      </c>
      <c r="AA291" s="467">
        <f t="shared" si="927"/>
        <v>0.22</v>
      </c>
      <c r="AB291" s="467">
        <f t="shared" si="927"/>
        <v>0.22</v>
      </c>
      <c r="AC291" s="467">
        <f t="shared" si="927"/>
        <v>0.22</v>
      </c>
      <c r="AD291" s="467">
        <f t="shared" si="927"/>
        <v>0.22</v>
      </c>
      <c r="AE291" s="467">
        <f t="shared" si="927"/>
        <v>0.22</v>
      </c>
      <c r="AF291" s="467">
        <f t="shared" si="927"/>
        <v>0.22</v>
      </c>
      <c r="AG291" s="467">
        <f t="shared" si="927"/>
        <v>0.22</v>
      </c>
      <c r="AH291" s="467">
        <v>0.23300000000000001</v>
      </c>
      <c r="AI291" s="467">
        <f t="shared" si="927"/>
        <v>0.23300000000000001</v>
      </c>
      <c r="AJ291" s="467">
        <f t="shared" si="927"/>
        <v>0.23300000000000001</v>
      </c>
      <c r="AK291" s="467">
        <f t="shared" si="927"/>
        <v>0.23300000000000001</v>
      </c>
      <c r="AL291" s="467">
        <f t="shared" si="927"/>
        <v>0.23300000000000001</v>
      </c>
      <c r="AM291" s="467">
        <f t="shared" si="927"/>
        <v>0.23300000000000001</v>
      </c>
      <c r="AN291" s="467">
        <f t="shared" si="927"/>
        <v>0.23300000000000001</v>
      </c>
      <c r="AO291" s="467">
        <f t="shared" si="927"/>
        <v>0.23300000000000001</v>
      </c>
      <c r="AP291" s="467">
        <f t="shared" si="927"/>
        <v>0.23300000000000001</v>
      </c>
      <c r="AQ291" s="467">
        <f t="shared" si="927"/>
        <v>0.23300000000000001</v>
      </c>
      <c r="AR291" s="467">
        <f t="shared" si="927"/>
        <v>0.23300000000000001</v>
      </c>
      <c r="AS291" s="467">
        <f t="shared" si="927"/>
        <v>0.23300000000000001</v>
      </c>
      <c r="AT291" s="467">
        <f t="shared" si="927"/>
        <v>0.23300000000000001</v>
      </c>
      <c r="AU291" s="467">
        <f t="shared" si="927"/>
        <v>0.23300000000000001</v>
      </c>
      <c r="AV291" s="467">
        <f t="shared" si="927"/>
        <v>0.23300000000000001</v>
      </c>
      <c r="AW291" s="467">
        <f t="shared" si="927"/>
        <v>0.23300000000000001</v>
      </c>
      <c r="AX291" s="467">
        <f t="shared" si="927"/>
        <v>0.23300000000000001</v>
      </c>
      <c r="AY291" s="467">
        <v>0.218</v>
      </c>
      <c r="AZ291" s="467">
        <v>0.218</v>
      </c>
      <c r="BA291" s="467">
        <v>0.218</v>
      </c>
      <c r="BB291" s="467">
        <v>0.218</v>
      </c>
      <c r="BC291" s="467">
        <v>0.218</v>
      </c>
      <c r="BD291" s="467">
        <v>0.218</v>
      </c>
      <c r="BE291" s="467">
        <v>0.218</v>
      </c>
      <c r="BF291" s="467">
        <v>0.218</v>
      </c>
      <c r="BG291" s="467">
        <v>0.218</v>
      </c>
      <c r="BH291" s="467">
        <v>0.218</v>
      </c>
      <c r="BI291" s="467">
        <v>0.218</v>
      </c>
      <c r="BJ291" s="467">
        <v>0.218</v>
      </c>
    </row>
    <row r="292" spans="2:62">
      <c r="B292" s="83" t="s">
        <v>242</v>
      </c>
      <c r="C292" s="467">
        <v>0.42599999999999999</v>
      </c>
      <c r="D292" s="467">
        <v>0.42599999999999999</v>
      </c>
      <c r="E292" s="467">
        <v>0.42599999999999999</v>
      </c>
      <c r="F292" s="467">
        <v>0.42599999999999999</v>
      </c>
      <c r="G292" s="467">
        <v>0.42599999999999999</v>
      </c>
      <c r="H292" s="467">
        <v>0.42599999999999999</v>
      </c>
      <c r="I292" s="467">
        <v>0.42599999999999999</v>
      </c>
      <c r="J292" s="467">
        <v>0.42599999999999999</v>
      </c>
      <c r="K292" s="467">
        <v>0.42599999999999999</v>
      </c>
      <c r="L292" s="467">
        <v>0.377</v>
      </c>
      <c r="M292" s="467">
        <f>+L292</f>
        <v>0.377</v>
      </c>
      <c r="N292" s="467">
        <f t="shared" si="927"/>
        <v>0.377</v>
      </c>
      <c r="O292" s="467">
        <f t="shared" si="927"/>
        <v>0.377</v>
      </c>
      <c r="P292" s="467">
        <f t="shared" si="927"/>
        <v>0.377</v>
      </c>
      <c r="Q292" s="467">
        <f t="shared" si="927"/>
        <v>0.377</v>
      </c>
      <c r="R292" s="467">
        <f t="shared" si="927"/>
        <v>0.377</v>
      </c>
      <c r="S292" s="467">
        <f t="shared" si="927"/>
        <v>0.377</v>
      </c>
      <c r="T292" s="467">
        <f t="shared" si="927"/>
        <v>0.377</v>
      </c>
      <c r="U292" s="467">
        <f t="shared" si="927"/>
        <v>0.377</v>
      </c>
      <c r="V292" s="467">
        <f t="shared" si="927"/>
        <v>0.377</v>
      </c>
      <c r="W292" s="467">
        <f t="shared" si="927"/>
        <v>0.377</v>
      </c>
      <c r="X292" s="467">
        <f t="shared" si="927"/>
        <v>0.377</v>
      </c>
      <c r="Y292" s="467">
        <f t="shared" si="927"/>
        <v>0.377</v>
      </c>
      <c r="Z292" s="467">
        <f t="shared" si="927"/>
        <v>0.377</v>
      </c>
      <c r="AA292" s="467">
        <v>0.29499999999999998</v>
      </c>
      <c r="AB292" s="467">
        <f t="shared" si="927"/>
        <v>0.29499999999999998</v>
      </c>
      <c r="AC292" s="467">
        <f t="shared" si="927"/>
        <v>0.29499999999999998</v>
      </c>
      <c r="AD292" s="467">
        <f t="shared" si="927"/>
        <v>0.29499999999999998</v>
      </c>
      <c r="AE292" s="467">
        <f t="shared" si="927"/>
        <v>0.29499999999999998</v>
      </c>
      <c r="AF292" s="467">
        <f t="shared" si="927"/>
        <v>0.29499999999999998</v>
      </c>
      <c r="AG292" s="467">
        <f t="shared" si="927"/>
        <v>0.29499999999999998</v>
      </c>
      <c r="AH292" s="467">
        <f t="shared" si="927"/>
        <v>0.29499999999999998</v>
      </c>
      <c r="AI292" s="467">
        <f t="shared" si="927"/>
        <v>0.29499999999999998</v>
      </c>
      <c r="AJ292" s="467">
        <f t="shared" si="927"/>
        <v>0.29499999999999998</v>
      </c>
      <c r="AK292" s="467">
        <f t="shared" si="927"/>
        <v>0.29499999999999998</v>
      </c>
      <c r="AL292" s="467">
        <f t="shared" si="927"/>
        <v>0.29499999999999998</v>
      </c>
      <c r="AM292" s="467">
        <f t="shared" si="927"/>
        <v>0.29499999999999998</v>
      </c>
      <c r="AN292" s="467">
        <f t="shared" si="927"/>
        <v>0.29499999999999998</v>
      </c>
      <c r="AO292" s="467">
        <f t="shared" si="927"/>
        <v>0.29499999999999998</v>
      </c>
      <c r="AP292" s="467">
        <f t="shared" si="927"/>
        <v>0.29499999999999998</v>
      </c>
      <c r="AQ292" s="467">
        <f t="shared" si="927"/>
        <v>0.29499999999999998</v>
      </c>
      <c r="AR292" s="467">
        <f t="shared" si="927"/>
        <v>0.29499999999999998</v>
      </c>
      <c r="AS292" s="467">
        <f t="shared" si="927"/>
        <v>0.29499999999999998</v>
      </c>
      <c r="AT292" s="467">
        <f t="shared" si="927"/>
        <v>0.29499999999999998</v>
      </c>
      <c r="AU292" s="467">
        <f t="shared" si="927"/>
        <v>0.29499999999999998</v>
      </c>
      <c r="AV292" s="467">
        <f t="shared" si="927"/>
        <v>0.29499999999999998</v>
      </c>
      <c r="AW292" s="467">
        <f t="shared" si="927"/>
        <v>0.29499999999999998</v>
      </c>
      <c r="AX292" s="467">
        <f t="shared" si="927"/>
        <v>0.29499999999999998</v>
      </c>
      <c r="AY292" s="467">
        <v>0.377</v>
      </c>
      <c r="AZ292" s="467">
        <v>0.377</v>
      </c>
      <c r="BA292" s="467">
        <v>0.377</v>
      </c>
      <c r="BB292" s="467">
        <v>0.377</v>
      </c>
      <c r="BC292" s="467">
        <v>0.377</v>
      </c>
      <c r="BD292" s="467">
        <v>0.377</v>
      </c>
      <c r="BE292" s="467">
        <v>0.377</v>
      </c>
      <c r="BF292" s="467">
        <v>0.377</v>
      </c>
      <c r="BG292" s="467">
        <v>0.377</v>
      </c>
      <c r="BH292" s="467">
        <v>0.377</v>
      </c>
      <c r="BI292" s="467">
        <v>0.377</v>
      </c>
      <c r="BJ292" s="467">
        <v>0.377</v>
      </c>
    </row>
    <row r="293" spans="2:62">
      <c r="B293" s="83" t="s">
        <v>243</v>
      </c>
      <c r="C293" s="467">
        <v>7.0000000000000007E-2</v>
      </c>
      <c r="D293" s="467">
        <v>6.5000000000000002E-2</v>
      </c>
      <c r="E293" s="467">
        <v>6.5000000000000002E-2</v>
      </c>
      <c r="F293" s="467">
        <v>6.5000000000000002E-2</v>
      </c>
      <c r="G293" s="467">
        <v>0.08</v>
      </c>
      <c r="H293" s="467">
        <v>0.08</v>
      </c>
      <c r="I293" s="467">
        <v>0.08</v>
      </c>
      <c r="J293" s="467">
        <v>0.08</v>
      </c>
      <c r="K293" s="467">
        <v>0.08</v>
      </c>
      <c r="L293" s="467">
        <v>0.08</v>
      </c>
      <c r="M293" s="467">
        <v>0.08</v>
      </c>
      <c r="N293" s="467">
        <v>0.08</v>
      </c>
      <c r="O293" s="467">
        <v>0.08</v>
      </c>
      <c r="P293" s="467">
        <v>0.08</v>
      </c>
      <c r="Q293" s="467">
        <v>0.08</v>
      </c>
      <c r="R293" s="467">
        <v>0.08</v>
      </c>
      <c r="S293" s="467">
        <v>0.08</v>
      </c>
      <c r="T293" s="467">
        <v>0.08</v>
      </c>
      <c r="U293" s="467">
        <v>0.08</v>
      </c>
      <c r="V293" s="467">
        <v>0.08</v>
      </c>
      <c r="W293" s="467">
        <v>0.08</v>
      </c>
      <c r="X293" s="467">
        <v>0.08</v>
      </c>
      <c r="Y293" s="467">
        <v>0.08</v>
      </c>
      <c r="Z293" s="467">
        <v>0.08</v>
      </c>
      <c r="AA293" s="467">
        <v>0.08</v>
      </c>
      <c r="AB293" s="467">
        <v>0.08</v>
      </c>
      <c r="AC293" s="467">
        <v>0.08</v>
      </c>
      <c r="AD293" s="467">
        <v>0.08</v>
      </c>
      <c r="AE293" s="467">
        <v>0.08</v>
      </c>
      <c r="AF293" s="467">
        <v>0.08</v>
      </c>
      <c r="AG293" s="467">
        <v>0.08</v>
      </c>
      <c r="AH293" s="467">
        <v>0.08</v>
      </c>
      <c r="AI293" s="467">
        <v>0.08</v>
      </c>
      <c r="AJ293" s="467">
        <v>0.08</v>
      </c>
      <c r="AK293" s="467">
        <v>0.08</v>
      </c>
      <c r="AL293" s="467">
        <v>0.08</v>
      </c>
      <c r="AM293" s="467">
        <v>0.08</v>
      </c>
      <c r="AN293" s="467">
        <v>0.08</v>
      </c>
      <c r="AO293" s="467">
        <v>0.08</v>
      </c>
      <c r="AP293" s="467">
        <v>0.08</v>
      </c>
      <c r="AQ293" s="467">
        <v>0.08</v>
      </c>
      <c r="AR293" s="467">
        <v>0.08</v>
      </c>
      <c r="AS293" s="467">
        <v>0.08</v>
      </c>
      <c r="AT293" s="467">
        <v>0.08</v>
      </c>
      <c r="AU293" s="467">
        <v>0.08</v>
      </c>
      <c r="AV293" s="467">
        <v>0.08</v>
      </c>
      <c r="AW293" s="467">
        <v>0.08</v>
      </c>
      <c r="AX293" s="467">
        <v>0.08</v>
      </c>
      <c r="AY293" s="467">
        <v>0.08</v>
      </c>
      <c r="AZ293" s="467">
        <v>0.08</v>
      </c>
      <c r="BA293" s="467">
        <v>0.08</v>
      </c>
      <c r="BB293" s="467">
        <v>0.08</v>
      </c>
      <c r="BC293" s="467">
        <v>0.08</v>
      </c>
      <c r="BD293" s="467">
        <v>0.08</v>
      </c>
      <c r="BE293" s="467">
        <v>0.08</v>
      </c>
      <c r="BF293" s="467">
        <v>0.08</v>
      </c>
      <c r="BG293" s="467">
        <v>0.08</v>
      </c>
      <c r="BH293" s="467">
        <v>0.08</v>
      </c>
      <c r="BI293" s="467">
        <v>0.08</v>
      </c>
      <c r="BJ293" s="467">
        <v>0.08</v>
      </c>
    </row>
    <row r="294" spans="2:62">
      <c r="B294" s="83" t="s">
        <v>244</v>
      </c>
      <c r="C294" s="467">
        <v>0.15</v>
      </c>
      <c r="D294" s="467">
        <f>+C294</f>
        <v>0.15</v>
      </c>
      <c r="E294" s="467">
        <f t="shared" ref="E294:T295" si="928">+D294</f>
        <v>0.15</v>
      </c>
      <c r="F294" s="467">
        <f t="shared" si="928"/>
        <v>0.15</v>
      </c>
      <c r="G294" s="467">
        <f t="shared" si="928"/>
        <v>0.15</v>
      </c>
      <c r="H294" s="467">
        <f t="shared" si="928"/>
        <v>0.15</v>
      </c>
      <c r="I294" s="467">
        <f t="shared" si="928"/>
        <v>0.15</v>
      </c>
      <c r="J294" s="467">
        <f t="shared" si="928"/>
        <v>0.15</v>
      </c>
      <c r="K294" s="467">
        <f t="shared" si="928"/>
        <v>0.15</v>
      </c>
      <c r="L294" s="467">
        <f t="shared" si="928"/>
        <v>0.15</v>
      </c>
      <c r="M294" s="467">
        <f t="shared" si="928"/>
        <v>0.15</v>
      </c>
      <c r="N294" s="467">
        <f t="shared" si="928"/>
        <v>0.15</v>
      </c>
      <c r="O294" s="467">
        <f t="shared" si="928"/>
        <v>0.15</v>
      </c>
      <c r="P294" s="467">
        <f t="shared" si="928"/>
        <v>0.15</v>
      </c>
      <c r="Q294" s="467">
        <f t="shared" si="928"/>
        <v>0.15</v>
      </c>
      <c r="R294" s="467">
        <f t="shared" si="928"/>
        <v>0.15</v>
      </c>
      <c r="S294" s="467">
        <f t="shared" si="928"/>
        <v>0.15</v>
      </c>
      <c r="T294" s="467">
        <f t="shared" si="928"/>
        <v>0.15</v>
      </c>
      <c r="U294" s="467">
        <f t="shared" ref="U294:AJ295" si="929">+T294</f>
        <v>0.15</v>
      </c>
      <c r="V294" s="467">
        <f t="shared" si="929"/>
        <v>0.15</v>
      </c>
      <c r="W294" s="467">
        <f t="shared" si="929"/>
        <v>0.15</v>
      </c>
      <c r="X294" s="467">
        <f t="shared" si="929"/>
        <v>0.15</v>
      </c>
      <c r="Y294" s="467">
        <f t="shared" si="929"/>
        <v>0.15</v>
      </c>
      <c r="Z294" s="467">
        <f t="shared" si="929"/>
        <v>0.15</v>
      </c>
      <c r="AA294" s="467">
        <f t="shared" si="929"/>
        <v>0.15</v>
      </c>
      <c r="AB294" s="467">
        <f t="shared" si="929"/>
        <v>0.15</v>
      </c>
      <c r="AC294" s="467">
        <f t="shared" si="929"/>
        <v>0.15</v>
      </c>
      <c r="AD294" s="467">
        <f t="shared" si="929"/>
        <v>0.15</v>
      </c>
      <c r="AE294" s="467">
        <f t="shared" si="929"/>
        <v>0.15</v>
      </c>
      <c r="AF294" s="467">
        <f t="shared" si="929"/>
        <v>0.15</v>
      </c>
      <c r="AG294" s="467">
        <f t="shared" si="929"/>
        <v>0.15</v>
      </c>
      <c r="AH294" s="467">
        <f t="shared" si="929"/>
        <v>0.15</v>
      </c>
      <c r="AI294" s="467">
        <f t="shared" si="929"/>
        <v>0.15</v>
      </c>
      <c r="AJ294" s="467">
        <f t="shared" si="929"/>
        <v>0.15</v>
      </c>
      <c r="AK294" s="467">
        <f t="shared" ref="AK294:AX295" si="930">+AJ294</f>
        <v>0.15</v>
      </c>
      <c r="AL294" s="467">
        <f t="shared" si="930"/>
        <v>0.15</v>
      </c>
      <c r="AM294" s="467">
        <f t="shared" si="930"/>
        <v>0.15</v>
      </c>
      <c r="AN294" s="467">
        <f t="shared" si="930"/>
        <v>0.15</v>
      </c>
      <c r="AO294" s="467">
        <f t="shared" si="930"/>
        <v>0.15</v>
      </c>
      <c r="AP294" s="467">
        <f t="shared" si="930"/>
        <v>0.15</v>
      </c>
      <c r="AQ294" s="467">
        <f t="shared" si="930"/>
        <v>0.15</v>
      </c>
      <c r="AR294" s="467">
        <f t="shared" si="930"/>
        <v>0.15</v>
      </c>
      <c r="AS294" s="467">
        <f t="shared" si="930"/>
        <v>0.15</v>
      </c>
      <c r="AT294" s="467">
        <f t="shared" si="930"/>
        <v>0.15</v>
      </c>
      <c r="AU294" s="467">
        <f t="shared" si="930"/>
        <v>0.15</v>
      </c>
      <c r="AV294" s="467">
        <f t="shared" si="930"/>
        <v>0.15</v>
      </c>
      <c r="AW294" s="467">
        <f t="shared" si="930"/>
        <v>0.15</v>
      </c>
      <c r="AX294" s="467">
        <f t="shared" si="930"/>
        <v>0.15</v>
      </c>
      <c r="AY294" s="467">
        <v>0.15</v>
      </c>
      <c r="AZ294" s="467">
        <v>0.15</v>
      </c>
      <c r="BA294" s="467">
        <v>0.15</v>
      </c>
      <c r="BB294" s="467">
        <v>0.15</v>
      </c>
      <c r="BC294" s="467">
        <v>0.15</v>
      </c>
      <c r="BD294" s="467">
        <v>0.15</v>
      </c>
      <c r="BE294" s="467">
        <v>0.15</v>
      </c>
      <c r="BF294" s="467">
        <v>0.15</v>
      </c>
      <c r="BG294" s="467">
        <v>0.15</v>
      </c>
      <c r="BH294" s="467">
        <v>0.15</v>
      </c>
      <c r="BI294" s="467">
        <v>0.15</v>
      </c>
      <c r="BJ294" s="467">
        <v>0.15</v>
      </c>
    </row>
    <row r="295" spans="2:62">
      <c r="B295" s="83" t="s">
        <v>407</v>
      </c>
      <c r="C295" s="467">
        <v>0.55000000000000004</v>
      </c>
      <c r="D295" s="467">
        <f>+C295</f>
        <v>0.55000000000000004</v>
      </c>
      <c r="E295" s="467">
        <f t="shared" si="928"/>
        <v>0.55000000000000004</v>
      </c>
      <c r="F295" s="467">
        <f t="shared" si="928"/>
        <v>0.55000000000000004</v>
      </c>
      <c r="G295" s="467">
        <f t="shared" si="928"/>
        <v>0.55000000000000004</v>
      </c>
      <c r="H295" s="467">
        <f t="shared" si="928"/>
        <v>0.55000000000000004</v>
      </c>
      <c r="I295" s="467">
        <f t="shared" si="928"/>
        <v>0.55000000000000004</v>
      </c>
      <c r="J295" s="467">
        <f t="shared" si="928"/>
        <v>0.55000000000000004</v>
      </c>
      <c r="K295" s="467">
        <f t="shared" si="928"/>
        <v>0.55000000000000004</v>
      </c>
      <c r="L295" s="467">
        <v>0.45</v>
      </c>
      <c r="M295" s="467">
        <f t="shared" si="928"/>
        <v>0.45</v>
      </c>
      <c r="N295" s="467">
        <f t="shared" si="928"/>
        <v>0.45</v>
      </c>
      <c r="O295" s="467">
        <f t="shared" si="928"/>
        <v>0.45</v>
      </c>
      <c r="P295" s="467">
        <f t="shared" si="928"/>
        <v>0.45</v>
      </c>
      <c r="Q295" s="467">
        <f t="shared" si="928"/>
        <v>0.45</v>
      </c>
      <c r="R295" s="467">
        <f t="shared" si="928"/>
        <v>0.45</v>
      </c>
      <c r="S295" s="467">
        <f t="shared" si="928"/>
        <v>0.45</v>
      </c>
      <c r="T295" s="467">
        <f t="shared" si="928"/>
        <v>0.45</v>
      </c>
      <c r="U295" s="467">
        <f t="shared" si="929"/>
        <v>0.45</v>
      </c>
      <c r="V295" s="467">
        <f t="shared" si="929"/>
        <v>0.45</v>
      </c>
      <c r="W295" s="467">
        <f t="shared" si="929"/>
        <v>0.45</v>
      </c>
      <c r="X295" s="467">
        <f t="shared" si="929"/>
        <v>0.45</v>
      </c>
      <c r="Y295" s="467">
        <f t="shared" si="929"/>
        <v>0.45</v>
      </c>
      <c r="Z295" s="467">
        <v>0.47499999999999998</v>
      </c>
      <c r="AA295" s="467">
        <f t="shared" si="929"/>
        <v>0.47499999999999998</v>
      </c>
      <c r="AB295" s="467">
        <f t="shared" si="929"/>
        <v>0.47499999999999998</v>
      </c>
      <c r="AC295" s="467">
        <f t="shared" si="929"/>
        <v>0.47499999999999998</v>
      </c>
      <c r="AD295" s="467">
        <f t="shared" si="929"/>
        <v>0.47499999999999998</v>
      </c>
      <c r="AE295" s="467">
        <f t="shared" si="929"/>
        <v>0.47499999999999998</v>
      </c>
      <c r="AF295" s="467">
        <f t="shared" si="929"/>
        <v>0.47499999999999998</v>
      </c>
      <c r="AG295" s="467">
        <f t="shared" si="929"/>
        <v>0.47499999999999998</v>
      </c>
      <c r="AH295" s="467">
        <f t="shared" si="929"/>
        <v>0.47499999999999998</v>
      </c>
      <c r="AI295" s="467">
        <f t="shared" si="929"/>
        <v>0.47499999999999998</v>
      </c>
      <c r="AJ295" s="467">
        <f t="shared" si="929"/>
        <v>0.47499999999999998</v>
      </c>
      <c r="AK295" s="467">
        <f t="shared" si="930"/>
        <v>0.47499999999999998</v>
      </c>
      <c r="AL295" s="467">
        <f t="shared" si="930"/>
        <v>0.47499999999999998</v>
      </c>
      <c r="AM295" s="467">
        <f t="shared" si="930"/>
        <v>0.47499999999999998</v>
      </c>
      <c r="AN295" s="467">
        <f t="shared" si="930"/>
        <v>0.47499999999999998</v>
      </c>
      <c r="AO295" s="467">
        <f t="shared" si="930"/>
        <v>0.47499999999999998</v>
      </c>
      <c r="AP295" s="467">
        <f t="shared" si="930"/>
        <v>0.47499999999999998</v>
      </c>
      <c r="AQ295" s="467">
        <f t="shared" si="930"/>
        <v>0.47499999999999998</v>
      </c>
      <c r="AR295" s="467">
        <f t="shared" si="930"/>
        <v>0.47499999999999998</v>
      </c>
      <c r="AS295" s="467">
        <f t="shared" si="930"/>
        <v>0.47499999999999998</v>
      </c>
      <c r="AT295" s="467">
        <f t="shared" si="930"/>
        <v>0.47499999999999998</v>
      </c>
      <c r="AU295" s="467">
        <f t="shared" si="930"/>
        <v>0.47499999999999998</v>
      </c>
      <c r="AV295" s="467">
        <f t="shared" si="930"/>
        <v>0.47499999999999998</v>
      </c>
      <c r="AW295" s="467">
        <f t="shared" si="930"/>
        <v>0.47499999999999998</v>
      </c>
      <c r="AX295" s="467">
        <f t="shared" si="930"/>
        <v>0.47499999999999998</v>
      </c>
      <c r="AY295" s="467">
        <v>0.45</v>
      </c>
      <c r="AZ295" s="467">
        <v>0.45</v>
      </c>
      <c r="BA295" s="467">
        <v>0.45</v>
      </c>
      <c r="BB295" s="467">
        <v>0.45</v>
      </c>
      <c r="BC295" s="467">
        <v>0.45</v>
      </c>
      <c r="BD295" s="467">
        <v>0.45</v>
      </c>
      <c r="BE295" s="467">
        <v>0.45</v>
      </c>
      <c r="BF295" s="467">
        <v>0.45</v>
      </c>
      <c r="BG295" s="467">
        <v>0.45</v>
      </c>
      <c r="BH295" s="467">
        <v>0.45</v>
      </c>
      <c r="BI295" s="467">
        <v>0.45</v>
      </c>
      <c r="BJ295" s="467">
        <v>0.45</v>
      </c>
    </row>
    <row r="296" spans="2:62">
      <c r="B296" s="83" t="s">
        <v>429</v>
      </c>
      <c r="C296" s="467">
        <f>0.32315+0.05</f>
        <v>0.37314999999999998</v>
      </c>
      <c r="D296" s="467">
        <f t="shared" ref="D296" si="931">C296</f>
        <v>0.37314999999999998</v>
      </c>
      <c r="E296" s="467">
        <f t="shared" ref="E296" si="932">D296</f>
        <v>0.37314999999999998</v>
      </c>
      <c r="F296" s="467">
        <f t="shared" ref="F296" si="933">E296</f>
        <v>0.37314999999999998</v>
      </c>
      <c r="G296" s="467">
        <f t="shared" ref="G296" si="934">F296</f>
        <v>0.37314999999999998</v>
      </c>
      <c r="H296" s="467">
        <f t="shared" ref="H296" si="935">G296</f>
        <v>0.37314999999999998</v>
      </c>
      <c r="I296" s="467">
        <f t="shared" ref="I296" si="936">H296</f>
        <v>0.37314999999999998</v>
      </c>
      <c r="J296" s="467">
        <f t="shared" ref="J296" si="937">I296</f>
        <v>0.37314999999999998</v>
      </c>
      <c r="K296" s="467">
        <f t="shared" ref="K296" si="938">J296</f>
        <v>0.37314999999999998</v>
      </c>
      <c r="L296" s="467">
        <f>+(0.31308+0.28926)/2</f>
        <v>0.30117000000000005</v>
      </c>
      <c r="M296" s="467">
        <f t="shared" ref="M296" si="939">L296</f>
        <v>0.30117000000000005</v>
      </c>
      <c r="N296" s="467">
        <f t="shared" ref="N296" si="940">M296</f>
        <v>0.30117000000000005</v>
      </c>
      <c r="O296" s="467">
        <f t="shared" ref="O296" si="941">N296</f>
        <v>0.30117000000000005</v>
      </c>
      <c r="P296" s="467">
        <v>0.36399999999999999</v>
      </c>
      <c r="Q296" s="467">
        <f t="shared" ref="Q296" si="942">P296</f>
        <v>0.36399999999999999</v>
      </c>
      <c r="R296" s="467">
        <f t="shared" ref="R296" si="943">Q296</f>
        <v>0.36399999999999999</v>
      </c>
      <c r="S296" s="467">
        <f t="shared" ref="S296" si="944">R296</f>
        <v>0.36399999999999999</v>
      </c>
      <c r="T296" s="467">
        <f t="shared" ref="T296" si="945">S296</f>
        <v>0.36399999999999999</v>
      </c>
      <c r="U296" s="467">
        <f t="shared" ref="U296" si="946">T296</f>
        <v>0.36399999999999999</v>
      </c>
      <c r="V296" s="467">
        <f t="shared" ref="V296" si="947">U296</f>
        <v>0.36399999999999999</v>
      </c>
      <c r="W296" s="467">
        <f t="shared" ref="W296" si="948">V296</f>
        <v>0.36399999999999999</v>
      </c>
      <c r="X296" s="467">
        <f t="shared" ref="X296" si="949">W296</f>
        <v>0.36399999999999999</v>
      </c>
      <c r="Y296" s="467">
        <v>0.35</v>
      </c>
      <c r="Z296" s="467">
        <f t="shared" ref="Z296" si="950">Y296</f>
        <v>0.35</v>
      </c>
      <c r="AA296" s="467">
        <v>0.34200000000000003</v>
      </c>
      <c r="AB296" s="467">
        <f t="shared" ref="AB296:AB297" si="951">AA296</f>
        <v>0.34200000000000003</v>
      </c>
      <c r="AC296" s="467">
        <v>0.35499999999999998</v>
      </c>
      <c r="AD296" s="467">
        <f t="shared" ref="AD296:AD297" si="952">AC296</f>
        <v>0.35499999999999998</v>
      </c>
      <c r="AE296" s="467">
        <f t="shared" ref="AE296:AE297" si="953">AD296</f>
        <v>0.35499999999999998</v>
      </c>
      <c r="AF296" s="467">
        <f t="shared" ref="AF296:AF297" si="954">AE296</f>
        <v>0.35499999999999998</v>
      </c>
      <c r="AG296" s="467">
        <v>0.36840000000000001</v>
      </c>
      <c r="AH296" s="467">
        <f t="shared" ref="AH296:AH297" si="955">AG296</f>
        <v>0.36840000000000001</v>
      </c>
      <c r="AI296" s="467">
        <v>0.376</v>
      </c>
      <c r="AJ296" s="467">
        <f t="shared" ref="AJ296:AJ297" si="956">AI296</f>
        <v>0.376</v>
      </c>
      <c r="AK296" s="467">
        <f t="shared" ref="AK296:AK297" si="957">AJ296</f>
        <v>0.376</v>
      </c>
      <c r="AL296" s="467">
        <f t="shared" ref="AL296:AL297" si="958">AK296</f>
        <v>0.376</v>
      </c>
      <c r="AM296" s="467">
        <f t="shared" ref="AM296:AM297" si="959">AL296</f>
        <v>0.376</v>
      </c>
      <c r="AN296" s="467">
        <f t="shared" ref="AN296:AN297" si="960">AM296</f>
        <v>0.376</v>
      </c>
      <c r="AO296" s="467">
        <f t="shared" ref="AO296:AO297" si="961">AN296</f>
        <v>0.376</v>
      </c>
      <c r="AP296" s="467">
        <f t="shared" ref="AP296:AP297" si="962">AO296</f>
        <v>0.376</v>
      </c>
      <c r="AQ296" s="467">
        <f t="shared" ref="AQ296:AQ297" si="963">AP296</f>
        <v>0.376</v>
      </c>
      <c r="AR296" s="467">
        <f t="shared" ref="AR296:AR297" si="964">AQ296</f>
        <v>0.376</v>
      </c>
      <c r="AS296" s="467">
        <f t="shared" ref="AS296:AS297" si="965">AR296</f>
        <v>0.376</v>
      </c>
      <c r="AT296" s="467">
        <f t="shared" ref="AT296:AT297" si="966">AS296</f>
        <v>0.376</v>
      </c>
      <c r="AU296" s="467">
        <f t="shared" ref="AU296:AU297" si="967">AT296</f>
        <v>0.376</v>
      </c>
      <c r="AV296" s="467">
        <f t="shared" ref="AV296:AV297" si="968">AU296</f>
        <v>0.376</v>
      </c>
      <c r="AW296" s="467">
        <f t="shared" ref="AW296:AW297" si="969">AV296</f>
        <v>0.376</v>
      </c>
      <c r="AX296" s="467">
        <f t="shared" ref="AX296:AX297" si="970">AW296</f>
        <v>0.376</v>
      </c>
      <c r="AY296" s="467">
        <v>0.36399999999999999</v>
      </c>
      <c r="AZ296" s="467">
        <v>0.36399999999999999</v>
      </c>
      <c r="BA296" s="467">
        <v>0.36399999999999999</v>
      </c>
      <c r="BB296" s="467">
        <v>0.36399999999999999</v>
      </c>
      <c r="BC296" s="467">
        <v>0.36399999999999999</v>
      </c>
      <c r="BD296" s="467">
        <v>0.36399999999999999</v>
      </c>
      <c r="BE296" s="467">
        <v>0.36399999999999999</v>
      </c>
      <c r="BF296" s="467">
        <v>0.36399999999999999</v>
      </c>
      <c r="BG296" s="467">
        <v>0.36399999999999999</v>
      </c>
      <c r="BH296" s="467">
        <v>0.36399999999999999</v>
      </c>
      <c r="BI296" s="467">
        <v>0.36399999999999999</v>
      </c>
      <c r="BJ296" s="467">
        <v>0.36399999999999999</v>
      </c>
    </row>
    <row r="297" spans="2:62">
      <c r="B297" s="83" t="s">
        <v>434</v>
      </c>
      <c r="C297" s="467">
        <v>0.33700000000000002</v>
      </c>
      <c r="D297" s="467">
        <v>0.33700000000000002</v>
      </c>
      <c r="E297" s="467">
        <v>0.33700000000000002</v>
      </c>
      <c r="F297" s="467">
        <v>0.33700000000000002</v>
      </c>
      <c r="G297" s="467">
        <v>0.33700000000000002</v>
      </c>
      <c r="H297" s="467">
        <v>0.33700000000000002</v>
      </c>
      <c r="I297" s="467">
        <v>0.33700000000000002</v>
      </c>
      <c r="J297" s="467">
        <v>0.33700000000000002</v>
      </c>
      <c r="K297" s="467">
        <v>0.33700000000000002</v>
      </c>
      <c r="L297" s="467">
        <v>0.33700000000000002</v>
      </c>
      <c r="M297" s="467">
        <v>0.33700000000000002</v>
      </c>
      <c r="N297" s="467">
        <v>0.33700000000000002</v>
      </c>
      <c r="O297" s="467">
        <v>0.33700000000000002</v>
      </c>
      <c r="P297" s="467">
        <v>0.33700000000000002</v>
      </c>
      <c r="Q297" s="467">
        <v>0.33700000000000002</v>
      </c>
      <c r="R297" s="467">
        <v>0.33700000000000002</v>
      </c>
      <c r="S297" s="467">
        <v>0.33700000000000002</v>
      </c>
      <c r="T297" s="467">
        <v>0.33700000000000002</v>
      </c>
      <c r="U297" s="467">
        <v>0.33700000000000002</v>
      </c>
      <c r="V297" s="467">
        <v>0.33700000000000002</v>
      </c>
      <c r="W297" s="467">
        <v>0.33700000000000002</v>
      </c>
      <c r="X297" s="467">
        <v>0.33700000000000002</v>
      </c>
      <c r="Y297" s="467">
        <v>0.32500000000000001</v>
      </c>
      <c r="Z297" s="467">
        <f>Y297</f>
        <v>0.32500000000000001</v>
      </c>
      <c r="AA297" s="467">
        <f t="shared" ref="AA297" si="971">Z297</f>
        <v>0.32500000000000001</v>
      </c>
      <c r="AB297" s="467">
        <f t="shared" si="951"/>
        <v>0.32500000000000001</v>
      </c>
      <c r="AC297" s="467">
        <v>0.35499999999999998</v>
      </c>
      <c r="AD297" s="467">
        <f t="shared" si="952"/>
        <v>0.35499999999999998</v>
      </c>
      <c r="AE297" s="467">
        <f t="shared" si="953"/>
        <v>0.35499999999999998</v>
      </c>
      <c r="AF297" s="467">
        <f t="shared" si="954"/>
        <v>0.35499999999999998</v>
      </c>
      <c r="AG297" s="467">
        <f t="shared" ref="AG297" si="972">AF297</f>
        <v>0.35499999999999998</v>
      </c>
      <c r="AH297" s="467">
        <f t="shared" si="955"/>
        <v>0.35499999999999998</v>
      </c>
      <c r="AI297" s="467">
        <f t="shared" ref="AI297" si="973">AH297</f>
        <v>0.35499999999999998</v>
      </c>
      <c r="AJ297" s="467">
        <f t="shared" si="956"/>
        <v>0.35499999999999998</v>
      </c>
      <c r="AK297" s="467">
        <f t="shared" si="957"/>
        <v>0.35499999999999998</v>
      </c>
      <c r="AL297" s="467">
        <f t="shared" si="958"/>
        <v>0.35499999999999998</v>
      </c>
      <c r="AM297" s="467">
        <f t="shared" si="959"/>
        <v>0.35499999999999998</v>
      </c>
      <c r="AN297" s="467">
        <f t="shared" si="960"/>
        <v>0.35499999999999998</v>
      </c>
      <c r="AO297" s="467">
        <f t="shared" si="961"/>
        <v>0.35499999999999998</v>
      </c>
      <c r="AP297" s="467">
        <f t="shared" si="962"/>
        <v>0.35499999999999998</v>
      </c>
      <c r="AQ297" s="467">
        <f t="shared" si="963"/>
        <v>0.35499999999999998</v>
      </c>
      <c r="AR297" s="467">
        <f t="shared" si="964"/>
        <v>0.35499999999999998</v>
      </c>
      <c r="AS297" s="467">
        <f t="shared" si="965"/>
        <v>0.35499999999999998</v>
      </c>
      <c r="AT297" s="467">
        <f t="shared" si="966"/>
        <v>0.35499999999999998</v>
      </c>
      <c r="AU297" s="467">
        <f t="shared" si="967"/>
        <v>0.35499999999999998</v>
      </c>
      <c r="AV297" s="467">
        <f t="shared" si="968"/>
        <v>0.35499999999999998</v>
      </c>
      <c r="AW297" s="467">
        <f t="shared" si="969"/>
        <v>0.35499999999999998</v>
      </c>
      <c r="AX297" s="467">
        <f t="shared" si="970"/>
        <v>0.35499999999999998</v>
      </c>
      <c r="AY297" s="467">
        <f t="shared" ref="AY297:BJ297" si="974">AX297</f>
        <v>0.35499999999999998</v>
      </c>
      <c r="AZ297" s="467">
        <f t="shared" si="974"/>
        <v>0.35499999999999998</v>
      </c>
      <c r="BA297" s="467">
        <f t="shared" si="974"/>
        <v>0.35499999999999998</v>
      </c>
      <c r="BB297" s="467">
        <f t="shared" si="974"/>
        <v>0.35499999999999998</v>
      </c>
      <c r="BC297" s="467">
        <f t="shared" si="974"/>
        <v>0.35499999999999998</v>
      </c>
      <c r="BD297" s="467">
        <f t="shared" si="974"/>
        <v>0.35499999999999998</v>
      </c>
      <c r="BE297" s="467">
        <f t="shared" si="974"/>
        <v>0.35499999999999998</v>
      </c>
      <c r="BF297" s="467">
        <f t="shared" si="974"/>
        <v>0.35499999999999998</v>
      </c>
      <c r="BG297" s="467">
        <f t="shared" si="974"/>
        <v>0.35499999999999998</v>
      </c>
      <c r="BH297" s="467">
        <f t="shared" si="974"/>
        <v>0.35499999999999998</v>
      </c>
      <c r="BI297" s="467">
        <f t="shared" si="974"/>
        <v>0.35499999999999998</v>
      </c>
      <c r="BJ297" s="467">
        <f t="shared" si="974"/>
        <v>0.35499999999999998</v>
      </c>
    </row>
    <row r="299" spans="2:62">
      <c r="B299" s="82" t="s">
        <v>304</v>
      </c>
      <c r="C299" s="79">
        <f>SUM(C300:C301)</f>
        <v>28156.948800000002</v>
      </c>
      <c r="D299" s="79">
        <f t="shared" ref="D299:AX299" si="975">SUM(D300:D301)</f>
        <v>20760.684000000001</v>
      </c>
      <c r="E299" s="79">
        <f t="shared" si="975"/>
        <v>36005.25</v>
      </c>
      <c r="F299" s="79">
        <f t="shared" si="975"/>
        <v>9436.44</v>
      </c>
      <c r="G299" s="79">
        <f t="shared" si="975"/>
        <v>20342.32</v>
      </c>
      <c r="H299" s="79">
        <f t="shared" si="975"/>
        <v>4000</v>
      </c>
      <c r="I299" s="79">
        <f t="shared" si="975"/>
        <v>0</v>
      </c>
      <c r="J299" s="79">
        <f>SUM(J300:J301)</f>
        <v>12610.820000000002</v>
      </c>
      <c r="K299" s="79">
        <f t="shared" si="975"/>
        <v>0</v>
      </c>
      <c r="L299" s="79">
        <f t="shared" si="975"/>
        <v>0</v>
      </c>
      <c r="M299" s="79">
        <f t="shared" si="975"/>
        <v>0</v>
      </c>
      <c r="N299" s="79">
        <f t="shared" si="975"/>
        <v>0</v>
      </c>
      <c r="O299" s="79">
        <f t="shared" si="975"/>
        <v>0</v>
      </c>
      <c r="P299" s="79">
        <f t="shared" si="975"/>
        <v>36388.207999999999</v>
      </c>
      <c r="Q299" s="79">
        <f t="shared" si="975"/>
        <v>12400</v>
      </c>
      <c r="R299" s="79">
        <f t="shared" si="975"/>
        <v>6740.2</v>
      </c>
      <c r="S299" s="79">
        <f t="shared" si="975"/>
        <v>20824.870999999999</v>
      </c>
      <c r="T299" s="79">
        <f t="shared" si="975"/>
        <v>6483.78</v>
      </c>
      <c r="U299" s="79">
        <f t="shared" si="975"/>
        <v>0</v>
      </c>
      <c r="V299" s="79">
        <f t="shared" si="975"/>
        <v>0</v>
      </c>
      <c r="W299" s="79">
        <f t="shared" si="975"/>
        <v>11992.103999999999</v>
      </c>
      <c r="X299" s="79">
        <f t="shared" si="975"/>
        <v>6390.9</v>
      </c>
      <c r="Y299" s="79">
        <f t="shared" si="975"/>
        <v>6265</v>
      </c>
      <c r="Z299" s="79">
        <f t="shared" si="975"/>
        <v>5140.5120000000006</v>
      </c>
      <c r="AA299" s="79">
        <f t="shared" si="975"/>
        <v>37280.160000000003</v>
      </c>
      <c r="AB299" s="79">
        <f t="shared" si="975"/>
        <v>17589.378000000001</v>
      </c>
      <c r="AC299" s="79">
        <f t="shared" si="975"/>
        <v>14205.728999999999</v>
      </c>
      <c r="AD299" s="79">
        <f>SUM(AD300:AD301)</f>
        <v>4748.4255000000003</v>
      </c>
      <c r="AE299" s="79">
        <f t="shared" si="975"/>
        <v>12289.42</v>
      </c>
      <c r="AF299" s="79">
        <f t="shared" si="975"/>
        <v>4756.92</v>
      </c>
      <c r="AG299" s="79">
        <f t="shared" si="975"/>
        <v>6682.7759999999998</v>
      </c>
      <c r="AH299" s="79">
        <f t="shared" si="975"/>
        <v>12060.367399999999</v>
      </c>
      <c r="AI299" s="79">
        <f t="shared" si="975"/>
        <v>6895.84</v>
      </c>
      <c r="AJ299" s="79">
        <f t="shared" si="975"/>
        <v>13138</v>
      </c>
      <c r="AK299" s="79">
        <f t="shared" si="975"/>
        <v>4700</v>
      </c>
      <c r="AL299" s="79">
        <f t="shared" si="975"/>
        <v>1665.54</v>
      </c>
      <c r="AM299" s="79">
        <f t="shared" si="975"/>
        <v>40068.21</v>
      </c>
      <c r="AN299" s="79">
        <f t="shared" si="975"/>
        <v>15160.220000000001</v>
      </c>
      <c r="AO299" s="79">
        <f t="shared" si="975"/>
        <v>14922.720000000001</v>
      </c>
      <c r="AP299" s="79">
        <f t="shared" si="975"/>
        <v>26444.16</v>
      </c>
      <c r="AQ299" s="79">
        <f t="shared" si="975"/>
        <v>8154.72</v>
      </c>
      <c r="AR299" s="79">
        <f t="shared" si="975"/>
        <v>5096.7000000000007</v>
      </c>
      <c r="AS299" s="79">
        <f t="shared" si="975"/>
        <v>6278.77</v>
      </c>
      <c r="AT299" s="79">
        <f t="shared" si="975"/>
        <v>4916.4400000000005</v>
      </c>
      <c r="AU299" s="79">
        <f t="shared" si="975"/>
        <v>19906</v>
      </c>
      <c r="AV299" s="79">
        <f t="shared" si="975"/>
        <v>0</v>
      </c>
      <c r="AW299" s="79">
        <f t="shared" si="975"/>
        <v>23554.440000000002</v>
      </c>
      <c r="AX299" s="79">
        <f t="shared" si="975"/>
        <v>12268</v>
      </c>
      <c r="AY299" s="79">
        <f t="shared" ref="AY299:BJ299" si="976">SUM(AY300:AY301)</f>
        <v>20432.683499999999</v>
      </c>
      <c r="AZ299" s="79">
        <f t="shared" si="976"/>
        <v>15197.039999999999</v>
      </c>
      <c r="BA299" s="79">
        <f t="shared" si="976"/>
        <v>13240.239999999998</v>
      </c>
      <c r="BB299" s="79">
        <f t="shared" si="976"/>
        <v>8645.0399999999991</v>
      </c>
      <c r="BC299" s="79">
        <f t="shared" si="976"/>
        <v>8645.0399999999991</v>
      </c>
      <c r="BD299" s="79">
        <f t="shared" si="976"/>
        <v>16386.77</v>
      </c>
      <c r="BE299" s="79">
        <f t="shared" si="976"/>
        <v>9714.6834999999992</v>
      </c>
      <c r="BF299" s="79">
        <f t="shared" si="976"/>
        <v>0</v>
      </c>
      <c r="BG299" s="79">
        <f t="shared" si="976"/>
        <v>21268</v>
      </c>
      <c r="BH299" s="79">
        <f t="shared" si="976"/>
        <v>5983</v>
      </c>
      <c r="BI299" s="79">
        <f t="shared" si="976"/>
        <v>10095.200000000001</v>
      </c>
      <c r="BJ299" s="79">
        <f t="shared" si="976"/>
        <v>11844</v>
      </c>
    </row>
    <row r="300" spans="2:62">
      <c r="B300" t="s">
        <v>178</v>
      </c>
      <c r="C300" s="62">
        <f t="shared" ref="C300:AX300" si="977">C168*C169*C170</f>
        <v>11900</v>
      </c>
      <c r="D300" s="62">
        <f t="shared" si="977"/>
        <v>10200</v>
      </c>
      <c r="E300" s="62">
        <f t="shared" si="977"/>
        <v>18700</v>
      </c>
      <c r="F300" s="62">
        <f t="shared" si="977"/>
        <v>0</v>
      </c>
      <c r="G300" s="62">
        <f t="shared" si="977"/>
        <v>0</v>
      </c>
      <c r="H300" s="62">
        <f t="shared" si="977"/>
        <v>0</v>
      </c>
      <c r="I300" s="62">
        <f t="shared" si="977"/>
        <v>0</v>
      </c>
      <c r="J300" s="62">
        <f t="shared" si="977"/>
        <v>0</v>
      </c>
      <c r="K300" s="62">
        <f t="shared" si="977"/>
        <v>0</v>
      </c>
      <c r="L300" s="62">
        <f t="shared" si="977"/>
        <v>0</v>
      </c>
      <c r="M300" s="62">
        <f t="shared" si="977"/>
        <v>0</v>
      </c>
      <c r="N300" s="62">
        <f t="shared" si="977"/>
        <v>0</v>
      </c>
      <c r="O300" s="62">
        <f t="shared" si="977"/>
        <v>0</v>
      </c>
      <c r="P300" s="62">
        <f t="shared" si="977"/>
        <v>14880</v>
      </c>
      <c r="Q300" s="62">
        <f t="shared" si="977"/>
        <v>12400</v>
      </c>
      <c r="R300" s="62">
        <f t="shared" si="977"/>
        <v>0</v>
      </c>
      <c r="S300" s="62">
        <f t="shared" si="977"/>
        <v>0</v>
      </c>
      <c r="T300" s="62">
        <f t="shared" si="977"/>
        <v>0</v>
      </c>
      <c r="U300" s="62">
        <f t="shared" si="977"/>
        <v>0</v>
      </c>
      <c r="V300" s="62">
        <f t="shared" si="977"/>
        <v>0</v>
      </c>
      <c r="W300" s="62">
        <f t="shared" si="977"/>
        <v>0</v>
      </c>
      <c r="X300" s="62">
        <f t="shared" si="977"/>
        <v>0</v>
      </c>
      <c r="Y300" s="62">
        <f t="shared" si="977"/>
        <v>0</v>
      </c>
      <c r="Z300" s="62">
        <f t="shared" si="977"/>
        <v>0</v>
      </c>
      <c r="AA300" s="62">
        <f t="shared" si="977"/>
        <v>18290</v>
      </c>
      <c r="AB300" s="62">
        <f t="shared" si="977"/>
        <v>0</v>
      </c>
      <c r="AC300" s="62">
        <f t="shared" si="977"/>
        <v>0</v>
      </c>
      <c r="AD300" s="62">
        <f t="shared" si="977"/>
        <v>0</v>
      </c>
      <c r="AE300" s="62">
        <f t="shared" si="977"/>
        <v>0</v>
      </c>
      <c r="AF300" s="62">
        <f t="shared" si="977"/>
        <v>0</v>
      </c>
      <c r="AG300" s="62">
        <f t="shared" si="977"/>
        <v>0</v>
      </c>
      <c r="AH300" s="62">
        <f t="shared" si="977"/>
        <v>0</v>
      </c>
      <c r="AI300" s="62">
        <f t="shared" si="977"/>
        <v>0</v>
      </c>
      <c r="AJ300" s="62">
        <f t="shared" si="977"/>
        <v>0</v>
      </c>
      <c r="AK300" s="62">
        <f t="shared" si="977"/>
        <v>0</v>
      </c>
      <c r="AL300" s="62">
        <f t="shared" si="977"/>
        <v>0</v>
      </c>
      <c r="AM300" s="62">
        <f t="shared" si="977"/>
        <v>15500</v>
      </c>
      <c r="AN300" s="62">
        <f t="shared" si="977"/>
        <v>0</v>
      </c>
      <c r="AO300" s="62">
        <f t="shared" si="977"/>
        <v>0</v>
      </c>
      <c r="AP300" s="62">
        <f t="shared" si="977"/>
        <v>0</v>
      </c>
      <c r="AQ300" s="62">
        <f t="shared" si="977"/>
        <v>0</v>
      </c>
      <c r="AR300" s="62">
        <f t="shared" si="977"/>
        <v>0</v>
      </c>
      <c r="AS300" s="62">
        <f t="shared" si="977"/>
        <v>0</v>
      </c>
      <c r="AT300" s="62">
        <f t="shared" si="977"/>
        <v>0</v>
      </c>
      <c r="AU300" s="62">
        <f t="shared" si="977"/>
        <v>0</v>
      </c>
      <c r="AV300" s="62">
        <f t="shared" si="977"/>
        <v>0</v>
      </c>
      <c r="AW300" s="62">
        <f t="shared" si="977"/>
        <v>5500</v>
      </c>
      <c r="AX300" s="62">
        <f t="shared" si="977"/>
        <v>5500</v>
      </c>
      <c r="AY300" s="62">
        <f t="shared" ref="AY300:BJ300" si="978">AY168*AY169*AY170</f>
        <v>5500</v>
      </c>
      <c r="AZ300" s="62">
        <f t="shared" si="978"/>
        <v>0</v>
      </c>
      <c r="BA300" s="62">
        <f t="shared" si="978"/>
        <v>0</v>
      </c>
      <c r="BB300" s="62">
        <f t="shared" si="978"/>
        <v>0</v>
      </c>
      <c r="BC300" s="62">
        <f t="shared" si="978"/>
        <v>0</v>
      </c>
      <c r="BD300" s="62">
        <f t="shared" si="978"/>
        <v>0</v>
      </c>
      <c r="BE300" s="62">
        <f t="shared" si="978"/>
        <v>0</v>
      </c>
      <c r="BF300" s="62">
        <f t="shared" si="978"/>
        <v>0</v>
      </c>
      <c r="BG300" s="62">
        <f t="shared" si="978"/>
        <v>0</v>
      </c>
      <c r="BH300" s="62">
        <f t="shared" si="978"/>
        <v>0</v>
      </c>
      <c r="BI300" s="62">
        <f t="shared" si="978"/>
        <v>5500</v>
      </c>
      <c r="BJ300" s="62">
        <f t="shared" si="978"/>
        <v>5500</v>
      </c>
    </row>
    <row r="301" spans="2:62">
      <c r="B301" t="s">
        <v>255</v>
      </c>
      <c r="C301" s="62">
        <f t="shared" ref="C301:AC301" si="979">SUM(C216,C223,C230,C237,C244,C251,C258,C265,C272)</f>
        <v>16256.948800000002</v>
      </c>
      <c r="D301" s="62">
        <f t="shared" si="979"/>
        <v>10560.684000000001</v>
      </c>
      <c r="E301" s="62">
        <f t="shared" si="979"/>
        <v>17305.25</v>
      </c>
      <c r="F301" s="62">
        <f t="shared" si="979"/>
        <v>9436.44</v>
      </c>
      <c r="G301" s="62">
        <f t="shared" si="979"/>
        <v>20342.32</v>
      </c>
      <c r="H301" s="62">
        <f t="shared" si="979"/>
        <v>4000</v>
      </c>
      <c r="I301" s="62">
        <f t="shared" si="979"/>
        <v>0</v>
      </c>
      <c r="J301" s="62">
        <f t="shared" si="979"/>
        <v>12610.820000000002</v>
      </c>
      <c r="K301" s="62">
        <f t="shared" si="979"/>
        <v>0</v>
      </c>
      <c r="L301" s="62">
        <f t="shared" si="979"/>
        <v>0</v>
      </c>
      <c r="M301" s="62">
        <f t="shared" si="979"/>
        <v>0</v>
      </c>
      <c r="N301" s="62">
        <f t="shared" si="979"/>
        <v>0</v>
      </c>
      <c r="O301" s="62">
        <f t="shared" si="979"/>
        <v>0</v>
      </c>
      <c r="P301" s="62">
        <f t="shared" si="979"/>
        <v>21508.207999999999</v>
      </c>
      <c r="Q301" s="62">
        <f t="shared" si="979"/>
        <v>0</v>
      </c>
      <c r="R301" s="62">
        <f t="shared" si="979"/>
        <v>6740.2</v>
      </c>
      <c r="S301" s="62">
        <f t="shared" si="979"/>
        <v>20824.870999999999</v>
      </c>
      <c r="T301" s="62">
        <f t="shared" si="979"/>
        <v>6483.78</v>
      </c>
      <c r="U301" s="62">
        <f t="shared" si="979"/>
        <v>0</v>
      </c>
      <c r="V301" s="62">
        <f t="shared" si="979"/>
        <v>0</v>
      </c>
      <c r="W301" s="62">
        <f t="shared" si="979"/>
        <v>11992.103999999999</v>
      </c>
      <c r="X301" s="62">
        <f t="shared" si="979"/>
        <v>6390.9</v>
      </c>
      <c r="Y301" s="62">
        <f t="shared" si="979"/>
        <v>6265</v>
      </c>
      <c r="Z301" s="62">
        <f t="shared" si="979"/>
        <v>5140.5120000000006</v>
      </c>
      <c r="AA301" s="62">
        <f t="shared" si="979"/>
        <v>18990.16</v>
      </c>
      <c r="AB301" s="62">
        <f t="shared" si="979"/>
        <v>17589.378000000001</v>
      </c>
      <c r="AC301" s="62">
        <f t="shared" si="979"/>
        <v>14205.728999999999</v>
      </c>
      <c r="AD301" s="62">
        <f>SUM(AD216,AD223,AD230,AD237,AD244,AD251,AD258,AD265,AD272)</f>
        <v>4748.4255000000003</v>
      </c>
      <c r="AE301" s="62">
        <f t="shared" ref="AE301:AX301" si="980">SUM(AE216,AE223,AE230,AE237,AE244,AE251,AE258,AE265,AE272)</f>
        <v>12289.42</v>
      </c>
      <c r="AF301" s="62">
        <f>SUM(AF216,AF223,AF230,AF237,AF244,AF251,AF258,AF265,AF272)</f>
        <v>4756.92</v>
      </c>
      <c r="AG301" s="62">
        <f t="shared" si="980"/>
        <v>6682.7759999999998</v>
      </c>
      <c r="AH301" s="62">
        <f t="shared" si="980"/>
        <v>12060.367399999999</v>
      </c>
      <c r="AI301" s="62">
        <f t="shared" si="980"/>
        <v>6895.84</v>
      </c>
      <c r="AJ301" s="62">
        <f t="shared" si="980"/>
        <v>13138</v>
      </c>
      <c r="AK301" s="62">
        <f t="shared" si="980"/>
        <v>4700</v>
      </c>
      <c r="AL301" s="62">
        <f t="shared" si="980"/>
        <v>1665.54</v>
      </c>
      <c r="AM301" s="62">
        <f t="shared" si="980"/>
        <v>24568.21</v>
      </c>
      <c r="AN301" s="62">
        <f t="shared" si="980"/>
        <v>15160.220000000001</v>
      </c>
      <c r="AO301" s="62">
        <f t="shared" si="980"/>
        <v>14922.720000000001</v>
      </c>
      <c r="AP301" s="62">
        <f t="shared" si="980"/>
        <v>26444.16</v>
      </c>
      <c r="AQ301" s="62">
        <f t="shared" si="980"/>
        <v>8154.72</v>
      </c>
      <c r="AR301" s="62">
        <f t="shared" si="980"/>
        <v>5096.7000000000007</v>
      </c>
      <c r="AS301" s="62">
        <f t="shared" si="980"/>
        <v>6278.77</v>
      </c>
      <c r="AT301" s="62">
        <f t="shared" si="980"/>
        <v>4916.4400000000005</v>
      </c>
      <c r="AU301" s="62">
        <f t="shared" si="980"/>
        <v>19906</v>
      </c>
      <c r="AV301" s="62">
        <f>SUM(AV216,AV223,AV230,AV237,AV244,AV251,AV258,AV265,AV272)</f>
        <v>0</v>
      </c>
      <c r="AW301" s="62">
        <f t="shared" si="980"/>
        <v>18054.440000000002</v>
      </c>
      <c r="AX301" s="62">
        <f t="shared" si="980"/>
        <v>6768</v>
      </c>
      <c r="AY301" s="62">
        <f t="shared" ref="AY301:BJ301" si="981">SUM(AY216,AY223,AY230,AY237,AY244,AY251,AY258,AY265,AY272)</f>
        <v>14932.683499999999</v>
      </c>
      <c r="AZ301" s="62">
        <f t="shared" si="981"/>
        <v>15197.039999999999</v>
      </c>
      <c r="BA301" s="62">
        <f t="shared" si="981"/>
        <v>13240.239999999998</v>
      </c>
      <c r="BB301" s="62">
        <f t="shared" si="981"/>
        <v>8645.0399999999991</v>
      </c>
      <c r="BC301" s="62">
        <f t="shared" si="981"/>
        <v>8645.0399999999991</v>
      </c>
      <c r="BD301" s="62">
        <f t="shared" si="981"/>
        <v>16386.77</v>
      </c>
      <c r="BE301" s="62">
        <f t="shared" si="981"/>
        <v>9714.6834999999992</v>
      </c>
      <c r="BF301" s="62">
        <f t="shared" si="981"/>
        <v>0</v>
      </c>
      <c r="BG301" s="62">
        <f t="shared" si="981"/>
        <v>21268</v>
      </c>
      <c r="BH301" s="62">
        <f t="shared" si="981"/>
        <v>5983</v>
      </c>
      <c r="BI301" s="62">
        <f t="shared" si="981"/>
        <v>4595.2</v>
      </c>
      <c r="BJ301" s="62">
        <f t="shared" si="981"/>
        <v>6344</v>
      </c>
    </row>
    <row r="303" spans="2:62">
      <c r="B303" s="82" t="s">
        <v>305</v>
      </c>
      <c r="C303" s="79">
        <f t="shared" ref="C303:AX303" si="982">SUM(C304:C309)</f>
        <v>0</v>
      </c>
      <c r="D303" s="79">
        <f t="shared" si="982"/>
        <v>30070.468100000002</v>
      </c>
      <c r="E303" s="79">
        <f t="shared" si="982"/>
        <v>46000</v>
      </c>
      <c r="F303" s="79">
        <f t="shared" si="982"/>
        <v>0</v>
      </c>
      <c r="G303" s="79">
        <f t="shared" si="982"/>
        <v>33985.284720000003</v>
      </c>
      <c r="H303" s="79">
        <f t="shared" si="982"/>
        <v>26128</v>
      </c>
      <c r="I303" s="79">
        <f t="shared" si="982"/>
        <v>52056</v>
      </c>
      <c r="J303" s="79">
        <f t="shared" si="982"/>
        <v>15980.67</v>
      </c>
      <c r="K303" s="79">
        <f t="shared" si="982"/>
        <v>980</v>
      </c>
      <c r="L303" s="79">
        <f t="shared" si="982"/>
        <v>16604.97</v>
      </c>
      <c r="M303" s="79">
        <f t="shared" si="982"/>
        <v>3025.0000000000005</v>
      </c>
      <c r="N303" s="79">
        <f t="shared" si="982"/>
        <v>9752.67</v>
      </c>
      <c r="O303" s="79">
        <f t="shared" si="982"/>
        <v>14973</v>
      </c>
      <c r="P303" s="79">
        <f t="shared" si="982"/>
        <v>0</v>
      </c>
      <c r="Q303" s="79">
        <f t="shared" si="982"/>
        <v>0</v>
      </c>
      <c r="R303" s="79">
        <f t="shared" si="982"/>
        <v>2277</v>
      </c>
      <c r="S303" s="79">
        <f t="shared" si="982"/>
        <v>5313</v>
      </c>
      <c r="T303" s="79">
        <f t="shared" si="982"/>
        <v>14918.9</v>
      </c>
      <c r="U303" s="79">
        <f t="shared" si="982"/>
        <v>22070.400000000001</v>
      </c>
      <c r="V303" s="79">
        <f t="shared" si="982"/>
        <v>58216.4</v>
      </c>
      <c r="W303" s="79">
        <f t="shared" si="982"/>
        <v>13680</v>
      </c>
      <c r="X303" s="79">
        <f t="shared" si="982"/>
        <v>273.60000000000002</v>
      </c>
      <c r="Y303" s="79">
        <f t="shared" si="982"/>
        <v>380</v>
      </c>
      <c r="Z303" s="79">
        <f t="shared" si="982"/>
        <v>28842</v>
      </c>
      <c r="AA303" s="79">
        <f t="shared" si="982"/>
        <v>0</v>
      </c>
      <c r="AB303" s="79">
        <f t="shared" si="982"/>
        <v>13662</v>
      </c>
      <c r="AC303" s="79">
        <f>SUM(AC304:AC309)</f>
        <v>27713.4</v>
      </c>
      <c r="AD303" s="79">
        <f t="shared" si="982"/>
        <v>9781.2000000000007</v>
      </c>
      <c r="AE303" s="79">
        <f t="shared" si="982"/>
        <v>0</v>
      </c>
      <c r="AF303" s="79">
        <f t="shared" si="982"/>
        <v>6192</v>
      </c>
      <c r="AG303" s="79">
        <f t="shared" si="982"/>
        <v>18497.25</v>
      </c>
      <c r="AH303" s="79">
        <f t="shared" si="982"/>
        <v>6192</v>
      </c>
      <c r="AI303" s="79">
        <f t="shared" si="982"/>
        <v>19400</v>
      </c>
      <c r="AJ303" s="79">
        <f t="shared" si="982"/>
        <v>33626</v>
      </c>
      <c r="AK303" s="79">
        <f t="shared" si="982"/>
        <v>20153.499999999996</v>
      </c>
      <c r="AL303" s="79">
        <f t="shared" si="982"/>
        <v>28490.25</v>
      </c>
      <c r="AM303" s="79">
        <f t="shared" si="982"/>
        <v>5927.4999999999991</v>
      </c>
      <c r="AN303" s="79">
        <f t="shared" si="982"/>
        <v>17782.499999999996</v>
      </c>
      <c r="AO303" s="79">
        <f t="shared" si="982"/>
        <v>16596.999999999996</v>
      </c>
      <c r="AP303" s="79">
        <f t="shared" si="982"/>
        <v>15411.499999999998</v>
      </c>
      <c r="AQ303" s="79">
        <f t="shared" si="982"/>
        <v>1185.4999999999998</v>
      </c>
      <c r="AR303" s="79">
        <f t="shared" si="982"/>
        <v>37751.5</v>
      </c>
      <c r="AS303" s="79">
        <f t="shared" si="982"/>
        <v>68390</v>
      </c>
      <c r="AT303" s="79">
        <f t="shared" si="982"/>
        <v>34195</v>
      </c>
      <c r="AU303" s="79">
        <f t="shared" si="982"/>
        <v>26967.999999999996</v>
      </c>
      <c r="AV303" s="79">
        <f t="shared" si="982"/>
        <v>22226</v>
      </c>
      <c r="AW303" s="79">
        <f t="shared" si="982"/>
        <v>29874.599999999995</v>
      </c>
      <c r="AX303" s="79">
        <f t="shared" si="982"/>
        <v>35517.58</v>
      </c>
      <c r="AY303" s="79">
        <f t="shared" ref="AY303:BJ303" si="983">SUM(AY304:AY309)</f>
        <v>29722.333333333336</v>
      </c>
      <c r="AZ303" s="79">
        <f t="shared" si="983"/>
        <v>35582.250000000007</v>
      </c>
      <c r="BA303" s="79">
        <f t="shared" si="983"/>
        <v>30280.679999999997</v>
      </c>
      <c r="BB303" s="79">
        <f t="shared" si="983"/>
        <v>7570.1699999999992</v>
      </c>
      <c r="BC303" s="79">
        <f t="shared" si="983"/>
        <v>5046.78</v>
      </c>
      <c r="BD303" s="79">
        <f t="shared" si="983"/>
        <v>51993.32386363636</v>
      </c>
      <c r="BE303" s="79">
        <f t="shared" si="983"/>
        <v>94843.199999999997</v>
      </c>
      <c r="BF303" s="79">
        <f t="shared" si="983"/>
        <v>47592.6</v>
      </c>
      <c r="BG303" s="79">
        <f t="shared" si="983"/>
        <v>23894.400000000001</v>
      </c>
      <c r="BH303" s="79">
        <f t="shared" si="983"/>
        <v>16449.043478260872</v>
      </c>
      <c r="BI303" s="79">
        <f t="shared" si="983"/>
        <v>34049.519999999997</v>
      </c>
      <c r="BJ303" s="79">
        <f t="shared" si="983"/>
        <v>39724.44000000001</v>
      </c>
    </row>
    <row r="304" spans="2:62">
      <c r="B304" t="s">
        <v>303</v>
      </c>
      <c r="C304" s="62">
        <f t="shared" ref="C304:O304" si="984">-(C48*14.4*C286+C55*5*C286)</f>
        <v>0</v>
      </c>
      <c r="D304" s="62">
        <f t="shared" si="984"/>
        <v>0</v>
      </c>
      <c r="E304" s="62">
        <f t="shared" si="984"/>
        <v>0</v>
      </c>
      <c r="F304" s="62">
        <f t="shared" si="984"/>
        <v>0</v>
      </c>
      <c r="G304" s="62">
        <f t="shared" si="984"/>
        <v>0</v>
      </c>
      <c r="H304" s="62">
        <f t="shared" si="984"/>
        <v>26128</v>
      </c>
      <c r="I304" s="62">
        <f t="shared" si="984"/>
        <v>52056</v>
      </c>
      <c r="J304" s="62">
        <f t="shared" si="984"/>
        <v>0</v>
      </c>
      <c r="K304" s="62">
        <f t="shared" si="984"/>
        <v>0</v>
      </c>
      <c r="L304" s="62">
        <f t="shared" si="984"/>
        <v>0</v>
      </c>
      <c r="M304" s="62">
        <f t="shared" si="984"/>
        <v>0</v>
      </c>
      <c r="N304" s="62">
        <f t="shared" si="984"/>
        <v>0</v>
      </c>
      <c r="O304" s="62">
        <f t="shared" si="984"/>
        <v>0</v>
      </c>
      <c r="P304" s="62">
        <f>-(N48*14.4*N286+N55*5*N286)</f>
        <v>0</v>
      </c>
      <c r="Q304" s="62">
        <f>-(O48*14.4*O286+O55*5*O286)</f>
        <v>0</v>
      </c>
      <c r="R304" s="62">
        <f t="shared" ref="R304:AE304" si="985">-(P48*14.4*P286/2+Q48*14.4*Q286/2+P55*5*P286)</f>
        <v>0</v>
      </c>
      <c r="S304" s="62">
        <f t="shared" si="985"/>
        <v>0</v>
      </c>
      <c r="T304" s="62">
        <f t="shared" si="985"/>
        <v>13406.4</v>
      </c>
      <c r="U304" s="62">
        <f t="shared" si="985"/>
        <v>13406.4</v>
      </c>
      <c r="V304" s="62">
        <f t="shared" si="985"/>
        <v>41336.400000000001</v>
      </c>
      <c r="W304" s="62">
        <f t="shared" si="985"/>
        <v>13680</v>
      </c>
      <c r="X304" s="62">
        <f t="shared" si="985"/>
        <v>273.60000000000002</v>
      </c>
      <c r="Y304" s="62">
        <f t="shared" si="985"/>
        <v>380</v>
      </c>
      <c r="Z304" s="62">
        <f t="shared" si="985"/>
        <v>0</v>
      </c>
      <c r="AA304" s="62">
        <f t="shared" si="985"/>
        <v>0</v>
      </c>
      <c r="AB304" s="62">
        <f t="shared" si="985"/>
        <v>0</v>
      </c>
      <c r="AC304" s="62">
        <f t="shared" si="985"/>
        <v>0</v>
      </c>
      <c r="AD304" s="62">
        <f t="shared" si="985"/>
        <v>0</v>
      </c>
      <c r="AE304" s="62">
        <f t="shared" si="985"/>
        <v>0</v>
      </c>
      <c r="AF304" s="62">
        <f>-((SUM(AE48:AH48))*14.4*AF286/4)</f>
        <v>6192</v>
      </c>
      <c r="AG304" s="62">
        <f>-((SUM(AE48:AH48))*14.4*AF286/4*2)</f>
        <v>12384</v>
      </c>
      <c r="AH304" s="62">
        <f>-((SUM(AE48:AH48))*14.4*AF286/4)</f>
        <v>6192</v>
      </c>
      <c r="AI304" s="62">
        <f>-((SUM(AE55:AH55))*5*AF286)/2</f>
        <v>19400</v>
      </c>
      <c r="AJ304" s="62">
        <f>-((SUM(AE55:AH55))*5*AF286)/2</f>
        <v>19400</v>
      </c>
      <c r="AK304" s="62">
        <f t="shared" ref="AK304:AQ304" si="986">-(AI48*14.4*AI286/2+AJ48*14.4*AJ286/2+AI55*5*AI286)</f>
        <v>0</v>
      </c>
      <c r="AL304" s="62">
        <f t="shared" si="986"/>
        <v>0</v>
      </c>
      <c r="AM304" s="62">
        <f t="shared" si="986"/>
        <v>0</v>
      </c>
      <c r="AN304" s="62">
        <f t="shared" si="986"/>
        <v>0</v>
      </c>
      <c r="AO304" s="62">
        <f t="shared" si="986"/>
        <v>0</v>
      </c>
      <c r="AP304" s="62">
        <f t="shared" si="986"/>
        <v>0</v>
      </c>
      <c r="AQ304" s="62">
        <f t="shared" si="986"/>
        <v>0</v>
      </c>
      <c r="AR304" s="62">
        <f>-((SUM(AQ48:AT48))*14.4*AR286/4)</f>
        <v>31824</v>
      </c>
      <c r="AS304" s="62">
        <f>-((SUM(AQ48:AT48))*14.4*AR286/4*2)</f>
        <v>63648</v>
      </c>
      <c r="AT304" s="62">
        <f>-((SUM(AQ48:AT48))*14.4*AR286/4)</f>
        <v>31824</v>
      </c>
      <c r="AU304" s="62">
        <f>-((SUM(AQ55:AT55))*5*AR286)/2</f>
        <v>8000</v>
      </c>
      <c r="AV304" s="62">
        <f>-((SUM(AQ55:AT55))*5*AR286)/2</f>
        <v>8000</v>
      </c>
      <c r="AW304" s="62">
        <f t="shared" ref="AW304:BC304" si="987">-(AU48*14.4*AU286/2+AV48*14.4*AV286/2+AU55*5*AU286)</f>
        <v>0</v>
      </c>
      <c r="AX304" s="62">
        <f t="shared" si="987"/>
        <v>0</v>
      </c>
      <c r="AY304" s="62">
        <f t="shared" si="987"/>
        <v>0</v>
      </c>
      <c r="AZ304" s="62">
        <f t="shared" si="987"/>
        <v>0</v>
      </c>
      <c r="BA304" s="62">
        <f t="shared" si="987"/>
        <v>0</v>
      </c>
      <c r="BB304" s="62">
        <f t="shared" si="987"/>
        <v>0</v>
      </c>
      <c r="BC304" s="62">
        <f t="shared" si="987"/>
        <v>0</v>
      </c>
      <c r="BD304" s="62">
        <f>-((SUM(BC48:BF48))*14.4*BD286/4)</f>
        <v>44640</v>
      </c>
      <c r="BE304" s="62">
        <f>-((SUM(BC48:BF48))*14.4*BD286/4*2)</f>
        <v>89280</v>
      </c>
      <c r="BF304" s="62">
        <f>-((SUM(BC48:BF48))*14.4*BD286/4)</f>
        <v>44640</v>
      </c>
      <c r="BG304" s="62">
        <f>-((SUM(BC55:BF55))*5*BD286)/2</f>
        <v>0</v>
      </c>
      <c r="BH304" s="62">
        <f>-((SUM(BC55:BF55))*5*BD286)/2</f>
        <v>0</v>
      </c>
      <c r="BI304" s="62">
        <f>-(BG48*14.4*BG286/2+BH48*14.4*BH286/2+BG55*5*BG286)</f>
        <v>0</v>
      </c>
      <c r="BJ304" s="62">
        <f>-(BH48*14.4*BH286/2+BI48*14.4*BI286/2+BH55*5*BH286)</f>
        <v>0</v>
      </c>
    </row>
    <row r="305" spans="2:62">
      <c r="B305" t="s">
        <v>306</v>
      </c>
      <c r="C305" s="62">
        <v>0</v>
      </c>
      <c r="D305" s="62">
        <v>0</v>
      </c>
      <c r="E305" s="62">
        <v>0</v>
      </c>
      <c r="F305" s="62">
        <v>0</v>
      </c>
      <c r="G305" s="62">
        <v>0</v>
      </c>
      <c r="H305" s="62">
        <v>0</v>
      </c>
      <c r="I305" s="62">
        <v>0</v>
      </c>
      <c r="J305" s="62">
        <v>0</v>
      </c>
      <c r="K305" s="62">
        <v>0</v>
      </c>
      <c r="L305" s="62">
        <v>0</v>
      </c>
      <c r="M305" s="62">
        <v>0</v>
      </c>
      <c r="N305" s="62">
        <v>0</v>
      </c>
      <c r="O305" s="62">
        <v>0</v>
      </c>
      <c r="P305" s="62">
        <v>0</v>
      </c>
      <c r="Q305" s="62">
        <v>0</v>
      </c>
      <c r="R305" s="62">
        <v>0</v>
      </c>
      <c r="S305" s="62">
        <v>0</v>
      </c>
      <c r="T305" s="62">
        <v>0</v>
      </c>
      <c r="U305" s="62">
        <v>0</v>
      </c>
      <c r="V305" s="62">
        <v>0</v>
      </c>
      <c r="W305" s="62">
        <v>0</v>
      </c>
      <c r="X305" s="62">
        <v>0</v>
      </c>
      <c r="Y305" s="62">
        <v>0</v>
      </c>
      <c r="Z305" s="62">
        <v>0</v>
      </c>
      <c r="AA305" s="62">
        <v>0</v>
      </c>
      <c r="AB305" s="62">
        <v>0</v>
      </c>
      <c r="AC305" s="62">
        <v>0</v>
      </c>
      <c r="AD305" s="62">
        <v>0</v>
      </c>
      <c r="AE305" s="62">
        <v>0</v>
      </c>
      <c r="AF305" s="62">
        <v>0</v>
      </c>
      <c r="AG305" s="62">
        <v>0</v>
      </c>
      <c r="AH305" s="62">
        <v>0</v>
      </c>
      <c r="AI305" s="62">
        <v>0</v>
      </c>
      <c r="AJ305" s="62">
        <v>0</v>
      </c>
      <c r="AK305" s="62">
        <v>0</v>
      </c>
      <c r="AL305" s="62">
        <v>0</v>
      </c>
      <c r="AM305" s="62">
        <v>0</v>
      </c>
      <c r="AN305" s="62">
        <v>0</v>
      </c>
      <c r="AO305" s="62">
        <v>0</v>
      </c>
      <c r="AP305" s="62">
        <v>0</v>
      </c>
      <c r="AQ305" s="62">
        <v>0</v>
      </c>
      <c r="AR305" s="62">
        <v>0</v>
      </c>
      <c r="AS305" s="62">
        <v>0</v>
      </c>
      <c r="AT305" s="62">
        <v>0</v>
      </c>
      <c r="AU305" s="62">
        <v>0</v>
      </c>
      <c r="AV305" s="62">
        <v>0</v>
      </c>
      <c r="AW305" s="62">
        <v>0</v>
      </c>
      <c r="AX305" s="62">
        <v>0</v>
      </c>
      <c r="AY305" s="62">
        <v>0</v>
      </c>
      <c r="AZ305" s="62">
        <v>0</v>
      </c>
      <c r="BA305" s="62">
        <v>0</v>
      </c>
      <c r="BB305" s="62">
        <v>0</v>
      </c>
      <c r="BC305" s="62">
        <v>0</v>
      </c>
      <c r="BD305" s="62">
        <v>0</v>
      </c>
      <c r="BE305" s="62">
        <v>0</v>
      </c>
      <c r="BF305" s="62">
        <v>0</v>
      </c>
      <c r="BG305" s="62">
        <v>0</v>
      </c>
      <c r="BH305" s="62">
        <v>0</v>
      </c>
      <c r="BI305" s="62">
        <v>0</v>
      </c>
      <c r="BJ305" s="62">
        <v>0</v>
      </c>
    </row>
    <row r="306" spans="2:62">
      <c r="B306" t="s">
        <v>300</v>
      </c>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row>
    <row r="307" spans="2:62">
      <c r="B307" t="s">
        <v>307</v>
      </c>
      <c r="C307" s="62">
        <f>-C282*C125*200</f>
        <v>0</v>
      </c>
      <c r="D307" s="62">
        <f>7688.45*2.89+3703.23*2.12</f>
        <v>30070.468100000002</v>
      </c>
      <c r="E307" s="62">
        <f>-E282*E125*200</f>
        <v>0</v>
      </c>
      <c r="F307" s="62">
        <f>-F282*F125*200</f>
        <v>0</v>
      </c>
      <c r="G307" s="62">
        <f>(25*200*3.04+25*10.64*3.04/2+33*198.06*2.24)*0.97+(3*159.67*3.04+9*165.44*2.24)*0.97</f>
        <v>33985.284720000003</v>
      </c>
      <c r="H307" s="62">
        <f>-H125*200*H282</f>
        <v>0</v>
      </c>
      <c r="I307" s="62">
        <f>-I125*200*I282</f>
        <v>0</v>
      </c>
      <c r="J307" s="62">
        <f>(2063*4.14+2505*2.97)</f>
        <v>15980.67</v>
      </c>
      <c r="K307" s="62">
        <f>980</f>
        <v>980</v>
      </c>
      <c r="L307" s="62">
        <v>16604.97</v>
      </c>
      <c r="M307" s="62">
        <f>-M125*200*M282</f>
        <v>0</v>
      </c>
      <c r="N307" s="62">
        <f>9752.67</f>
        <v>9752.67</v>
      </c>
      <c r="O307" s="62">
        <f t="shared" ref="O307:BJ307" si="988">-O125*200*O282</f>
        <v>14973</v>
      </c>
      <c r="P307" s="62">
        <f t="shared" si="988"/>
        <v>0</v>
      </c>
      <c r="Q307" s="62">
        <f t="shared" si="988"/>
        <v>0</v>
      </c>
      <c r="R307" s="62">
        <f t="shared" si="988"/>
        <v>2277</v>
      </c>
      <c r="S307" s="62">
        <f t="shared" si="988"/>
        <v>5313</v>
      </c>
      <c r="T307" s="62">
        <f t="shared" si="988"/>
        <v>0</v>
      </c>
      <c r="U307" s="62">
        <f t="shared" si="988"/>
        <v>8664</v>
      </c>
      <c r="V307" s="62">
        <f t="shared" si="988"/>
        <v>10830</v>
      </c>
      <c r="W307" s="62">
        <f t="shared" si="988"/>
        <v>0</v>
      </c>
      <c r="X307" s="62">
        <f t="shared" si="988"/>
        <v>0</v>
      </c>
      <c r="Y307" s="62">
        <f t="shared" si="988"/>
        <v>0</v>
      </c>
      <c r="Z307" s="62">
        <f t="shared" si="988"/>
        <v>0</v>
      </c>
      <c r="AA307" s="62">
        <f t="shared" si="988"/>
        <v>0</v>
      </c>
      <c r="AB307" s="62">
        <f t="shared" si="988"/>
        <v>0</v>
      </c>
      <c r="AC307" s="62">
        <f t="shared" si="988"/>
        <v>0</v>
      </c>
      <c r="AD307" s="62">
        <f t="shared" si="988"/>
        <v>0</v>
      </c>
      <c r="AE307" s="62">
        <f t="shared" si="988"/>
        <v>0</v>
      </c>
      <c r="AF307" s="62">
        <f t="shared" si="988"/>
        <v>0</v>
      </c>
      <c r="AG307" s="62">
        <f t="shared" si="988"/>
        <v>0</v>
      </c>
      <c r="AH307" s="62">
        <f t="shared" si="988"/>
        <v>0</v>
      </c>
      <c r="AI307" s="62">
        <f t="shared" si="988"/>
        <v>0</v>
      </c>
      <c r="AJ307" s="62">
        <f t="shared" si="988"/>
        <v>0</v>
      </c>
      <c r="AK307" s="62">
        <f t="shared" si="988"/>
        <v>0</v>
      </c>
      <c r="AL307" s="62">
        <f t="shared" si="988"/>
        <v>0</v>
      </c>
      <c r="AM307" s="62">
        <f t="shared" si="988"/>
        <v>0</v>
      </c>
      <c r="AN307" s="62">
        <f t="shared" si="988"/>
        <v>0</v>
      </c>
      <c r="AO307" s="62">
        <f t="shared" si="988"/>
        <v>11854.999999999998</v>
      </c>
      <c r="AP307" s="62">
        <f t="shared" si="988"/>
        <v>15411.499999999998</v>
      </c>
      <c r="AQ307" s="62">
        <f t="shared" si="988"/>
        <v>1185.4999999999998</v>
      </c>
      <c r="AR307" s="62">
        <f t="shared" si="988"/>
        <v>5927.4999999999991</v>
      </c>
      <c r="AS307" s="62">
        <f t="shared" si="988"/>
        <v>4741.9999999999991</v>
      </c>
      <c r="AT307" s="62">
        <f t="shared" si="988"/>
        <v>2370.9999999999995</v>
      </c>
      <c r="AU307" s="62">
        <f t="shared" si="988"/>
        <v>18967.999999999996</v>
      </c>
      <c r="AV307" s="62">
        <f t="shared" si="988"/>
        <v>14225.999999999998</v>
      </c>
      <c r="AW307" s="62">
        <f t="shared" si="988"/>
        <v>29874.599999999995</v>
      </c>
      <c r="AX307" s="62">
        <f t="shared" si="988"/>
        <v>35517.58</v>
      </c>
      <c r="AY307" s="62">
        <f t="shared" si="988"/>
        <v>29722.333333333336</v>
      </c>
      <c r="AZ307" s="62">
        <f t="shared" si="988"/>
        <v>35582.250000000007</v>
      </c>
      <c r="BA307" s="62">
        <f t="shared" si="988"/>
        <v>30280.679999999997</v>
      </c>
      <c r="BB307" s="62">
        <f t="shared" si="988"/>
        <v>7570.1699999999992</v>
      </c>
      <c r="BC307" s="62">
        <f t="shared" si="988"/>
        <v>5046.78</v>
      </c>
      <c r="BD307" s="62">
        <f t="shared" si="988"/>
        <v>7353.3238636363631</v>
      </c>
      <c r="BE307" s="62">
        <f t="shared" si="988"/>
        <v>5563.2000000000007</v>
      </c>
      <c r="BF307" s="62">
        <f t="shared" si="988"/>
        <v>2952.6000000000004</v>
      </c>
      <c r="BG307" s="62">
        <f t="shared" si="988"/>
        <v>23894.400000000001</v>
      </c>
      <c r="BH307" s="62">
        <f t="shared" si="988"/>
        <v>16449.043478260872</v>
      </c>
      <c r="BI307" s="62">
        <f t="shared" si="988"/>
        <v>34049.519999999997</v>
      </c>
      <c r="BJ307" s="62">
        <f t="shared" si="988"/>
        <v>39724.44000000001</v>
      </c>
    </row>
    <row r="308" spans="2:62">
      <c r="B308" t="s">
        <v>308</v>
      </c>
      <c r="C308" s="62">
        <f>-C133*C284*0.55*400</f>
        <v>0</v>
      </c>
      <c r="D308" s="62">
        <f>-D133*D284*0.55*400</f>
        <v>0</v>
      </c>
      <c r="E308" s="62">
        <f>(17*800+36*900)</f>
        <v>46000</v>
      </c>
      <c r="F308" s="62">
        <f t="shared" ref="F308:AX308" si="989">-F133*F284*0.55*400</f>
        <v>0</v>
      </c>
      <c r="G308" s="62">
        <f t="shared" si="989"/>
        <v>0</v>
      </c>
      <c r="H308" s="62">
        <f t="shared" si="989"/>
        <v>0</v>
      </c>
      <c r="I308" s="62">
        <f t="shared" si="989"/>
        <v>0</v>
      </c>
      <c r="J308" s="62">
        <f t="shared" si="989"/>
        <v>0</v>
      </c>
      <c r="K308" s="62">
        <f t="shared" si="989"/>
        <v>0</v>
      </c>
      <c r="L308" s="62">
        <f t="shared" si="989"/>
        <v>0</v>
      </c>
      <c r="M308" s="62">
        <f t="shared" si="989"/>
        <v>0</v>
      </c>
      <c r="N308" s="62">
        <f t="shared" si="989"/>
        <v>0</v>
      </c>
      <c r="O308" s="62">
        <f t="shared" si="989"/>
        <v>0</v>
      </c>
      <c r="P308" s="62">
        <f t="shared" si="989"/>
        <v>0</v>
      </c>
      <c r="Q308" s="62">
        <f t="shared" si="989"/>
        <v>0</v>
      </c>
      <c r="R308" s="62">
        <f t="shared" si="989"/>
        <v>0</v>
      </c>
      <c r="S308" s="62">
        <f t="shared" si="989"/>
        <v>0</v>
      </c>
      <c r="T308" s="62">
        <f t="shared" si="989"/>
        <v>0</v>
      </c>
      <c r="U308" s="62">
        <f t="shared" si="989"/>
        <v>0</v>
      </c>
      <c r="V308" s="62">
        <f t="shared" si="989"/>
        <v>0</v>
      </c>
      <c r="W308" s="62">
        <f t="shared" si="989"/>
        <v>0</v>
      </c>
      <c r="X308" s="62">
        <f t="shared" si="989"/>
        <v>0</v>
      </c>
      <c r="Y308" s="62">
        <f t="shared" si="989"/>
        <v>0</v>
      </c>
      <c r="Z308" s="62">
        <f t="shared" si="989"/>
        <v>28842</v>
      </c>
      <c r="AA308" s="62">
        <f t="shared" si="989"/>
        <v>0</v>
      </c>
      <c r="AB308" s="62">
        <f t="shared" si="989"/>
        <v>13662</v>
      </c>
      <c r="AC308" s="62">
        <f t="shared" si="989"/>
        <v>27713.4</v>
      </c>
      <c r="AD308" s="62">
        <f t="shared" si="989"/>
        <v>9781.2000000000007</v>
      </c>
      <c r="AE308" s="62">
        <f t="shared" si="989"/>
        <v>0</v>
      </c>
      <c r="AF308" s="62">
        <f t="shared" si="989"/>
        <v>0</v>
      </c>
      <c r="AG308" s="62">
        <f t="shared" si="989"/>
        <v>0</v>
      </c>
      <c r="AH308" s="62">
        <f t="shared" si="989"/>
        <v>0</v>
      </c>
      <c r="AI308" s="62">
        <f t="shared" ref="AI308:AO308" si="990">-AI133*200*AI282</f>
        <v>0</v>
      </c>
      <c r="AJ308" s="62">
        <f t="shared" si="990"/>
        <v>14225.999999999998</v>
      </c>
      <c r="AK308" s="62">
        <f t="shared" si="990"/>
        <v>20153.499999999996</v>
      </c>
      <c r="AL308" s="62">
        <f t="shared" si="990"/>
        <v>14225.999999999998</v>
      </c>
      <c r="AM308" s="62">
        <f t="shared" si="990"/>
        <v>5927.4999999999991</v>
      </c>
      <c r="AN308" s="62">
        <f t="shared" si="990"/>
        <v>17782.499999999996</v>
      </c>
      <c r="AO308" s="62">
        <f t="shared" si="990"/>
        <v>4741.9999999999991</v>
      </c>
      <c r="AP308" s="62">
        <f t="shared" si="989"/>
        <v>0</v>
      </c>
      <c r="AQ308" s="62">
        <f t="shared" si="989"/>
        <v>0</v>
      </c>
      <c r="AR308" s="62">
        <f t="shared" si="989"/>
        <v>0</v>
      </c>
      <c r="AS308" s="62">
        <f t="shared" si="989"/>
        <v>0</v>
      </c>
      <c r="AT308" s="62">
        <f t="shared" si="989"/>
        <v>0</v>
      </c>
      <c r="AU308" s="62">
        <f t="shared" si="989"/>
        <v>0</v>
      </c>
      <c r="AV308" s="62">
        <f t="shared" si="989"/>
        <v>0</v>
      </c>
      <c r="AW308" s="62">
        <f t="shared" si="989"/>
        <v>0</v>
      </c>
      <c r="AX308" s="62">
        <f t="shared" si="989"/>
        <v>0</v>
      </c>
      <c r="AY308" s="62">
        <f t="shared" ref="AY308:BJ308" si="991">-AY133*AY284*0.55*400</f>
        <v>0</v>
      </c>
      <c r="AZ308" s="62">
        <f t="shared" si="991"/>
        <v>0</v>
      </c>
      <c r="BA308" s="62">
        <f t="shared" si="991"/>
        <v>0</v>
      </c>
      <c r="BB308" s="62">
        <f t="shared" si="991"/>
        <v>0</v>
      </c>
      <c r="BC308" s="62">
        <f t="shared" si="991"/>
        <v>0</v>
      </c>
      <c r="BD308" s="62">
        <f t="shared" si="991"/>
        <v>0</v>
      </c>
      <c r="BE308" s="62">
        <f t="shared" si="991"/>
        <v>0</v>
      </c>
      <c r="BF308" s="62">
        <f t="shared" si="991"/>
        <v>0</v>
      </c>
      <c r="BG308" s="62">
        <f t="shared" si="991"/>
        <v>0</v>
      </c>
      <c r="BH308" s="62">
        <f t="shared" si="991"/>
        <v>0</v>
      </c>
      <c r="BI308" s="62">
        <f t="shared" si="991"/>
        <v>0</v>
      </c>
      <c r="BJ308" s="62">
        <f t="shared" si="991"/>
        <v>0</v>
      </c>
    </row>
    <row r="309" spans="2:62">
      <c r="B309" t="s">
        <v>309</v>
      </c>
      <c r="C309" s="62">
        <f>-C141*C284*0.55*500</f>
        <v>0</v>
      </c>
      <c r="D309" s="62">
        <f>-D141*D284*0.55*500</f>
        <v>0</v>
      </c>
      <c r="E309" s="62">
        <f>-E141*E284*0.55*500</f>
        <v>0</v>
      </c>
      <c r="F309" s="62">
        <f>-F141*F284*0.55*500</f>
        <v>0</v>
      </c>
      <c r="G309" s="62">
        <f>-G141*G284*0.55*500</f>
        <v>0</v>
      </c>
      <c r="H309" s="62">
        <f>8*605.53*0</f>
        <v>0</v>
      </c>
      <c r="I309" s="62">
        <f t="shared" ref="I309:AX309" si="992">-I141*I284*0.55*500</f>
        <v>0</v>
      </c>
      <c r="J309" s="62">
        <f t="shared" si="992"/>
        <v>0</v>
      </c>
      <c r="K309" s="62">
        <f t="shared" si="992"/>
        <v>0</v>
      </c>
      <c r="L309" s="62">
        <f t="shared" si="992"/>
        <v>0</v>
      </c>
      <c r="M309" s="62">
        <f t="shared" si="992"/>
        <v>3025.0000000000005</v>
      </c>
      <c r="N309" s="62">
        <f t="shared" si="992"/>
        <v>0</v>
      </c>
      <c r="O309" s="62">
        <f t="shared" si="992"/>
        <v>0</v>
      </c>
      <c r="P309" s="62">
        <f t="shared" si="992"/>
        <v>0</v>
      </c>
      <c r="Q309" s="62">
        <f t="shared" si="992"/>
        <v>0</v>
      </c>
      <c r="R309" s="62">
        <f t="shared" si="992"/>
        <v>0</v>
      </c>
      <c r="S309" s="62">
        <f t="shared" si="992"/>
        <v>0</v>
      </c>
      <c r="T309" s="62">
        <f t="shared" si="992"/>
        <v>1512.5000000000002</v>
      </c>
      <c r="U309" s="62">
        <f t="shared" si="992"/>
        <v>0</v>
      </c>
      <c r="V309" s="62">
        <f t="shared" si="992"/>
        <v>6050.0000000000009</v>
      </c>
      <c r="W309" s="62">
        <f t="shared" si="992"/>
        <v>0</v>
      </c>
      <c r="X309" s="62">
        <f t="shared" si="992"/>
        <v>0</v>
      </c>
      <c r="Y309" s="62">
        <f t="shared" si="992"/>
        <v>0</v>
      </c>
      <c r="Z309" s="62">
        <f t="shared" si="992"/>
        <v>0</v>
      </c>
      <c r="AA309" s="62">
        <f t="shared" si="992"/>
        <v>0</v>
      </c>
      <c r="AB309" s="62">
        <f t="shared" si="992"/>
        <v>0</v>
      </c>
      <c r="AC309" s="62">
        <f t="shared" si="992"/>
        <v>0</v>
      </c>
      <c r="AD309" s="62">
        <f t="shared" si="992"/>
        <v>0</v>
      </c>
      <c r="AE309" s="62">
        <f t="shared" si="992"/>
        <v>0</v>
      </c>
      <c r="AF309" s="62">
        <f t="shared" si="992"/>
        <v>0</v>
      </c>
      <c r="AG309" s="62">
        <f t="shared" si="992"/>
        <v>6113.2500000000009</v>
      </c>
      <c r="AH309" s="62">
        <f t="shared" si="992"/>
        <v>0</v>
      </c>
      <c r="AI309" s="62">
        <f t="shared" si="992"/>
        <v>0</v>
      </c>
      <c r="AJ309" s="62">
        <f t="shared" si="992"/>
        <v>0</v>
      </c>
      <c r="AK309" s="62">
        <f t="shared" si="992"/>
        <v>0</v>
      </c>
      <c r="AL309" s="62">
        <f t="shared" si="992"/>
        <v>14264.250000000002</v>
      </c>
      <c r="AM309" s="62">
        <f t="shared" si="992"/>
        <v>0</v>
      </c>
      <c r="AN309" s="62">
        <f t="shared" si="992"/>
        <v>0</v>
      </c>
      <c r="AO309" s="62">
        <f t="shared" si="992"/>
        <v>0</v>
      </c>
      <c r="AP309" s="62">
        <f t="shared" si="992"/>
        <v>0</v>
      </c>
      <c r="AQ309" s="62">
        <f t="shared" si="992"/>
        <v>0</v>
      </c>
      <c r="AR309" s="62">
        <f t="shared" si="992"/>
        <v>0</v>
      </c>
      <c r="AS309" s="62">
        <f t="shared" si="992"/>
        <v>0</v>
      </c>
      <c r="AT309" s="62">
        <f t="shared" si="992"/>
        <v>0</v>
      </c>
      <c r="AU309" s="62">
        <f t="shared" si="992"/>
        <v>0</v>
      </c>
      <c r="AV309" s="62">
        <f t="shared" si="992"/>
        <v>0</v>
      </c>
      <c r="AW309" s="62">
        <f t="shared" si="992"/>
        <v>0</v>
      </c>
      <c r="AX309" s="62">
        <f t="shared" si="992"/>
        <v>0</v>
      </c>
      <c r="AY309" s="62">
        <f t="shared" ref="AY309:BJ309" si="993">-AY141*AY284*0.55*500</f>
        <v>0</v>
      </c>
      <c r="AZ309" s="62">
        <f t="shared" si="993"/>
        <v>0</v>
      </c>
      <c r="BA309" s="62">
        <f t="shared" si="993"/>
        <v>0</v>
      </c>
      <c r="BB309" s="62">
        <f t="shared" si="993"/>
        <v>0</v>
      </c>
      <c r="BC309" s="62">
        <f t="shared" si="993"/>
        <v>0</v>
      </c>
      <c r="BD309" s="62">
        <f t="shared" si="993"/>
        <v>0</v>
      </c>
      <c r="BE309" s="62">
        <f t="shared" si="993"/>
        <v>0</v>
      </c>
      <c r="BF309" s="62">
        <f t="shared" si="993"/>
        <v>0</v>
      </c>
      <c r="BG309" s="62">
        <f t="shared" si="993"/>
        <v>0</v>
      </c>
      <c r="BH309" s="62">
        <f t="shared" si="993"/>
        <v>0</v>
      </c>
      <c r="BI309" s="62">
        <f t="shared" si="993"/>
        <v>0</v>
      </c>
      <c r="BJ309" s="62">
        <f t="shared" si="993"/>
        <v>0</v>
      </c>
    </row>
    <row r="310" spans="2: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row>
  </sheetData>
  <pageMargins left="0.7" right="0.7" top="0.75" bottom="0.75" header="0.3" footer="0.3"/>
  <pageSetup paperSize="9" orientation="portrait" r:id="rId1"/>
  <ignoredErrors>
    <ignoredError sqref="E244"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3F32-A3FE-417A-9EB0-7D04582A606F}">
  <dimension ref="B2:J30"/>
  <sheetViews>
    <sheetView zoomScale="120" zoomScaleNormal="120" workbookViewId="0">
      <selection activeCell="E28" sqref="E28"/>
    </sheetView>
  </sheetViews>
  <sheetFormatPr baseColWidth="10" defaultRowHeight="15"/>
  <cols>
    <col min="6" max="6" width="17.42578125" customWidth="1"/>
    <col min="8" max="8" width="22.7109375" bestFit="1" customWidth="1"/>
  </cols>
  <sheetData>
    <row r="2" spans="2:10">
      <c r="B2" t="s">
        <v>451</v>
      </c>
      <c r="D2" s="504">
        <v>31171.96</v>
      </c>
      <c r="E2" s="504"/>
    </row>
    <row r="3" spans="2:10">
      <c r="B3" t="s">
        <v>446</v>
      </c>
      <c r="D3" s="504">
        <v>27871.24</v>
      </c>
      <c r="E3" s="504"/>
    </row>
    <row r="4" spans="2:10">
      <c r="B4" t="s">
        <v>450</v>
      </c>
      <c r="D4" s="504">
        <v>4548.3500000000004</v>
      </c>
      <c r="E4" s="504"/>
    </row>
    <row r="5" spans="2:10">
      <c r="B5" s="58" t="s">
        <v>447</v>
      </c>
      <c r="C5" s="58"/>
      <c r="D5" s="506">
        <f>D2-D3-D4</f>
        <v>-1247.6300000000028</v>
      </c>
      <c r="E5" s="504"/>
    </row>
    <row r="6" spans="2:10">
      <c r="F6" t="s">
        <v>448</v>
      </c>
      <c r="H6" s="505">
        <v>0.48</v>
      </c>
    </row>
    <row r="7" spans="2:10">
      <c r="F7" t="s">
        <v>449</v>
      </c>
      <c r="H7" s="505">
        <v>0.52</v>
      </c>
    </row>
    <row r="8" spans="2:10">
      <c r="J8" s="505">
        <v>0.48</v>
      </c>
    </row>
    <row r="9" spans="2:10">
      <c r="B9" t="s">
        <v>451</v>
      </c>
      <c r="D9" s="504">
        <v>31171.96</v>
      </c>
      <c r="J9" s="505">
        <v>0.52</v>
      </c>
    </row>
    <row r="10" spans="2:10">
      <c r="B10" t="s">
        <v>446</v>
      </c>
      <c r="D10" s="504">
        <v>27871.24</v>
      </c>
    </row>
    <row r="11" spans="2:10">
      <c r="B11" t="s">
        <v>452</v>
      </c>
      <c r="D11" s="504">
        <f>4548.35*0.52</f>
        <v>2365.1420000000003</v>
      </c>
    </row>
    <row r="12" spans="2:10">
      <c r="B12" s="58" t="s">
        <v>447</v>
      </c>
      <c r="C12" s="58"/>
      <c r="D12" s="507">
        <f>D9-D10-D11</f>
        <v>935.57799999999725</v>
      </c>
    </row>
    <row r="16" spans="2:10">
      <c r="H16" s="505">
        <v>0.48</v>
      </c>
    </row>
    <row r="17" spans="8:9">
      <c r="H17" s="505">
        <v>0.52</v>
      </c>
    </row>
    <row r="23" spans="8:9">
      <c r="H23" t="s">
        <v>455</v>
      </c>
      <c r="I23" s="511">
        <v>7760.23</v>
      </c>
    </row>
    <row r="24" spans="8:9">
      <c r="H24" t="s">
        <v>456</v>
      </c>
      <c r="I24" s="508">
        <f>-'Ing y gtos'!BJ92</f>
        <v>-4638.0200000000004</v>
      </c>
    </row>
    <row r="25" spans="8:9">
      <c r="H25" t="s">
        <v>457</v>
      </c>
      <c r="I25" s="508">
        <f>-1250*2</f>
        <v>-2500</v>
      </c>
    </row>
    <row r="26" spans="8:9">
      <c r="H26" t="s">
        <v>458</v>
      </c>
      <c r="I26" s="508">
        <f>-759.42</f>
        <v>-759.42</v>
      </c>
    </row>
    <row r="27" spans="8:9">
      <c r="H27" t="s">
        <v>459</v>
      </c>
      <c r="I27" s="508">
        <f>-(1068.65+744.95+3347.29+557.25+1932.92+786.67)</f>
        <v>-8437.73</v>
      </c>
    </row>
    <row r="28" spans="8:9">
      <c r="H28" t="s">
        <v>460</v>
      </c>
      <c r="I28" s="508">
        <f>-(249.54+340.16+382.48+465.85+3515.87+150.81)</f>
        <v>-5104.71</v>
      </c>
    </row>
    <row r="30" spans="8:9">
      <c r="H30" t="s">
        <v>461</v>
      </c>
      <c r="I30" s="508">
        <f>SUM(I23:I28)</f>
        <v>-13679.650000000001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10CB-46E0-496A-9208-E374B82CF590}">
  <dimension ref="A1:AI121"/>
  <sheetViews>
    <sheetView showGridLines="0" zoomScale="90" zoomScaleNormal="90" workbookViewId="0">
      <pane xSplit="2" ySplit="1" topLeftCell="I2" activePane="bottomRight" state="frozen"/>
      <selection pane="topRight" activeCell="C1" sqref="C1"/>
      <selection pane="bottomLeft" activeCell="A2" sqref="A2"/>
      <selection pane="bottomRight" activeCell="A10" sqref="A10"/>
    </sheetView>
  </sheetViews>
  <sheetFormatPr baseColWidth="10" defaultColWidth="11.42578125" defaultRowHeight="14.25"/>
  <cols>
    <col min="1" max="1" width="27.85546875" style="2" bestFit="1" customWidth="1"/>
    <col min="2" max="2" width="7.7109375" style="2" bestFit="1" customWidth="1"/>
    <col min="3" max="3" width="13.140625" style="2" bestFit="1" customWidth="1"/>
    <col min="4" max="5" width="11.140625" style="2" bestFit="1" customWidth="1"/>
    <col min="6" max="6" width="12.7109375" style="2" bestFit="1" customWidth="1"/>
    <col min="7" max="7" width="10.7109375" style="2" bestFit="1" customWidth="1"/>
    <col min="8" max="8" width="14.140625" style="2" bestFit="1" customWidth="1"/>
    <col min="9" max="10" width="12.42578125" style="2" bestFit="1" customWidth="1"/>
    <col min="11" max="11" width="10.7109375" style="2" bestFit="1" customWidth="1"/>
    <col min="12" max="12" width="11.28515625" style="2" bestFit="1" customWidth="1"/>
    <col min="13" max="13" width="12" style="2" bestFit="1" customWidth="1"/>
    <col min="14" max="14" width="10.85546875" style="2" bestFit="1" customWidth="1"/>
    <col min="15" max="15" width="11.42578125" style="2" bestFit="1" customWidth="1"/>
    <col min="16" max="28" width="12" style="2" bestFit="1" customWidth="1"/>
    <col min="29" max="16384" width="11.42578125" style="2"/>
  </cols>
  <sheetData>
    <row r="1" spans="1:28">
      <c r="A1" s="25" t="s">
        <v>153</v>
      </c>
      <c r="B1" s="24"/>
      <c r="C1" s="1">
        <v>45199</v>
      </c>
      <c r="D1" s="1">
        <v>45230</v>
      </c>
      <c r="E1" s="1">
        <v>45260</v>
      </c>
      <c r="F1" s="1">
        <v>45291</v>
      </c>
      <c r="G1" s="1">
        <v>45322</v>
      </c>
      <c r="H1" s="1">
        <v>45350</v>
      </c>
      <c r="I1" s="1">
        <v>45382</v>
      </c>
      <c r="J1" s="1">
        <v>45412</v>
      </c>
      <c r="K1" s="1">
        <v>45443</v>
      </c>
      <c r="L1" s="1">
        <v>45473</v>
      </c>
      <c r="M1" s="1">
        <v>45504</v>
      </c>
      <c r="N1" s="1">
        <v>45535</v>
      </c>
      <c r="O1" s="1">
        <v>45565</v>
      </c>
      <c r="P1" s="1">
        <v>45596</v>
      </c>
      <c r="Q1" s="1">
        <v>45626</v>
      </c>
      <c r="R1" s="1">
        <v>45657</v>
      </c>
      <c r="S1" s="1">
        <v>45688</v>
      </c>
      <c r="T1" s="1">
        <v>45716</v>
      </c>
      <c r="U1" s="1">
        <v>45747</v>
      </c>
      <c r="V1" s="1">
        <v>45777</v>
      </c>
      <c r="W1" s="1">
        <v>45808</v>
      </c>
      <c r="X1" s="1">
        <v>45838</v>
      </c>
      <c r="Y1" s="1">
        <v>45869</v>
      </c>
      <c r="Z1" s="1">
        <v>45900</v>
      </c>
      <c r="AA1" s="1">
        <v>45930</v>
      </c>
      <c r="AB1" s="1">
        <v>45961</v>
      </c>
    </row>
    <row r="2" spans="1:28">
      <c r="A2" s="3" t="s">
        <v>154</v>
      </c>
      <c r="B2" s="113" t="s">
        <v>155</v>
      </c>
      <c r="C2" s="27"/>
      <c r="D2" s="1"/>
      <c r="E2" s="1"/>
      <c r="F2" s="1"/>
      <c r="G2" s="1"/>
      <c r="H2" s="1"/>
      <c r="I2" s="1"/>
      <c r="J2" s="1"/>
      <c r="K2" s="1"/>
      <c r="L2" s="1"/>
      <c r="M2" s="1"/>
      <c r="N2" s="1"/>
      <c r="O2" s="1"/>
      <c r="P2" s="1"/>
      <c r="Q2" s="1"/>
      <c r="R2" s="1"/>
      <c r="S2" s="1"/>
      <c r="T2" s="1"/>
      <c r="U2" s="1"/>
      <c r="V2" s="1"/>
      <c r="W2" s="1"/>
      <c r="X2" s="1"/>
      <c r="Y2" s="1"/>
      <c r="Z2" s="1"/>
      <c r="AA2" s="1"/>
      <c r="AB2" s="1"/>
    </row>
    <row r="3" spans="1:28" s="112" customFormat="1" ht="13.5">
      <c r="A3" s="112" t="s">
        <v>156</v>
      </c>
      <c r="B3" s="117">
        <v>74</v>
      </c>
      <c r="C3" s="112">
        <f t="shared" ref="C3:AB3" si="0">B3+B4</f>
        <v>74</v>
      </c>
      <c r="D3" s="112">
        <f t="shared" si="0"/>
        <v>74</v>
      </c>
      <c r="E3" s="112">
        <f t="shared" si="0"/>
        <v>74</v>
      </c>
      <c r="F3" s="112">
        <f t="shared" si="0"/>
        <v>74</v>
      </c>
      <c r="G3" s="112">
        <f t="shared" si="0"/>
        <v>74</v>
      </c>
      <c r="H3" s="112">
        <f t="shared" si="0"/>
        <v>1</v>
      </c>
      <c r="I3" s="112">
        <f t="shared" si="0"/>
        <v>1</v>
      </c>
      <c r="J3" s="112">
        <f t="shared" si="0"/>
        <v>1</v>
      </c>
      <c r="K3" s="112">
        <f t="shared" si="0"/>
        <v>0</v>
      </c>
      <c r="L3" s="112">
        <f t="shared" si="0"/>
        <v>0</v>
      </c>
      <c r="M3" s="112">
        <f t="shared" si="0"/>
        <v>0</v>
      </c>
      <c r="N3" s="112">
        <f t="shared" si="0"/>
        <v>0</v>
      </c>
      <c r="O3" s="112">
        <f t="shared" si="0"/>
        <v>0</v>
      </c>
      <c r="P3" s="112">
        <f t="shared" si="0"/>
        <v>0</v>
      </c>
      <c r="Q3" s="112">
        <f t="shared" si="0"/>
        <v>0</v>
      </c>
      <c r="R3" s="112">
        <f t="shared" si="0"/>
        <v>0</v>
      </c>
      <c r="S3" s="112">
        <f t="shared" si="0"/>
        <v>0</v>
      </c>
      <c r="T3" s="112">
        <f t="shared" si="0"/>
        <v>0</v>
      </c>
      <c r="U3" s="112">
        <f t="shared" si="0"/>
        <v>0</v>
      </c>
      <c r="V3" s="112">
        <f t="shared" si="0"/>
        <v>0</v>
      </c>
      <c r="W3" s="112">
        <f t="shared" si="0"/>
        <v>0</v>
      </c>
      <c r="X3" s="112">
        <f t="shared" si="0"/>
        <v>0</v>
      </c>
      <c r="Y3" s="112">
        <f t="shared" si="0"/>
        <v>0</v>
      </c>
      <c r="Z3" s="112">
        <f t="shared" si="0"/>
        <v>0</v>
      </c>
      <c r="AA3" s="112">
        <f t="shared" si="0"/>
        <v>0</v>
      </c>
      <c r="AB3" s="112">
        <f t="shared" si="0"/>
        <v>0</v>
      </c>
    </row>
    <row r="4" spans="1:28">
      <c r="A4" s="2" t="s">
        <v>157</v>
      </c>
      <c r="B4" s="5"/>
      <c r="G4" s="2">
        <f>-46-3-9-15</f>
        <v>-73</v>
      </c>
      <c r="J4" s="2">
        <f>-1</f>
        <v>-1</v>
      </c>
    </row>
    <row r="5" spans="1:28" s="112" customFormat="1" ht="13.5">
      <c r="A5" s="112" t="s">
        <v>158</v>
      </c>
      <c r="B5" s="118">
        <v>73</v>
      </c>
      <c r="C5" s="112">
        <f t="shared" ref="C5:AB5" si="1">B5+B6</f>
        <v>73</v>
      </c>
      <c r="D5" s="112">
        <f t="shared" si="1"/>
        <v>73</v>
      </c>
      <c r="E5" s="112">
        <f t="shared" si="1"/>
        <v>12</v>
      </c>
      <c r="F5" s="112">
        <f t="shared" si="1"/>
        <v>12</v>
      </c>
      <c r="G5" s="112">
        <f t="shared" si="1"/>
        <v>12</v>
      </c>
      <c r="H5" s="112">
        <f t="shared" si="1"/>
        <v>0</v>
      </c>
      <c r="I5" s="112">
        <f t="shared" si="1"/>
        <v>0</v>
      </c>
      <c r="J5" s="112">
        <f t="shared" si="1"/>
        <v>0</v>
      </c>
      <c r="K5" s="112">
        <f t="shared" si="1"/>
        <v>0</v>
      </c>
      <c r="L5" s="112">
        <f t="shared" si="1"/>
        <v>0</v>
      </c>
      <c r="M5" s="112">
        <f t="shared" si="1"/>
        <v>0</v>
      </c>
      <c r="N5" s="112">
        <f t="shared" si="1"/>
        <v>0</v>
      </c>
      <c r="O5" s="112">
        <f t="shared" si="1"/>
        <v>0</v>
      </c>
      <c r="P5" s="112">
        <f t="shared" si="1"/>
        <v>0</v>
      </c>
      <c r="Q5" s="112">
        <f t="shared" si="1"/>
        <v>0</v>
      </c>
      <c r="R5" s="112">
        <f t="shared" si="1"/>
        <v>0</v>
      </c>
      <c r="S5" s="112">
        <f t="shared" si="1"/>
        <v>0</v>
      </c>
      <c r="T5" s="112">
        <f t="shared" si="1"/>
        <v>0</v>
      </c>
      <c r="U5" s="112">
        <f t="shared" si="1"/>
        <v>0</v>
      </c>
      <c r="V5" s="112">
        <f t="shared" si="1"/>
        <v>0</v>
      </c>
      <c r="W5" s="112">
        <f t="shared" si="1"/>
        <v>0</v>
      </c>
      <c r="X5" s="112">
        <f t="shared" si="1"/>
        <v>0</v>
      </c>
      <c r="Y5" s="112">
        <f t="shared" si="1"/>
        <v>0</v>
      </c>
      <c r="Z5" s="112">
        <f t="shared" si="1"/>
        <v>0</v>
      </c>
      <c r="AA5" s="112">
        <f t="shared" si="1"/>
        <v>0</v>
      </c>
      <c r="AB5" s="112">
        <f t="shared" si="1"/>
        <v>0</v>
      </c>
    </row>
    <row r="6" spans="1:28">
      <c r="A6" s="2" t="s">
        <v>159</v>
      </c>
      <c r="B6" s="5"/>
      <c r="D6" s="2">
        <f>-61</f>
        <v>-61</v>
      </c>
      <c r="G6" s="2">
        <f>-12</f>
        <v>-12</v>
      </c>
    </row>
    <row r="7" spans="1:28" s="112" customFormat="1" ht="13.5">
      <c r="A7" s="112" t="s">
        <v>160</v>
      </c>
      <c r="B7" s="118">
        <v>53</v>
      </c>
      <c r="C7" s="112">
        <f t="shared" ref="C7:AB7" si="2">B7+B8</f>
        <v>53</v>
      </c>
      <c r="D7" s="112">
        <f t="shared" si="2"/>
        <v>53</v>
      </c>
      <c r="E7" s="112">
        <f t="shared" si="2"/>
        <v>53</v>
      </c>
      <c r="F7" s="112">
        <f t="shared" si="2"/>
        <v>0</v>
      </c>
      <c r="G7" s="112">
        <f t="shared" si="2"/>
        <v>0</v>
      </c>
      <c r="H7" s="112">
        <f t="shared" si="2"/>
        <v>0</v>
      </c>
      <c r="I7" s="112">
        <f t="shared" si="2"/>
        <v>0</v>
      </c>
      <c r="J7" s="112">
        <f t="shared" si="2"/>
        <v>0</v>
      </c>
      <c r="K7" s="112">
        <f t="shared" si="2"/>
        <v>0</v>
      </c>
      <c r="L7" s="112">
        <f t="shared" si="2"/>
        <v>0</v>
      </c>
      <c r="M7" s="112">
        <f t="shared" si="2"/>
        <v>0</v>
      </c>
      <c r="N7" s="112">
        <f t="shared" si="2"/>
        <v>0</v>
      </c>
      <c r="O7" s="112">
        <f t="shared" si="2"/>
        <v>0</v>
      </c>
      <c r="P7" s="112">
        <f t="shared" si="2"/>
        <v>0</v>
      </c>
      <c r="Q7" s="112">
        <f t="shared" si="2"/>
        <v>0</v>
      </c>
      <c r="R7" s="112">
        <f t="shared" si="2"/>
        <v>0</v>
      </c>
      <c r="S7" s="112">
        <f t="shared" si="2"/>
        <v>0</v>
      </c>
      <c r="T7" s="112">
        <f t="shared" si="2"/>
        <v>0</v>
      </c>
      <c r="U7" s="112">
        <f t="shared" si="2"/>
        <v>0</v>
      </c>
      <c r="V7" s="112">
        <f t="shared" si="2"/>
        <v>0</v>
      </c>
      <c r="W7" s="112">
        <f t="shared" si="2"/>
        <v>0</v>
      </c>
      <c r="X7" s="112">
        <f t="shared" si="2"/>
        <v>0</v>
      </c>
      <c r="Y7" s="112">
        <f t="shared" si="2"/>
        <v>0</v>
      </c>
      <c r="Z7" s="112">
        <f t="shared" si="2"/>
        <v>0</v>
      </c>
      <c r="AA7" s="112">
        <f t="shared" si="2"/>
        <v>0</v>
      </c>
      <c r="AB7" s="112">
        <f t="shared" si="2"/>
        <v>0</v>
      </c>
    </row>
    <row r="8" spans="1:28">
      <c r="A8" s="2" t="s">
        <v>161</v>
      </c>
      <c r="B8" s="5"/>
      <c r="E8" s="2">
        <f>-17-36</f>
        <v>-53</v>
      </c>
    </row>
    <row r="9" spans="1:28" s="112" customFormat="1" ht="13.5">
      <c r="A9" s="112" t="s">
        <v>162</v>
      </c>
      <c r="B9" s="118">
        <v>9</v>
      </c>
      <c r="C9" s="112">
        <f t="shared" ref="C9:AB9" si="3">B9+B10</f>
        <v>9</v>
      </c>
      <c r="D9" s="112">
        <f t="shared" si="3"/>
        <v>9</v>
      </c>
      <c r="E9" s="112">
        <f t="shared" si="3"/>
        <v>9</v>
      </c>
      <c r="F9" s="112">
        <f t="shared" si="3"/>
        <v>9</v>
      </c>
      <c r="G9" s="112">
        <f t="shared" si="3"/>
        <v>9</v>
      </c>
      <c r="H9" s="112">
        <f t="shared" si="3"/>
        <v>9</v>
      </c>
      <c r="I9" s="112">
        <f t="shared" si="3"/>
        <v>1</v>
      </c>
      <c r="J9" s="112">
        <f t="shared" si="3"/>
        <v>1</v>
      </c>
      <c r="K9" s="112">
        <f t="shared" si="3"/>
        <v>1</v>
      </c>
      <c r="L9" s="112">
        <f t="shared" si="3"/>
        <v>1</v>
      </c>
      <c r="M9" s="112">
        <f t="shared" si="3"/>
        <v>1</v>
      </c>
      <c r="N9" s="112">
        <f t="shared" si="3"/>
        <v>1</v>
      </c>
      <c r="O9" s="112">
        <f t="shared" si="3"/>
        <v>1</v>
      </c>
      <c r="P9" s="112">
        <f t="shared" si="3"/>
        <v>1</v>
      </c>
      <c r="Q9" s="112">
        <f t="shared" si="3"/>
        <v>1</v>
      </c>
      <c r="R9" s="112">
        <f t="shared" si="3"/>
        <v>1</v>
      </c>
      <c r="S9" s="112">
        <f t="shared" si="3"/>
        <v>1</v>
      </c>
      <c r="T9" s="112">
        <f t="shared" si="3"/>
        <v>1</v>
      </c>
      <c r="U9" s="112">
        <f t="shared" si="3"/>
        <v>1</v>
      </c>
      <c r="V9" s="112">
        <f t="shared" si="3"/>
        <v>1</v>
      </c>
      <c r="W9" s="112">
        <f t="shared" si="3"/>
        <v>1</v>
      </c>
      <c r="X9" s="112">
        <f t="shared" si="3"/>
        <v>1</v>
      </c>
      <c r="Y9" s="112">
        <f t="shared" si="3"/>
        <v>1</v>
      </c>
      <c r="Z9" s="112">
        <f t="shared" si="3"/>
        <v>1</v>
      </c>
      <c r="AA9" s="112">
        <f t="shared" si="3"/>
        <v>1</v>
      </c>
      <c r="AB9" s="112">
        <f t="shared" si="3"/>
        <v>1</v>
      </c>
    </row>
    <row r="10" spans="1:28">
      <c r="A10" s="2" t="s">
        <v>163</v>
      </c>
      <c r="B10" s="5"/>
      <c r="H10" s="112">
        <f>-8</f>
        <v>-8</v>
      </c>
    </row>
    <row r="11" spans="1:28" s="112" customFormat="1" ht="13.5">
      <c r="A11" s="119" t="s">
        <v>164</v>
      </c>
      <c r="B11" s="118">
        <v>55</v>
      </c>
      <c r="C11" s="112">
        <f t="shared" ref="C11:AB11" si="4">B11+B12</f>
        <v>55</v>
      </c>
      <c r="D11" s="112">
        <f t="shared" si="4"/>
        <v>55</v>
      </c>
      <c r="E11" s="112">
        <f t="shared" si="4"/>
        <v>81</v>
      </c>
      <c r="F11" s="112">
        <f t="shared" si="4"/>
        <v>81</v>
      </c>
      <c r="G11" s="112">
        <f t="shared" si="4"/>
        <v>81</v>
      </c>
      <c r="H11" s="112">
        <f t="shared" si="4"/>
        <v>81</v>
      </c>
      <c r="I11" s="112">
        <f t="shared" si="4"/>
        <v>81</v>
      </c>
      <c r="J11" s="112">
        <f t="shared" si="4"/>
        <v>81</v>
      </c>
      <c r="K11" s="112">
        <f t="shared" si="4"/>
        <v>81</v>
      </c>
      <c r="L11" s="112">
        <f t="shared" si="4"/>
        <v>81</v>
      </c>
      <c r="M11" s="112">
        <f t="shared" si="4"/>
        <v>81</v>
      </c>
      <c r="N11" s="112">
        <f t="shared" si="4"/>
        <v>81</v>
      </c>
      <c r="O11" s="112">
        <f t="shared" si="4"/>
        <v>81</v>
      </c>
      <c r="P11" s="112">
        <f t="shared" si="4"/>
        <v>81</v>
      </c>
      <c r="Q11" s="112">
        <f t="shared" si="4"/>
        <v>81</v>
      </c>
      <c r="R11" s="112">
        <f t="shared" si="4"/>
        <v>81</v>
      </c>
      <c r="S11" s="112">
        <f t="shared" si="4"/>
        <v>81</v>
      </c>
      <c r="T11" s="112">
        <f t="shared" si="4"/>
        <v>81</v>
      </c>
      <c r="U11" s="112">
        <f t="shared" si="4"/>
        <v>81</v>
      </c>
      <c r="V11" s="112">
        <f t="shared" si="4"/>
        <v>81</v>
      </c>
      <c r="W11" s="112">
        <f t="shared" si="4"/>
        <v>81</v>
      </c>
      <c r="X11" s="112">
        <f t="shared" si="4"/>
        <v>81</v>
      </c>
      <c r="Y11" s="112">
        <f t="shared" si="4"/>
        <v>81</v>
      </c>
      <c r="Z11" s="112">
        <f t="shared" si="4"/>
        <v>81</v>
      </c>
      <c r="AA11" s="112">
        <f t="shared" si="4"/>
        <v>81</v>
      </c>
      <c r="AB11" s="112">
        <f t="shared" si="4"/>
        <v>81</v>
      </c>
    </row>
    <row r="12" spans="1:28">
      <c r="A12" s="6" t="s">
        <v>165</v>
      </c>
      <c r="B12" s="5"/>
      <c r="D12" s="112">
        <f>26</f>
        <v>26</v>
      </c>
    </row>
    <row r="13" spans="1:28" s="112" customFormat="1" ht="13.5">
      <c r="A13" s="112" t="s">
        <v>166</v>
      </c>
      <c r="B13" s="118">
        <v>104</v>
      </c>
      <c r="C13" s="112">
        <f t="shared" ref="C13:AB13" si="5">B13+B14</f>
        <v>104</v>
      </c>
      <c r="D13" s="112">
        <f t="shared" si="5"/>
        <v>104</v>
      </c>
      <c r="E13" s="112">
        <f t="shared" si="5"/>
        <v>104</v>
      </c>
      <c r="F13" s="112">
        <f t="shared" si="5"/>
        <v>104</v>
      </c>
      <c r="G13" s="112">
        <f t="shared" si="5"/>
        <v>104</v>
      </c>
      <c r="H13" s="112">
        <f t="shared" si="5"/>
        <v>104</v>
      </c>
      <c r="I13" s="112">
        <f t="shared" si="5"/>
        <v>104</v>
      </c>
      <c r="J13" s="112">
        <f t="shared" si="5"/>
        <v>104</v>
      </c>
      <c r="K13" s="112">
        <f t="shared" si="5"/>
        <v>104</v>
      </c>
      <c r="L13" s="112">
        <f t="shared" si="5"/>
        <v>104</v>
      </c>
      <c r="M13" s="112">
        <f t="shared" si="5"/>
        <v>104</v>
      </c>
      <c r="N13" s="112">
        <f t="shared" si="5"/>
        <v>104</v>
      </c>
      <c r="O13" s="112">
        <f t="shared" si="5"/>
        <v>104</v>
      </c>
      <c r="P13" s="112">
        <f t="shared" si="5"/>
        <v>104</v>
      </c>
      <c r="Q13" s="112">
        <f t="shared" si="5"/>
        <v>104</v>
      </c>
      <c r="R13" s="112">
        <f t="shared" si="5"/>
        <v>104</v>
      </c>
      <c r="S13" s="112">
        <f t="shared" si="5"/>
        <v>104</v>
      </c>
      <c r="T13" s="112">
        <f t="shared" si="5"/>
        <v>104</v>
      </c>
      <c r="U13" s="112">
        <f t="shared" si="5"/>
        <v>104</v>
      </c>
      <c r="V13" s="112">
        <f t="shared" si="5"/>
        <v>104</v>
      </c>
      <c r="W13" s="112">
        <f t="shared" si="5"/>
        <v>104</v>
      </c>
      <c r="X13" s="112">
        <f t="shared" si="5"/>
        <v>104</v>
      </c>
      <c r="Y13" s="112">
        <f t="shared" si="5"/>
        <v>104</v>
      </c>
      <c r="Z13" s="112">
        <f t="shared" si="5"/>
        <v>104</v>
      </c>
      <c r="AA13" s="112">
        <f t="shared" si="5"/>
        <v>104</v>
      </c>
      <c r="AB13" s="112">
        <f t="shared" si="5"/>
        <v>104</v>
      </c>
    </row>
    <row r="14" spans="1:28">
      <c r="A14" s="2" t="s">
        <v>167</v>
      </c>
      <c r="B14" s="5"/>
    </row>
    <row r="15" spans="1:28" s="112" customFormat="1" ht="13.5">
      <c r="A15" s="112" t="s">
        <v>168</v>
      </c>
      <c r="B15" s="118">
        <v>1</v>
      </c>
      <c r="C15" s="112">
        <f t="shared" ref="C15:AB15" si="6">B15+B16</f>
        <v>21</v>
      </c>
      <c r="D15" s="112">
        <f t="shared" si="6"/>
        <v>30</v>
      </c>
      <c r="E15" s="112">
        <f t="shared" si="6"/>
        <v>39</v>
      </c>
      <c r="F15" s="112">
        <f t="shared" si="6"/>
        <v>62</v>
      </c>
      <c r="G15" s="112">
        <f t="shared" si="6"/>
        <v>53</v>
      </c>
      <c r="H15" s="112">
        <f t="shared" si="6"/>
        <v>53</v>
      </c>
      <c r="I15" s="112">
        <f t="shared" si="6"/>
        <v>48</v>
      </c>
      <c r="J15" s="112">
        <f t="shared" si="6"/>
        <v>53</v>
      </c>
      <c r="K15" s="112">
        <f t="shared" si="6"/>
        <v>53</v>
      </c>
      <c r="L15" s="112">
        <f t="shared" si="6"/>
        <v>53</v>
      </c>
      <c r="M15" s="112">
        <f t="shared" si="6"/>
        <v>53</v>
      </c>
      <c r="N15" s="112">
        <f t="shared" si="6"/>
        <v>53</v>
      </c>
      <c r="O15" s="112">
        <f t="shared" si="6"/>
        <v>53</v>
      </c>
      <c r="P15" s="112">
        <f t="shared" si="6"/>
        <v>53</v>
      </c>
      <c r="Q15" s="112">
        <f t="shared" si="6"/>
        <v>53</v>
      </c>
      <c r="R15" s="112">
        <f t="shared" si="6"/>
        <v>53</v>
      </c>
      <c r="S15" s="112">
        <f t="shared" si="6"/>
        <v>53</v>
      </c>
      <c r="T15" s="112">
        <f t="shared" si="6"/>
        <v>53</v>
      </c>
      <c r="U15" s="112">
        <f t="shared" si="6"/>
        <v>53</v>
      </c>
      <c r="V15" s="112">
        <f t="shared" si="6"/>
        <v>53</v>
      </c>
      <c r="W15" s="112">
        <f t="shared" si="6"/>
        <v>53</v>
      </c>
      <c r="X15" s="112">
        <f t="shared" si="6"/>
        <v>53</v>
      </c>
      <c r="Y15" s="112">
        <f t="shared" si="6"/>
        <v>53</v>
      </c>
      <c r="Z15" s="112">
        <f t="shared" si="6"/>
        <v>53</v>
      </c>
      <c r="AA15" s="112">
        <f t="shared" si="6"/>
        <v>53</v>
      </c>
      <c r="AB15" s="112">
        <f t="shared" si="6"/>
        <v>53</v>
      </c>
    </row>
    <row r="16" spans="1:28">
      <c r="A16" s="3" t="s">
        <v>169</v>
      </c>
      <c r="B16" s="8">
        <f>15+5</f>
        <v>20</v>
      </c>
      <c r="C16" s="2">
        <f>6+3</f>
        <v>9</v>
      </c>
      <c r="D16" s="2">
        <f>6+2+1</f>
        <v>9</v>
      </c>
      <c r="E16" s="2">
        <f>19+4</f>
        <v>23</v>
      </c>
      <c r="F16" s="2">
        <f>5-14</f>
        <v>-9</v>
      </c>
      <c r="G16" s="2">
        <f>6-6</f>
        <v>0</v>
      </c>
      <c r="H16" s="2">
        <f>16-21</f>
        <v>-5</v>
      </c>
      <c r="I16" s="2">
        <f>6-1</f>
        <v>5</v>
      </c>
    </row>
    <row r="17" spans="1:28">
      <c r="A17" s="2" t="s">
        <v>170</v>
      </c>
      <c r="C17" s="9"/>
      <c r="D17" s="120">
        <f>7688.45*2.89+3703.23*2.12</f>
        <v>30070.468100000002</v>
      </c>
      <c r="E17" s="120">
        <f>(17*800+36*900)</f>
        <v>46000</v>
      </c>
      <c r="F17" s="9"/>
      <c r="G17" s="120">
        <f>(25*200*3.04+25*10.64*3.04/2+33*198.06*2.24)*0.97+(3*159.67*3.04+9*165.44*2.24)*0.97</f>
        <v>33985.284720000003</v>
      </c>
      <c r="H17" s="121">
        <f>8*605.53*0</f>
        <v>0</v>
      </c>
      <c r="I17" s="10"/>
      <c r="J17" s="121">
        <f>(2063*4.14+2505*2.97)</f>
        <v>15980.67</v>
      </c>
      <c r="K17" s="10"/>
      <c r="L17" s="121">
        <v>16604.97</v>
      </c>
      <c r="M17" s="9">
        <f>450*27*0.55*5+(39*200)*3.05</f>
        <v>57202.500000000007</v>
      </c>
      <c r="N17" s="9"/>
      <c r="O17" s="9"/>
      <c r="P17" s="9">
        <f>(46*200)*3.05</f>
        <v>28060</v>
      </c>
      <c r="Q17" s="9">
        <f>(16*200)*3.05</f>
        <v>9760</v>
      </c>
      <c r="R17" s="11"/>
      <c r="S17" s="11"/>
      <c r="T17" s="11"/>
      <c r="U17" s="9">
        <f>(26*200)*3.05</f>
        <v>15859.999999999998</v>
      </c>
      <c r="V17" s="11"/>
      <c r="W17" s="9">
        <f>(40*200)*3.05</f>
        <v>24400</v>
      </c>
      <c r="X17" s="11"/>
      <c r="Y17" s="9">
        <f>(50*200)*3.05</f>
        <v>30500</v>
      </c>
      <c r="Z17" s="11"/>
      <c r="AA17" s="11"/>
      <c r="AB17" s="9">
        <f>(59*200)*3.05</f>
        <v>35990</v>
      </c>
    </row>
    <row r="19" spans="1:28">
      <c r="A19" s="12" t="s">
        <v>171</v>
      </c>
      <c r="B19" s="12" t="s">
        <v>172</v>
      </c>
      <c r="C19" s="11" t="s">
        <v>173</v>
      </c>
      <c r="D19" s="11" t="s">
        <v>174</v>
      </c>
      <c r="E19" s="4" t="s">
        <v>175</v>
      </c>
      <c r="F19" s="13" t="s">
        <v>176</v>
      </c>
      <c r="H19" s="4" t="s">
        <v>177</v>
      </c>
      <c r="I19" s="4" t="s">
        <v>178</v>
      </c>
      <c r="J19" s="4" t="s">
        <v>179</v>
      </c>
      <c r="L19" s="4" t="s">
        <v>180</v>
      </c>
      <c r="M19" s="4" t="s">
        <v>180</v>
      </c>
    </row>
    <row r="20" spans="1:28">
      <c r="A20" s="14" t="s">
        <v>181</v>
      </c>
      <c r="B20" s="14" t="s">
        <v>182</v>
      </c>
      <c r="C20" s="7" t="s">
        <v>182</v>
      </c>
      <c r="D20" s="7" t="s">
        <v>182</v>
      </c>
      <c r="E20" s="8" t="s">
        <v>182</v>
      </c>
      <c r="F20" s="8" t="s">
        <v>183</v>
      </c>
      <c r="H20" s="8" t="s">
        <v>182</v>
      </c>
      <c r="I20" s="8" t="s">
        <v>183</v>
      </c>
      <c r="J20" s="8" t="s">
        <v>183</v>
      </c>
      <c r="L20" s="8" t="s">
        <v>182</v>
      </c>
      <c r="M20" s="8" t="s">
        <v>183</v>
      </c>
      <c r="O20" s="29"/>
    </row>
    <row r="21" spans="1:28">
      <c r="A21" s="15" t="s">
        <v>156</v>
      </c>
      <c r="B21" s="12">
        <v>1.5</v>
      </c>
      <c r="C21" s="11">
        <v>1.2</v>
      </c>
      <c r="D21" s="11">
        <v>3</v>
      </c>
      <c r="E21" s="4">
        <f t="shared" ref="E21:E26" si="7">D21+C21+B21</f>
        <v>5.7</v>
      </c>
      <c r="F21" s="16">
        <f>($B$21*$B$31+$C$21*$C$31+$D$21*$D$31)</f>
        <v>1.2312000000000001</v>
      </c>
      <c r="H21" s="4"/>
      <c r="I21" s="4"/>
      <c r="J21" s="13"/>
      <c r="L21" s="4"/>
      <c r="M21" s="4"/>
      <c r="O21" s="29"/>
    </row>
    <row r="22" spans="1:28">
      <c r="A22" s="15" t="s">
        <v>158</v>
      </c>
      <c r="B22" s="15">
        <v>1.5</v>
      </c>
      <c r="C22" s="2">
        <v>1.2</v>
      </c>
      <c r="D22" s="2">
        <v>3</v>
      </c>
      <c r="E22" s="5">
        <f t="shared" si="7"/>
        <v>5.7</v>
      </c>
      <c r="F22" s="17">
        <f>($B$22*$B$31+$C$22*$C$31+$D$22*$D$31)</f>
        <v>1.2312000000000001</v>
      </c>
      <c r="H22" s="5"/>
      <c r="I22" s="5"/>
      <c r="J22" s="6"/>
      <c r="L22" s="5"/>
      <c r="M22" s="5"/>
      <c r="O22" s="114"/>
    </row>
    <row r="23" spans="1:28">
      <c r="A23" s="15" t="s">
        <v>160</v>
      </c>
      <c r="B23" s="15">
        <v>3</v>
      </c>
      <c r="C23" s="2">
        <v>1</v>
      </c>
      <c r="D23" s="2">
        <v>7</v>
      </c>
      <c r="E23" s="5">
        <f t="shared" si="7"/>
        <v>11</v>
      </c>
      <c r="F23" s="17">
        <f>($B$23*$B$31+$C$23*$C$31+$D$23*$D$31)</f>
        <v>1.9660000000000002</v>
      </c>
      <c r="H23" s="5"/>
      <c r="I23" s="5"/>
      <c r="J23" s="6"/>
      <c r="L23" s="5"/>
      <c r="M23" s="5"/>
      <c r="O23" s="29"/>
    </row>
    <row r="24" spans="1:28">
      <c r="A24" s="15" t="s">
        <v>162</v>
      </c>
      <c r="B24" s="15">
        <v>8</v>
      </c>
      <c r="C24" s="2">
        <v>9</v>
      </c>
      <c r="D24" s="2">
        <v>0</v>
      </c>
      <c r="E24" s="5">
        <f t="shared" si="7"/>
        <v>17</v>
      </c>
      <c r="F24" s="17">
        <f>($B$24*$B$31+$C$24*$C$31+$D$24*$D$31)</f>
        <v>6.0739999999999998</v>
      </c>
      <c r="H24" s="5"/>
      <c r="I24" s="5"/>
      <c r="J24" s="6"/>
      <c r="L24" s="5"/>
      <c r="M24" s="5"/>
      <c r="O24" s="29"/>
    </row>
    <row r="25" spans="1:28">
      <c r="A25" s="6" t="s">
        <v>164</v>
      </c>
      <c r="B25" s="15">
        <v>2</v>
      </c>
      <c r="C25" s="2">
        <v>3</v>
      </c>
      <c r="D25" s="2">
        <v>6.55</v>
      </c>
      <c r="E25" s="5">
        <f t="shared" si="7"/>
        <v>11.55</v>
      </c>
      <c r="F25" s="17">
        <f>($B$25*$B$31+$C$25*$C$31+$D$25*$D$31)</f>
        <v>2.4930000000000003</v>
      </c>
      <c r="H25" s="5">
        <v>10</v>
      </c>
      <c r="I25" s="17">
        <f>(H25*$H$31)</f>
        <v>0.8</v>
      </c>
      <c r="J25" s="18">
        <v>0</v>
      </c>
      <c r="L25" s="5"/>
      <c r="M25" s="17"/>
      <c r="O25" s="29"/>
    </row>
    <row r="26" spans="1:28">
      <c r="A26" s="2" t="s">
        <v>166</v>
      </c>
      <c r="B26" s="15">
        <v>2</v>
      </c>
      <c r="C26" s="2">
        <v>2.7</v>
      </c>
      <c r="D26" s="2">
        <v>6.92</v>
      </c>
      <c r="E26" s="5">
        <f t="shared" si="7"/>
        <v>11.620000000000001</v>
      </c>
      <c r="F26" s="17">
        <f>($B$26*$B$31+$C$26*$C$31+$D$26*$D$31)</f>
        <v>2.4022000000000001</v>
      </c>
      <c r="H26" s="5">
        <v>10</v>
      </c>
      <c r="I26" s="17">
        <f>(H26*$H$31)</f>
        <v>0.8</v>
      </c>
      <c r="J26" s="18">
        <v>0</v>
      </c>
      <c r="L26" s="5"/>
      <c r="M26" s="17"/>
      <c r="O26" s="29"/>
    </row>
    <row r="27" spans="1:28">
      <c r="A27" s="3" t="s">
        <v>168</v>
      </c>
      <c r="B27" s="14"/>
      <c r="C27" s="7"/>
      <c r="D27" s="7"/>
      <c r="E27" s="8"/>
      <c r="F27" s="19"/>
      <c r="H27" s="8"/>
      <c r="I27" s="19"/>
      <c r="J27" s="20"/>
      <c r="L27" s="8">
        <v>0.5</v>
      </c>
      <c r="M27" s="19">
        <f>L27*L31</f>
        <v>0.27500000000000002</v>
      </c>
      <c r="O27" s="29"/>
    </row>
    <row r="28" spans="1:28">
      <c r="F28" s="21"/>
    </row>
    <row r="29" spans="1:28">
      <c r="A29" s="2" t="s">
        <v>184</v>
      </c>
      <c r="F29" s="21"/>
    </row>
    <row r="30" spans="1:28">
      <c r="A30" s="12" t="s">
        <v>185</v>
      </c>
      <c r="B30" s="12">
        <v>0.26</v>
      </c>
      <c r="C30" s="11">
        <v>0.39</v>
      </c>
      <c r="D30" s="11">
        <f>0.059</f>
        <v>5.8999999999999997E-2</v>
      </c>
      <c r="E30" s="4">
        <f>D30+C30+B30</f>
        <v>0.70900000000000007</v>
      </c>
      <c r="H30" s="4"/>
      <c r="L30" s="4"/>
    </row>
    <row r="31" spans="1:28">
      <c r="A31" s="14" t="s">
        <v>186</v>
      </c>
      <c r="B31" s="14">
        <f>B30+0.02</f>
        <v>0.28000000000000003</v>
      </c>
      <c r="C31" s="7">
        <f>C30+(900/25000)</f>
        <v>0.42599999999999999</v>
      </c>
      <c r="D31" s="7">
        <f>D30+0.041</f>
        <v>0.1</v>
      </c>
      <c r="E31" s="8">
        <f>D31+C31+B31</f>
        <v>0.80600000000000005</v>
      </c>
      <c r="H31" s="8">
        <v>0.08</v>
      </c>
      <c r="L31" s="8">
        <v>0.55000000000000004</v>
      </c>
    </row>
    <row r="32" spans="1:28">
      <c r="A32" s="15"/>
    </row>
    <row r="33" spans="1:28">
      <c r="A33" s="2" t="s">
        <v>187</v>
      </c>
      <c r="B33" s="7"/>
    </row>
    <row r="34" spans="1:28">
      <c r="A34" s="4" t="s">
        <v>156</v>
      </c>
      <c r="C34" s="22">
        <f t="shared" ref="C34:AB34" si="8">C3*$F$21*30</f>
        <v>2733.2640000000001</v>
      </c>
      <c r="D34" s="22">
        <f t="shared" si="8"/>
        <v>2733.2640000000001</v>
      </c>
      <c r="E34" s="22">
        <f t="shared" si="8"/>
        <v>2733.2640000000001</v>
      </c>
      <c r="F34" s="22">
        <f t="shared" si="8"/>
        <v>2733.2640000000001</v>
      </c>
      <c r="G34" s="22">
        <f t="shared" si="8"/>
        <v>2733.2640000000001</v>
      </c>
      <c r="H34" s="22">
        <f t="shared" si="8"/>
        <v>36.936</v>
      </c>
      <c r="I34" s="22">
        <f t="shared" si="8"/>
        <v>36.936</v>
      </c>
      <c r="J34" s="22">
        <f t="shared" si="8"/>
        <v>36.936</v>
      </c>
      <c r="K34" s="22">
        <f t="shared" si="8"/>
        <v>0</v>
      </c>
      <c r="L34" s="22">
        <f t="shared" si="8"/>
        <v>0</v>
      </c>
      <c r="M34" s="22">
        <f t="shared" si="8"/>
        <v>0</v>
      </c>
      <c r="N34" s="22">
        <f t="shared" si="8"/>
        <v>0</v>
      </c>
      <c r="O34" s="22">
        <f t="shared" si="8"/>
        <v>0</v>
      </c>
      <c r="P34" s="22">
        <f t="shared" si="8"/>
        <v>0</v>
      </c>
      <c r="Q34" s="22">
        <f t="shared" si="8"/>
        <v>0</v>
      </c>
      <c r="R34" s="22">
        <f t="shared" si="8"/>
        <v>0</v>
      </c>
      <c r="S34" s="22">
        <f t="shared" si="8"/>
        <v>0</v>
      </c>
      <c r="T34" s="22">
        <f t="shared" si="8"/>
        <v>0</v>
      </c>
      <c r="U34" s="22">
        <f t="shared" si="8"/>
        <v>0</v>
      </c>
      <c r="V34" s="22">
        <f t="shared" si="8"/>
        <v>0</v>
      </c>
      <c r="W34" s="22">
        <f t="shared" si="8"/>
        <v>0</v>
      </c>
      <c r="X34" s="22">
        <f t="shared" si="8"/>
        <v>0</v>
      </c>
      <c r="Y34" s="22">
        <f t="shared" si="8"/>
        <v>0</v>
      </c>
      <c r="Z34" s="22">
        <f t="shared" si="8"/>
        <v>0</v>
      </c>
      <c r="AA34" s="22">
        <f t="shared" si="8"/>
        <v>0</v>
      </c>
      <c r="AB34" s="22">
        <f t="shared" si="8"/>
        <v>0</v>
      </c>
    </row>
    <row r="35" spans="1:28">
      <c r="A35" s="5" t="s">
        <v>158</v>
      </c>
      <c r="C35" s="21">
        <f t="shared" ref="C35:AB35" si="9">C5*$F$22*30</f>
        <v>2696.328</v>
      </c>
      <c r="D35" s="21">
        <f t="shared" si="9"/>
        <v>2696.328</v>
      </c>
      <c r="E35" s="21">
        <f t="shared" si="9"/>
        <v>443.23199999999997</v>
      </c>
      <c r="F35" s="21">
        <f t="shared" si="9"/>
        <v>443.23199999999997</v>
      </c>
      <c r="G35" s="21">
        <f t="shared" si="9"/>
        <v>443.23199999999997</v>
      </c>
      <c r="H35" s="21">
        <f t="shared" si="9"/>
        <v>0</v>
      </c>
      <c r="I35" s="21">
        <f t="shared" si="9"/>
        <v>0</v>
      </c>
      <c r="J35" s="21">
        <f t="shared" si="9"/>
        <v>0</v>
      </c>
      <c r="K35" s="21">
        <f t="shared" si="9"/>
        <v>0</v>
      </c>
      <c r="L35" s="21">
        <f t="shared" si="9"/>
        <v>0</v>
      </c>
      <c r="M35" s="21">
        <f t="shared" si="9"/>
        <v>0</v>
      </c>
      <c r="N35" s="21">
        <f t="shared" si="9"/>
        <v>0</v>
      </c>
      <c r="O35" s="21">
        <f t="shared" si="9"/>
        <v>0</v>
      </c>
      <c r="P35" s="21">
        <f t="shared" si="9"/>
        <v>0</v>
      </c>
      <c r="Q35" s="21">
        <f t="shared" si="9"/>
        <v>0</v>
      </c>
      <c r="R35" s="21">
        <f t="shared" si="9"/>
        <v>0</v>
      </c>
      <c r="S35" s="21">
        <f t="shared" si="9"/>
        <v>0</v>
      </c>
      <c r="T35" s="21">
        <f t="shared" si="9"/>
        <v>0</v>
      </c>
      <c r="U35" s="21">
        <f t="shared" si="9"/>
        <v>0</v>
      </c>
      <c r="V35" s="21">
        <f t="shared" si="9"/>
        <v>0</v>
      </c>
      <c r="W35" s="21">
        <f t="shared" si="9"/>
        <v>0</v>
      </c>
      <c r="X35" s="21">
        <f t="shared" si="9"/>
        <v>0</v>
      </c>
      <c r="Y35" s="21">
        <f t="shared" si="9"/>
        <v>0</v>
      </c>
      <c r="Z35" s="21">
        <f t="shared" si="9"/>
        <v>0</v>
      </c>
      <c r="AA35" s="21">
        <f t="shared" si="9"/>
        <v>0</v>
      </c>
      <c r="AB35" s="21">
        <f t="shared" si="9"/>
        <v>0</v>
      </c>
    </row>
    <row r="36" spans="1:28">
      <c r="A36" s="5" t="s">
        <v>160</v>
      </c>
      <c r="C36" s="21">
        <f t="shared" ref="C36:AB36" si="10">C7*$F$23*30</f>
        <v>3125.94</v>
      </c>
      <c r="D36" s="21">
        <f t="shared" si="10"/>
        <v>3125.94</v>
      </c>
      <c r="E36" s="21">
        <f t="shared" si="10"/>
        <v>3125.94</v>
      </c>
      <c r="F36" s="21">
        <f t="shared" si="10"/>
        <v>0</v>
      </c>
      <c r="G36" s="21">
        <f t="shared" si="10"/>
        <v>0</v>
      </c>
      <c r="H36" s="21">
        <f t="shared" si="10"/>
        <v>0</v>
      </c>
      <c r="I36" s="21">
        <f t="shared" si="10"/>
        <v>0</v>
      </c>
      <c r="J36" s="21">
        <f t="shared" si="10"/>
        <v>0</v>
      </c>
      <c r="K36" s="21">
        <f t="shared" si="10"/>
        <v>0</v>
      </c>
      <c r="L36" s="21">
        <f t="shared" si="10"/>
        <v>0</v>
      </c>
      <c r="M36" s="21">
        <f t="shared" si="10"/>
        <v>0</v>
      </c>
      <c r="N36" s="21">
        <f t="shared" si="10"/>
        <v>0</v>
      </c>
      <c r="O36" s="21">
        <f t="shared" si="10"/>
        <v>0</v>
      </c>
      <c r="P36" s="21">
        <f t="shared" si="10"/>
        <v>0</v>
      </c>
      <c r="Q36" s="21">
        <f t="shared" si="10"/>
        <v>0</v>
      </c>
      <c r="R36" s="21">
        <f t="shared" si="10"/>
        <v>0</v>
      </c>
      <c r="S36" s="21">
        <f t="shared" si="10"/>
        <v>0</v>
      </c>
      <c r="T36" s="21">
        <f t="shared" si="10"/>
        <v>0</v>
      </c>
      <c r="U36" s="21">
        <f t="shared" si="10"/>
        <v>0</v>
      </c>
      <c r="V36" s="21">
        <f t="shared" si="10"/>
        <v>0</v>
      </c>
      <c r="W36" s="21">
        <f t="shared" si="10"/>
        <v>0</v>
      </c>
      <c r="X36" s="21">
        <f t="shared" si="10"/>
        <v>0</v>
      </c>
      <c r="Y36" s="21">
        <f t="shared" si="10"/>
        <v>0</v>
      </c>
      <c r="Z36" s="21">
        <f t="shared" si="10"/>
        <v>0</v>
      </c>
      <c r="AA36" s="21">
        <f t="shared" si="10"/>
        <v>0</v>
      </c>
      <c r="AB36" s="21">
        <f t="shared" si="10"/>
        <v>0</v>
      </c>
    </row>
    <row r="37" spans="1:28">
      <c r="A37" s="5" t="s">
        <v>162</v>
      </c>
      <c r="C37" s="21">
        <f t="shared" ref="C37:AB37" si="11">C9*$F$24*30</f>
        <v>1639.98</v>
      </c>
      <c r="D37" s="21">
        <f t="shared" si="11"/>
        <v>1639.98</v>
      </c>
      <c r="E37" s="21">
        <f t="shared" si="11"/>
        <v>1639.98</v>
      </c>
      <c r="F37" s="21">
        <f t="shared" si="11"/>
        <v>1639.98</v>
      </c>
      <c r="G37" s="21">
        <f t="shared" si="11"/>
        <v>1639.98</v>
      </c>
      <c r="H37" s="21">
        <f t="shared" si="11"/>
        <v>1639.98</v>
      </c>
      <c r="I37" s="21">
        <f t="shared" si="11"/>
        <v>182.22</v>
      </c>
      <c r="J37" s="21">
        <f t="shared" si="11"/>
        <v>182.22</v>
      </c>
      <c r="K37" s="21">
        <f t="shared" si="11"/>
        <v>182.22</v>
      </c>
      <c r="L37" s="21">
        <f t="shared" si="11"/>
        <v>182.22</v>
      </c>
      <c r="M37" s="21">
        <f t="shared" si="11"/>
        <v>182.22</v>
      </c>
      <c r="N37" s="21">
        <f t="shared" si="11"/>
        <v>182.22</v>
      </c>
      <c r="O37" s="21">
        <f t="shared" si="11"/>
        <v>182.22</v>
      </c>
      <c r="P37" s="21">
        <f t="shared" si="11"/>
        <v>182.22</v>
      </c>
      <c r="Q37" s="21">
        <f t="shared" si="11"/>
        <v>182.22</v>
      </c>
      <c r="R37" s="21">
        <f t="shared" si="11"/>
        <v>182.22</v>
      </c>
      <c r="S37" s="21">
        <f t="shared" si="11"/>
        <v>182.22</v>
      </c>
      <c r="T37" s="21">
        <f t="shared" si="11"/>
        <v>182.22</v>
      </c>
      <c r="U37" s="21">
        <f t="shared" si="11"/>
        <v>182.22</v>
      </c>
      <c r="V37" s="21">
        <f t="shared" si="11"/>
        <v>182.22</v>
      </c>
      <c r="W37" s="21">
        <f t="shared" si="11"/>
        <v>182.22</v>
      </c>
      <c r="X37" s="21">
        <f t="shared" si="11"/>
        <v>182.22</v>
      </c>
      <c r="Y37" s="21">
        <f t="shared" si="11"/>
        <v>182.22</v>
      </c>
      <c r="Z37" s="21">
        <f t="shared" si="11"/>
        <v>182.22</v>
      </c>
      <c r="AA37" s="21">
        <f t="shared" si="11"/>
        <v>182.22</v>
      </c>
      <c r="AB37" s="21">
        <f t="shared" si="11"/>
        <v>182.22</v>
      </c>
    </row>
    <row r="38" spans="1:28">
      <c r="A38" s="5" t="s">
        <v>188</v>
      </c>
      <c r="C38" s="21">
        <f>C11*$F$25*30</f>
        <v>4113.4500000000007</v>
      </c>
      <c r="D38" s="21">
        <f>D11*$F$25*30</f>
        <v>4113.4500000000007</v>
      </c>
      <c r="E38" s="21">
        <f>E11*$F$25*30</f>
        <v>6057.9900000000007</v>
      </c>
      <c r="F38" s="21">
        <f>F11*$F$25*30</f>
        <v>6057.9900000000007</v>
      </c>
      <c r="G38" s="21">
        <f>G11*$F$25*30</f>
        <v>6057.9900000000007</v>
      </c>
      <c r="H38" s="21">
        <f>H11*$F$25*30*0</f>
        <v>0</v>
      </c>
      <c r="I38" s="21">
        <f>I11*$F$25*30*0</f>
        <v>0</v>
      </c>
      <c r="J38" s="21">
        <f>J11*$F$25*30*0</f>
        <v>0</v>
      </c>
      <c r="K38" s="21">
        <f>K11*$F$25*30*0</f>
        <v>0</v>
      </c>
      <c r="L38" s="21">
        <f>L11*$F$25*30*0</f>
        <v>0</v>
      </c>
      <c r="M38" s="21">
        <f t="shared" ref="M38:S38" si="12">M11*$I$25*30</f>
        <v>1944</v>
      </c>
      <c r="N38" s="21">
        <f t="shared" si="12"/>
        <v>1944</v>
      </c>
      <c r="O38" s="21">
        <f t="shared" si="12"/>
        <v>1944</v>
      </c>
      <c r="P38" s="21">
        <f t="shared" si="12"/>
        <v>1944</v>
      </c>
      <c r="Q38" s="21">
        <f t="shared" si="12"/>
        <v>1944</v>
      </c>
      <c r="R38" s="21">
        <f t="shared" si="12"/>
        <v>1944</v>
      </c>
      <c r="S38" s="21">
        <f t="shared" si="12"/>
        <v>1944</v>
      </c>
      <c r="T38" s="21">
        <f t="shared" ref="T38:AB38" si="13">T11*$F$25*30*0</f>
        <v>0</v>
      </c>
      <c r="U38" s="21">
        <f t="shared" si="13"/>
        <v>0</v>
      </c>
      <c r="V38" s="21">
        <f t="shared" si="13"/>
        <v>0</v>
      </c>
      <c r="W38" s="21">
        <f t="shared" si="13"/>
        <v>0</v>
      </c>
      <c r="X38" s="21">
        <f t="shared" si="13"/>
        <v>0</v>
      </c>
      <c r="Y38" s="21">
        <f t="shared" si="13"/>
        <v>0</v>
      </c>
      <c r="Z38" s="21">
        <f t="shared" si="13"/>
        <v>0</v>
      </c>
      <c r="AA38" s="21">
        <f t="shared" si="13"/>
        <v>0</v>
      </c>
      <c r="AB38" s="21">
        <f t="shared" si="13"/>
        <v>0</v>
      </c>
    </row>
    <row r="39" spans="1:28">
      <c r="A39" s="5" t="s">
        <v>189</v>
      </c>
      <c r="C39" s="21">
        <f>C13*$F$26*30</f>
        <v>7494.8639999999996</v>
      </c>
      <c r="D39" s="21">
        <f>D13*$F$26*30</f>
        <v>7494.8639999999996</v>
      </c>
      <c r="E39" s="21">
        <f>E13*$F$26*30</f>
        <v>7494.8639999999996</v>
      </c>
      <c r="F39" s="21">
        <f>F13*$F$26*30</f>
        <v>7494.8639999999996</v>
      </c>
      <c r="G39" s="21">
        <f>G13*$F$26*30</f>
        <v>7494.8639999999996</v>
      </c>
      <c r="H39" s="21">
        <f>H13*$F$26*30*0</f>
        <v>0</v>
      </c>
      <c r="I39" s="21">
        <f>I13*$F$26*30*0</f>
        <v>0</v>
      </c>
      <c r="J39" s="21">
        <f>J13*$F$26*30*0</f>
        <v>0</v>
      </c>
      <c r="K39" s="21">
        <f>K13*$F$26*30*0</f>
        <v>0</v>
      </c>
      <c r="L39" s="21">
        <f>L13*$F$26*30*0</f>
        <v>0</v>
      </c>
      <c r="M39" s="21">
        <f t="shared" ref="M39:S39" si="14">M13*$I$26*30</f>
        <v>2496</v>
      </c>
      <c r="N39" s="21">
        <f t="shared" si="14"/>
        <v>2496</v>
      </c>
      <c r="O39" s="21">
        <f t="shared" si="14"/>
        <v>2496</v>
      </c>
      <c r="P39" s="21">
        <f t="shared" si="14"/>
        <v>2496</v>
      </c>
      <c r="Q39" s="21">
        <f t="shared" si="14"/>
        <v>2496</v>
      </c>
      <c r="R39" s="21">
        <f t="shared" si="14"/>
        <v>2496</v>
      </c>
      <c r="S39" s="21">
        <f t="shared" si="14"/>
        <v>2496</v>
      </c>
      <c r="T39" s="21">
        <f t="shared" ref="T39:AB39" si="15">T13*$F$26*30*0</f>
        <v>0</v>
      </c>
      <c r="U39" s="21">
        <f t="shared" si="15"/>
        <v>0</v>
      </c>
      <c r="V39" s="21">
        <f t="shared" si="15"/>
        <v>0</v>
      </c>
      <c r="W39" s="21">
        <f t="shared" si="15"/>
        <v>0</v>
      </c>
      <c r="X39" s="21">
        <f t="shared" si="15"/>
        <v>0</v>
      </c>
      <c r="Y39" s="21">
        <f t="shared" si="15"/>
        <v>0</v>
      </c>
      <c r="Z39" s="21">
        <f t="shared" si="15"/>
        <v>0</v>
      </c>
      <c r="AA39" s="21">
        <f t="shared" si="15"/>
        <v>0</v>
      </c>
      <c r="AB39" s="21">
        <f t="shared" si="15"/>
        <v>0</v>
      </c>
    </row>
    <row r="40" spans="1:28">
      <c r="A40" s="3" t="s">
        <v>190</v>
      </c>
      <c r="B40" s="7"/>
      <c r="C40" s="23">
        <f>C15*$M$27*30*0</f>
        <v>0</v>
      </c>
      <c r="D40" s="23">
        <f t="shared" ref="D40:AB40" si="16">D15*$M$27*30</f>
        <v>247.5</v>
      </c>
      <c r="E40" s="23">
        <f t="shared" si="16"/>
        <v>321.75000000000006</v>
      </c>
      <c r="F40" s="23">
        <f t="shared" si="16"/>
        <v>511.5</v>
      </c>
      <c r="G40" s="23">
        <f t="shared" si="16"/>
        <v>437.25000000000006</v>
      </c>
      <c r="H40" s="23">
        <f t="shared" si="16"/>
        <v>437.25000000000006</v>
      </c>
      <c r="I40" s="23">
        <f t="shared" si="16"/>
        <v>396.00000000000006</v>
      </c>
      <c r="J40" s="23">
        <f t="shared" si="16"/>
        <v>437.25000000000006</v>
      </c>
      <c r="K40" s="23">
        <f t="shared" si="16"/>
        <v>437.25000000000006</v>
      </c>
      <c r="L40" s="23">
        <f t="shared" si="16"/>
        <v>437.25000000000006</v>
      </c>
      <c r="M40" s="23">
        <f t="shared" si="16"/>
        <v>437.25000000000006</v>
      </c>
      <c r="N40" s="23">
        <f t="shared" si="16"/>
        <v>437.25000000000006</v>
      </c>
      <c r="O40" s="23">
        <f t="shared" si="16"/>
        <v>437.25000000000006</v>
      </c>
      <c r="P40" s="23">
        <f t="shared" si="16"/>
        <v>437.25000000000006</v>
      </c>
      <c r="Q40" s="23">
        <f t="shared" si="16"/>
        <v>437.25000000000006</v>
      </c>
      <c r="R40" s="23">
        <f t="shared" si="16"/>
        <v>437.25000000000006</v>
      </c>
      <c r="S40" s="23">
        <f t="shared" si="16"/>
        <v>437.25000000000006</v>
      </c>
      <c r="T40" s="23">
        <f t="shared" si="16"/>
        <v>437.25000000000006</v>
      </c>
      <c r="U40" s="23">
        <f t="shared" si="16"/>
        <v>437.25000000000006</v>
      </c>
      <c r="V40" s="23">
        <f t="shared" si="16"/>
        <v>437.25000000000006</v>
      </c>
      <c r="W40" s="23">
        <f t="shared" si="16"/>
        <v>437.25000000000006</v>
      </c>
      <c r="X40" s="23">
        <f t="shared" si="16"/>
        <v>437.25000000000006</v>
      </c>
      <c r="Y40" s="23">
        <f t="shared" si="16"/>
        <v>437.25000000000006</v>
      </c>
      <c r="Z40" s="23">
        <f t="shared" si="16"/>
        <v>437.25000000000006</v>
      </c>
      <c r="AA40" s="23">
        <f t="shared" si="16"/>
        <v>437.25000000000006</v>
      </c>
      <c r="AB40" s="23">
        <f t="shared" si="16"/>
        <v>437.25000000000006</v>
      </c>
    </row>
    <row r="41" spans="1:28">
      <c r="C41" s="30">
        <f t="shared" ref="C41:AB41" si="17">SUM(C34:C39)</f>
        <v>21803.826000000001</v>
      </c>
      <c r="D41" s="30">
        <f t="shared" si="17"/>
        <v>21803.826000000001</v>
      </c>
      <c r="E41" s="30">
        <f t="shared" si="17"/>
        <v>21495.269999999997</v>
      </c>
      <c r="F41" s="30">
        <f t="shared" si="17"/>
        <v>18369.330000000002</v>
      </c>
      <c r="G41" s="30">
        <f t="shared" si="17"/>
        <v>18369.330000000002</v>
      </c>
      <c r="H41" s="30">
        <f t="shared" si="17"/>
        <v>1676.9159999999999</v>
      </c>
      <c r="I41" s="30">
        <f t="shared" si="17"/>
        <v>219.15600000000001</v>
      </c>
      <c r="J41" s="30">
        <f t="shared" si="17"/>
        <v>219.15600000000001</v>
      </c>
      <c r="K41" s="30">
        <f t="shared" si="17"/>
        <v>182.22</v>
      </c>
      <c r="L41" s="30">
        <f t="shared" si="17"/>
        <v>182.22</v>
      </c>
      <c r="M41" s="30">
        <f t="shared" si="17"/>
        <v>4622.2199999999993</v>
      </c>
      <c r="N41" s="30">
        <f t="shared" si="17"/>
        <v>4622.2199999999993</v>
      </c>
      <c r="O41" s="30">
        <f t="shared" si="17"/>
        <v>4622.2199999999993</v>
      </c>
      <c r="P41" s="30">
        <f t="shared" si="17"/>
        <v>4622.2199999999993</v>
      </c>
      <c r="Q41" s="30">
        <f t="shared" si="17"/>
        <v>4622.2199999999993</v>
      </c>
      <c r="R41" s="30">
        <f t="shared" si="17"/>
        <v>4622.2199999999993</v>
      </c>
      <c r="S41" s="30">
        <f t="shared" si="17"/>
        <v>4622.2199999999993</v>
      </c>
      <c r="T41" s="30">
        <f t="shared" si="17"/>
        <v>182.22</v>
      </c>
      <c r="U41" s="30">
        <f t="shared" si="17"/>
        <v>182.22</v>
      </c>
      <c r="V41" s="30">
        <f t="shared" si="17"/>
        <v>182.22</v>
      </c>
      <c r="W41" s="30">
        <f t="shared" si="17"/>
        <v>182.22</v>
      </c>
      <c r="X41" s="30">
        <f t="shared" si="17"/>
        <v>182.22</v>
      </c>
      <c r="Y41" s="30">
        <f t="shared" si="17"/>
        <v>182.22</v>
      </c>
      <c r="Z41" s="30">
        <f t="shared" si="17"/>
        <v>182.22</v>
      </c>
      <c r="AA41" s="30">
        <f t="shared" si="17"/>
        <v>182.22</v>
      </c>
      <c r="AB41" s="30">
        <f t="shared" si="17"/>
        <v>182.22</v>
      </c>
    </row>
    <row r="43" spans="1:28">
      <c r="A43" s="28" t="s">
        <v>191</v>
      </c>
      <c r="B43" s="14"/>
      <c r="C43" s="7"/>
      <c r="D43" s="7"/>
      <c r="E43" s="7"/>
      <c r="F43" s="7"/>
      <c r="G43" s="7"/>
      <c r="H43" s="7"/>
      <c r="I43" s="7"/>
      <c r="J43" s="49" t="s">
        <v>192</v>
      </c>
      <c r="K43" s="49"/>
      <c r="L43" s="49"/>
      <c r="M43" s="7"/>
      <c r="N43" s="7"/>
      <c r="O43" s="7"/>
      <c r="P43" s="7"/>
      <c r="Q43" s="7"/>
      <c r="R43" s="7"/>
      <c r="S43" s="7"/>
      <c r="T43" s="7"/>
      <c r="U43" s="7"/>
      <c r="V43" s="7"/>
      <c r="W43" s="7"/>
      <c r="X43" s="7"/>
      <c r="Y43" s="7"/>
      <c r="Z43" s="7"/>
      <c r="AA43" s="7"/>
      <c r="AB43" s="7"/>
    </row>
    <row r="44" spans="1:28">
      <c r="A44" s="3" t="s">
        <v>154</v>
      </c>
      <c r="B44" s="26" t="s">
        <v>155</v>
      </c>
      <c r="C44" s="27"/>
      <c r="D44" s="31"/>
      <c r="E44" s="31"/>
      <c r="F44" s="31"/>
      <c r="G44" s="31"/>
      <c r="H44" s="31"/>
      <c r="I44" s="31"/>
      <c r="J44" s="31"/>
      <c r="K44" s="31"/>
      <c r="L44" s="31"/>
      <c r="M44" s="31"/>
      <c r="N44" s="31"/>
      <c r="O44" s="31"/>
      <c r="P44" s="31"/>
      <c r="Q44" s="31"/>
      <c r="R44" s="31"/>
      <c r="S44" s="31"/>
      <c r="T44" s="31"/>
      <c r="U44" s="1"/>
      <c r="V44" s="1"/>
      <c r="W44" s="1"/>
      <c r="X44" s="1"/>
      <c r="Y44" s="1"/>
      <c r="Z44" s="1"/>
      <c r="AA44" s="1"/>
      <c r="AB44" s="1"/>
    </row>
    <row r="45" spans="1:28">
      <c r="A45" s="2" t="s">
        <v>193</v>
      </c>
      <c r="B45" s="5">
        <v>0</v>
      </c>
      <c r="C45" s="2">
        <f t="shared" ref="C45:R45" si="18">B45</f>
        <v>0</v>
      </c>
      <c r="D45" s="2">
        <f t="shared" si="18"/>
        <v>0</v>
      </c>
      <c r="E45" s="2">
        <f t="shared" si="18"/>
        <v>0</v>
      </c>
      <c r="F45" s="2">
        <f t="shared" si="18"/>
        <v>0</v>
      </c>
      <c r="G45" s="2">
        <f t="shared" si="18"/>
        <v>0</v>
      </c>
      <c r="H45" s="2">
        <f t="shared" si="18"/>
        <v>0</v>
      </c>
      <c r="I45" s="2">
        <f t="shared" si="18"/>
        <v>0</v>
      </c>
      <c r="J45" s="2">
        <f t="shared" si="18"/>
        <v>0</v>
      </c>
      <c r="K45" s="2">
        <f t="shared" si="18"/>
        <v>0</v>
      </c>
      <c r="L45" s="2">
        <f t="shared" si="18"/>
        <v>0</v>
      </c>
      <c r="M45" s="2">
        <f t="shared" si="18"/>
        <v>0</v>
      </c>
      <c r="N45" s="2">
        <f t="shared" si="18"/>
        <v>0</v>
      </c>
      <c r="O45" s="2">
        <f t="shared" si="18"/>
        <v>0</v>
      </c>
      <c r="P45" s="2">
        <f t="shared" si="18"/>
        <v>0</v>
      </c>
      <c r="Q45" s="2">
        <f t="shared" si="18"/>
        <v>0</v>
      </c>
      <c r="R45" s="2">
        <f t="shared" si="18"/>
        <v>0</v>
      </c>
      <c r="S45" s="2">
        <f>R45+60</f>
        <v>60</v>
      </c>
      <c r="T45" s="2">
        <f>S45+60</f>
        <v>120</v>
      </c>
      <c r="U45" s="2">
        <f>T45</f>
        <v>120</v>
      </c>
      <c r="V45" s="2">
        <f>U45</f>
        <v>120</v>
      </c>
      <c r="W45" s="2">
        <f>V45</f>
        <v>120</v>
      </c>
      <c r="X45" s="2">
        <f>W45</f>
        <v>120</v>
      </c>
      <c r="Y45" s="2">
        <f>X45+60</f>
        <v>180</v>
      </c>
      <c r="Z45" s="2">
        <f>Y45+60</f>
        <v>240</v>
      </c>
      <c r="AA45" s="2">
        <f>Z45-120</f>
        <v>120</v>
      </c>
      <c r="AB45" s="2">
        <f>AA45</f>
        <v>120</v>
      </c>
    </row>
    <row r="46" spans="1:28">
      <c r="A46" s="2" t="s">
        <v>194</v>
      </c>
      <c r="B46" s="5">
        <v>0</v>
      </c>
      <c r="C46" s="2">
        <f t="shared" ref="C46:M46" si="19">B46</f>
        <v>0</v>
      </c>
      <c r="D46" s="2">
        <f t="shared" si="19"/>
        <v>0</v>
      </c>
      <c r="E46" s="2">
        <f t="shared" si="19"/>
        <v>0</v>
      </c>
      <c r="F46" s="2">
        <f t="shared" si="19"/>
        <v>0</v>
      </c>
      <c r="G46" s="2">
        <f t="shared" si="19"/>
        <v>0</v>
      </c>
      <c r="H46" s="2">
        <f t="shared" si="19"/>
        <v>0</v>
      </c>
      <c r="I46" s="2">
        <f t="shared" si="19"/>
        <v>0</v>
      </c>
      <c r="J46" s="2">
        <f t="shared" si="19"/>
        <v>0</v>
      </c>
      <c r="K46" s="2">
        <f t="shared" si="19"/>
        <v>0</v>
      </c>
      <c r="L46" s="2">
        <f t="shared" si="19"/>
        <v>0</v>
      </c>
      <c r="M46" s="48">
        <f t="shared" si="19"/>
        <v>0</v>
      </c>
      <c r="N46" s="48">
        <f>60</f>
        <v>60</v>
      </c>
      <c r="O46" s="2">
        <f>N46+60</f>
        <v>120</v>
      </c>
      <c r="P46" s="2">
        <f>O46</f>
        <v>120</v>
      </c>
      <c r="Q46" s="2">
        <f>P46</f>
        <v>120</v>
      </c>
      <c r="R46" s="2">
        <f>Q46</f>
        <v>120</v>
      </c>
      <c r="S46" s="48">
        <f>R46-60</f>
        <v>60</v>
      </c>
      <c r="T46" s="48">
        <f>S46-60+60</f>
        <v>60</v>
      </c>
      <c r="U46" s="2">
        <f>T46+60</f>
        <v>120</v>
      </c>
      <c r="V46" s="2">
        <f>U46</f>
        <v>120</v>
      </c>
      <c r="W46" s="2">
        <f>V46</f>
        <v>120</v>
      </c>
      <c r="X46" s="2">
        <f>W46</f>
        <v>120</v>
      </c>
      <c r="Y46" s="48">
        <f>X46-60</f>
        <v>60</v>
      </c>
      <c r="Z46" s="48">
        <f>Y46-60+60</f>
        <v>60</v>
      </c>
      <c r="AA46" s="2">
        <f>Z46+60</f>
        <v>120</v>
      </c>
      <c r="AB46" s="2">
        <f>AA46</f>
        <v>120</v>
      </c>
    </row>
    <row r="47" spans="1:28">
      <c r="A47" s="42" t="s">
        <v>195</v>
      </c>
      <c r="B47" s="43">
        <v>0</v>
      </c>
      <c r="C47" s="42">
        <f t="shared" ref="C47:I47" si="20">B47</f>
        <v>0</v>
      </c>
      <c r="D47" s="42">
        <f t="shared" si="20"/>
        <v>0</v>
      </c>
      <c r="E47" s="42">
        <f t="shared" si="20"/>
        <v>0</v>
      </c>
      <c r="F47" s="42">
        <f t="shared" si="20"/>
        <v>0</v>
      </c>
      <c r="G47" s="42">
        <f t="shared" si="20"/>
        <v>0</v>
      </c>
      <c r="H47" s="42">
        <f t="shared" si="20"/>
        <v>0</v>
      </c>
      <c r="I47" s="42">
        <f t="shared" si="20"/>
        <v>0</v>
      </c>
      <c r="J47" s="42">
        <f>I47+60</f>
        <v>60</v>
      </c>
      <c r="K47" s="42">
        <f>J47+60</f>
        <v>120</v>
      </c>
      <c r="L47" s="42">
        <f>K47</f>
        <v>120</v>
      </c>
      <c r="M47" s="42">
        <f>L47</f>
        <v>120</v>
      </c>
      <c r="N47" s="42">
        <f>M47</f>
        <v>120</v>
      </c>
      <c r="O47" s="42">
        <f>N47</f>
        <v>120</v>
      </c>
      <c r="P47" s="42">
        <f>O47</f>
        <v>120</v>
      </c>
      <c r="Q47" s="42">
        <f>P47-120</f>
        <v>0</v>
      </c>
      <c r="R47" s="42">
        <f t="shared" ref="R47:T50" si="21">Q47</f>
        <v>0</v>
      </c>
      <c r="S47" s="42">
        <f t="shared" si="21"/>
        <v>0</v>
      </c>
      <c r="T47" s="42">
        <f t="shared" si="21"/>
        <v>0</v>
      </c>
      <c r="U47" s="42">
        <f>T47+60</f>
        <v>60</v>
      </c>
      <c r="V47" s="42">
        <f>U47+60</f>
        <v>120</v>
      </c>
      <c r="W47" s="42">
        <f>V47</f>
        <v>120</v>
      </c>
      <c r="X47" s="42">
        <f>W47</f>
        <v>120</v>
      </c>
      <c r="Y47" s="42">
        <f>X47</f>
        <v>120</v>
      </c>
      <c r="Z47" s="42">
        <f>Y47</f>
        <v>120</v>
      </c>
      <c r="AA47" s="42">
        <f>Z47</f>
        <v>120</v>
      </c>
      <c r="AB47" s="42">
        <f>AA47-120</f>
        <v>0</v>
      </c>
    </row>
    <row r="48" spans="1:28">
      <c r="A48" s="40" t="s">
        <v>196</v>
      </c>
      <c r="B48" s="41">
        <v>0</v>
      </c>
      <c r="C48" s="40">
        <f>B48</f>
        <v>0</v>
      </c>
      <c r="D48" s="46">
        <f>C48</f>
        <v>0</v>
      </c>
      <c r="E48" s="46">
        <f>D48+60</f>
        <v>60</v>
      </c>
      <c r="F48" s="40">
        <f>E48+60</f>
        <v>120</v>
      </c>
      <c r="G48" s="40">
        <f t="shared" ref="G48:I50" si="22">F48</f>
        <v>120</v>
      </c>
      <c r="H48" s="40">
        <f t="shared" si="22"/>
        <v>120</v>
      </c>
      <c r="I48" s="40">
        <f t="shared" si="22"/>
        <v>120</v>
      </c>
      <c r="J48" s="40">
        <f>I48-60</f>
        <v>60</v>
      </c>
      <c r="K48" s="40">
        <f>J48-60</f>
        <v>0</v>
      </c>
      <c r="L48" s="40">
        <f>K48</f>
        <v>0</v>
      </c>
      <c r="M48" s="40">
        <f>L48</f>
        <v>0</v>
      </c>
      <c r="N48" s="40">
        <f>M48</f>
        <v>0</v>
      </c>
      <c r="O48" s="46">
        <f>N48</f>
        <v>0</v>
      </c>
      <c r="P48" s="46">
        <f>O48+60</f>
        <v>60</v>
      </c>
      <c r="Q48" s="40">
        <f>P48+60</f>
        <v>120</v>
      </c>
      <c r="R48" s="40">
        <f t="shared" si="21"/>
        <v>120</v>
      </c>
      <c r="S48" s="40">
        <f t="shared" si="21"/>
        <v>120</v>
      </c>
      <c r="T48" s="40">
        <f t="shared" si="21"/>
        <v>120</v>
      </c>
      <c r="U48" s="40">
        <f>T48-60</f>
        <v>60</v>
      </c>
      <c r="V48" s="40">
        <f>U48-60</f>
        <v>0</v>
      </c>
      <c r="W48" s="40">
        <f>V48</f>
        <v>0</v>
      </c>
      <c r="X48" s="40">
        <f>W48</f>
        <v>0</v>
      </c>
      <c r="Y48" s="40">
        <f>X48</f>
        <v>0</v>
      </c>
      <c r="Z48" s="40">
        <f>Y48</f>
        <v>0</v>
      </c>
      <c r="AA48" s="46">
        <f>Z48+60</f>
        <v>60</v>
      </c>
      <c r="AB48" s="46">
        <f>AA48+60</f>
        <v>120</v>
      </c>
    </row>
    <row r="49" spans="1:28">
      <c r="A49" s="42" t="s">
        <v>197</v>
      </c>
      <c r="B49" s="43">
        <v>120</v>
      </c>
      <c r="C49" s="42">
        <f>B49</f>
        <v>120</v>
      </c>
      <c r="D49" s="42">
        <f>C49-120</f>
        <v>0</v>
      </c>
      <c r="E49" s="42">
        <f t="shared" ref="E49:F53" si="23">D49</f>
        <v>0</v>
      </c>
      <c r="F49" s="42">
        <f t="shared" si="23"/>
        <v>0</v>
      </c>
      <c r="G49" s="42">
        <f t="shared" si="22"/>
        <v>0</v>
      </c>
      <c r="H49" s="42">
        <f t="shared" si="22"/>
        <v>0</v>
      </c>
      <c r="I49" s="42">
        <f t="shared" si="22"/>
        <v>0</v>
      </c>
      <c r="J49" s="47">
        <f>I49</f>
        <v>0</v>
      </c>
      <c r="K49" s="47">
        <f>J49+60</f>
        <v>60</v>
      </c>
      <c r="L49" s="42">
        <f>K49+60</f>
        <v>120</v>
      </c>
      <c r="M49" s="42">
        <f t="shared" ref="M49:O53" si="24">L49</f>
        <v>120</v>
      </c>
      <c r="N49" s="42">
        <f t="shared" si="24"/>
        <v>120</v>
      </c>
      <c r="O49" s="42">
        <f t="shared" si="24"/>
        <v>120</v>
      </c>
      <c r="P49" s="42">
        <f>O49-120</f>
        <v>0</v>
      </c>
      <c r="Q49" s="42">
        <f>P49</f>
        <v>0</v>
      </c>
      <c r="R49" s="42">
        <f t="shared" si="21"/>
        <v>0</v>
      </c>
      <c r="S49" s="42">
        <f t="shared" si="21"/>
        <v>0</v>
      </c>
      <c r="T49" s="42">
        <f t="shared" si="21"/>
        <v>0</v>
      </c>
      <c r="U49" s="42">
        <f t="shared" ref="U49:V53" si="25">T49</f>
        <v>0</v>
      </c>
      <c r="V49" s="47">
        <f t="shared" si="25"/>
        <v>0</v>
      </c>
      <c r="W49" s="47">
        <f>V49+60</f>
        <v>60</v>
      </c>
      <c r="X49" s="42">
        <f>W49+60</f>
        <v>120</v>
      </c>
      <c r="Y49" s="42">
        <f t="shared" ref="Y49:AA53" si="26">X49</f>
        <v>120</v>
      </c>
      <c r="Z49" s="42">
        <f t="shared" si="26"/>
        <v>120</v>
      </c>
      <c r="AA49" s="42">
        <f t="shared" si="26"/>
        <v>120</v>
      </c>
      <c r="AB49" s="42">
        <f>AA49-120</f>
        <v>0</v>
      </c>
    </row>
    <row r="50" spans="1:28">
      <c r="A50" s="2" t="s">
        <v>198</v>
      </c>
      <c r="B50" s="5">
        <v>98</v>
      </c>
      <c r="C50" s="2">
        <f>B50</f>
        <v>98</v>
      </c>
      <c r="D50" s="2">
        <f>C50+120-98</f>
        <v>120</v>
      </c>
      <c r="E50" s="2">
        <f t="shared" si="23"/>
        <v>120</v>
      </c>
      <c r="F50" s="2">
        <f t="shared" si="23"/>
        <v>120</v>
      </c>
      <c r="G50" s="2">
        <f t="shared" si="22"/>
        <v>120</v>
      </c>
      <c r="H50" s="2">
        <f t="shared" si="22"/>
        <v>120</v>
      </c>
      <c r="I50" s="2">
        <f t="shared" si="22"/>
        <v>120</v>
      </c>
      <c r="J50" s="2">
        <f>I50</f>
        <v>120</v>
      </c>
      <c r="K50" s="2">
        <f t="shared" ref="K50:L53" si="27">J50</f>
        <v>120</v>
      </c>
      <c r="L50" s="2">
        <f t="shared" si="27"/>
        <v>120</v>
      </c>
      <c r="M50" s="2">
        <f t="shared" si="24"/>
        <v>120</v>
      </c>
      <c r="N50" s="2">
        <f t="shared" si="24"/>
        <v>120</v>
      </c>
      <c r="O50" s="2">
        <f t="shared" si="24"/>
        <v>120</v>
      </c>
      <c r="P50" s="2">
        <f>O50+120-120</f>
        <v>120</v>
      </c>
      <c r="Q50" s="2">
        <f>P50</f>
        <v>120</v>
      </c>
      <c r="R50" s="2">
        <f t="shared" si="21"/>
        <v>120</v>
      </c>
      <c r="S50" s="2">
        <f t="shared" si="21"/>
        <v>120</v>
      </c>
      <c r="T50" s="2">
        <f t="shared" si="21"/>
        <v>120</v>
      </c>
      <c r="U50" s="2">
        <f t="shared" si="25"/>
        <v>120</v>
      </c>
      <c r="V50" s="2">
        <f t="shared" si="25"/>
        <v>120</v>
      </c>
      <c r="W50" s="2">
        <f t="shared" ref="W50:X53" si="28">V50</f>
        <v>120</v>
      </c>
      <c r="X50" s="2">
        <f t="shared" si="28"/>
        <v>120</v>
      </c>
      <c r="Y50" s="2">
        <f t="shared" si="26"/>
        <v>120</v>
      </c>
      <c r="Z50" s="2">
        <f t="shared" si="26"/>
        <v>120</v>
      </c>
      <c r="AA50" s="2">
        <f t="shared" si="26"/>
        <v>120</v>
      </c>
      <c r="AB50" s="2">
        <f>AA50+120-120</f>
        <v>120</v>
      </c>
    </row>
    <row r="51" spans="1:28">
      <c r="A51" s="40" t="s">
        <v>199</v>
      </c>
      <c r="B51" s="41">
        <v>0</v>
      </c>
      <c r="C51" s="40">
        <f>B51</f>
        <v>0</v>
      </c>
      <c r="D51" s="40">
        <f>98</f>
        <v>98</v>
      </c>
      <c r="E51" s="40">
        <f t="shared" si="23"/>
        <v>98</v>
      </c>
      <c r="F51" s="40">
        <f t="shared" si="23"/>
        <v>98</v>
      </c>
      <c r="G51" s="40">
        <f>F51</f>
        <v>98</v>
      </c>
      <c r="H51" s="40">
        <f>G51-98</f>
        <v>0</v>
      </c>
      <c r="I51" s="40">
        <f>H51</f>
        <v>0</v>
      </c>
      <c r="J51" s="40">
        <f>I51</f>
        <v>0</v>
      </c>
      <c r="K51" s="40">
        <f t="shared" si="27"/>
        <v>0</v>
      </c>
      <c r="L51" s="40">
        <f t="shared" si="27"/>
        <v>0</v>
      </c>
      <c r="M51" s="40">
        <f t="shared" si="24"/>
        <v>0</v>
      </c>
      <c r="N51" s="40">
        <f t="shared" si="24"/>
        <v>0</v>
      </c>
      <c r="O51" s="40">
        <f t="shared" si="24"/>
        <v>0</v>
      </c>
      <c r="P51" s="40">
        <f>O51+120</f>
        <v>120</v>
      </c>
      <c r="Q51" s="40">
        <f>P51</f>
        <v>120</v>
      </c>
      <c r="R51" s="40">
        <f t="shared" ref="R51:S53" si="29">Q51</f>
        <v>120</v>
      </c>
      <c r="S51" s="40">
        <f t="shared" si="29"/>
        <v>120</v>
      </c>
      <c r="T51" s="40">
        <f>S51-120</f>
        <v>0</v>
      </c>
      <c r="U51" s="40">
        <f t="shared" si="25"/>
        <v>0</v>
      </c>
      <c r="V51" s="40">
        <f t="shared" si="25"/>
        <v>0</v>
      </c>
      <c r="W51" s="40">
        <f t="shared" si="28"/>
        <v>0</v>
      </c>
      <c r="X51" s="40">
        <f t="shared" si="28"/>
        <v>0</v>
      </c>
      <c r="Y51" s="40">
        <f t="shared" si="26"/>
        <v>0</v>
      </c>
      <c r="Z51" s="40">
        <f t="shared" si="26"/>
        <v>0</v>
      </c>
      <c r="AA51" s="40">
        <f t="shared" si="26"/>
        <v>0</v>
      </c>
      <c r="AB51" s="40">
        <f>AA51+120</f>
        <v>120</v>
      </c>
    </row>
    <row r="52" spans="1:28">
      <c r="A52" s="44" t="s">
        <v>200</v>
      </c>
      <c r="B52" s="45">
        <v>0</v>
      </c>
      <c r="C52" s="44">
        <f>B52</f>
        <v>0</v>
      </c>
      <c r="D52" s="44">
        <v>75</v>
      </c>
      <c r="E52" s="44">
        <f t="shared" si="23"/>
        <v>75</v>
      </c>
      <c r="F52" s="44">
        <f t="shared" si="23"/>
        <v>75</v>
      </c>
      <c r="G52" s="44">
        <f>F52</f>
        <v>75</v>
      </c>
      <c r="H52" s="44">
        <f>G52-75</f>
        <v>0</v>
      </c>
      <c r="I52" s="44">
        <f>H52</f>
        <v>0</v>
      </c>
      <c r="J52" s="44">
        <f>I52</f>
        <v>0</v>
      </c>
      <c r="K52" s="44">
        <f t="shared" si="27"/>
        <v>0</v>
      </c>
      <c r="L52" s="44">
        <f t="shared" si="27"/>
        <v>0</v>
      </c>
      <c r="M52" s="44">
        <f t="shared" si="24"/>
        <v>0</v>
      </c>
      <c r="N52" s="44">
        <f t="shared" si="24"/>
        <v>0</v>
      </c>
      <c r="O52" s="44">
        <f t="shared" si="24"/>
        <v>0</v>
      </c>
      <c r="P52" s="44">
        <f>O52+125</f>
        <v>125</v>
      </c>
      <c r="Q52" s="44">
        <f>P52</f>
        <v>125</v>
      </c>
      <c r="R52" s="44">
        <f t="shared" si="29"/>
        <v>125</v>
      </c>
      <c r="S52" s="44">
        <f t="shared" si="29"/>
        <v>125</v>
      </c>
      <c r="T52" s="44">
        <f>S52-125</f>
        <v>0</v>
      </c>
      <c r="U52" s="44">
        <f t="shared" si="25"/>
        <v>0</v>
      </c>
      <c r="V52" s="44">
        <f t="shared" si="25"/>
        <v>0</v>
      </c>
      <c r="W52" s="44">
        <f t="shared" si="28"/>
        <v>0</v>
      </c>
      <c r="X52" s="44">
        <f t="shared" si="28"/>
        <v>0</v>
      </c>
      <c r="Y52" s="44">
        <f t="shared" si="26"/>
        <v>0</v>
      </c>
      <c r="Z52" s="44">
        <f t="shared" si="26"/>
        <v>0</v>
      </c>
      <c r="AA52" s="44">
        <f t="shared" si="26"/>
        <v>0</v>
      </c>
      <c r="AB52" s="44">
        <f>AA52+125</f>
        <v>125</v>
      </c>
    </row>
    <row r="53" spans="1:28">
      <c r="A53" s="7" t="s">
        <v>201</v>
      </c>
      <c r="B53" s="8">
        <v>24</v>
      </c>
      <c r="C53" s="2">
        <f>B53</f>
        <v>24</v>
      </c>
      <c r="D53" s="2">
        <f>C53</f>
        <v>24</v>
      </c>
      <c r="E53" s="2">
        <f t="shared" si="23"/>
        <v>24</v>
      </c>
      <c r="F53" s="2">
        <f t="shared" si="23"/>
        <v>24</v>
      </c>
      <c r="G53" s="2">
        <f>F53</f>
        <v>24</v>
      </c>
      <c r="H53" s="2">
        <f>G53+15</f>
        <v>39</v>
      </c>
      <c r="I53" s="2">
        <f>H53</f>
        <v>39</v>
      </c>
      <c r="J53" s="2">
        <f>I53</f>
        <v>39</v>
      </c>
      <c r="K53" s="2">
        <f t="shared" si="27"/>
        <v>39</v>
      </c>
      <c r="L53" s="2">
        <f t="shared" si="27"/>
        <v>39</v>
      </c>
      <c r="M53" s="2">
        <f t="shared" si="24"/>
        <v>39</v>
      </c>
      <c r="N53" s="2">
        <f t="shared" si="24"/>
        <v>39</v>
      </c>
      <c r="O53" s="2">
        <f t="shared" si="24"/>
        <v>39</v>
      </c>
      <c r="P53" s="2">
        <f>O53</f>
        <v>39</v>
      </c>
      <c r="Q53" s="2">
        <f>P53</f>
        <v>39</v>
      </c>
      <c r="R53" s="2">
        <f t="shared" si="29"/>
        <v>39</v>
      </c>
      <c r="S53" s="2">
        <f t="shared" si="29"/>
        <v>39</v>
      </c>
      <c r="T53" s="2">
        <f>S53</f>
        <v>39</v>
      </c>
      <c r="U53" s="2">
        <f t="shared" si="25"/>
        <v>39</v>
      </c>
      <c r="V53" s="2">
        <f t="shared" si="25"/>
        <v>39</v>
      </c>
      <c r="W53" s="2">
        <f t="shared" si="28"/>
        <v>39</v>
      </c>
      <c r="X53" s="2">
        <f t="shared" si="28"/>
        <v>39</v>
      </c>
      <c r="Y53" s="2">
        <f t="shared" si="26"/>
        <v>39</v>
      </c>
      <c r="Z53" s="2">
        <f t="shared" si="26"/>
        <v>39</v>
      </c>
      <c r="AA53" s="2">
        <f t="shared" si="26"/>
        <v>39</v>
      </c>
      <c r="AB53" s="2">
        <f>AA53</f>
        <v>39</v>
      </c>
    </row>
    <row r="54" spans="1:28">
      <c r="A54" s="2" t="s">
        <v>202</v>
      </c>
      <c r="C54" s="9"/>
      <c r="D54" s="9"/>
      <c r="E54" s="9"/>
      <c r="F54" s="10"/>
      <c r="G54" s="10"/>
      <c r="H54" s="10"/>
      <c r="I54" s="9"/>
      <c r="J54" s="9">
        <f>14*40*G51+4*40*G52</f>
        <v>66880</v>
      </c>
      <c r="K54" s="9"/>
      <c r="L54" s="9"/>
      <c r="M54" s="9"/>
      <c r="N54" s="9"/>
      <c r="O54" s="9"/>
      <c r="P54" s="9"/>
      <c r="Q54" s="9"/>
      <c r="R54" s="9">
        <f>14*27.5*P47</f>
        <v>46200</v>
      </c>
      <c r="S54" s="9"/>
      <c r="T54" s="9"/>
      <c r="U54" s="9"/>
      <c r="V54" s="9">
        <f>14*40*S51+4*40*S52</f>
        <v>87200</v>
      </c>
      <c r="W54" s="9"/>
      <c r="X54" s="9"/>
      <c r="Y54" s="9"/>
      <c r="Z54" s="9"/>
      <c r="AA54" s="9"/>
      <c r="AB54" s="9">
        <f>14*27.5*AA45</f>
        <v>46200</v>
      </c>
    </row>
    <row r="56" spans="1:28">
      <c r="A56" s="12" t="s">
        <v>171</v>
      </c>
      <c r="B56" s="12" t="s">
        <v>172</v>
      </c>
      <c r="C56" s="11" t="s">
        <v>173</v>
      </c>
      <c r="D56" s="11" t="s">
        <v>174</v>
      </c>
      <c r="E56" s="4" t="s">
        <v>175</v>
      </c>
      <c r="F56" s="13" t="s">
        <v>176</v>
      </c>
      <c r="H56" s="4" t="s">
        <v>177</v>
      </c>
      <c r="I56" s="4" t="s">
        <v>178</v>
      </c>
      <c r="J56" s="4" t="s">
        <v>179</v>
      </c>
      <c r="L56" s="4" t="s">
        <v>203</v>
      </c>
      <c r="M56" s="4" t="s">
        <v>203</v>
      </c>
    </row>
    <row r="57" spans="1:28">
      <c r="A57" s="14" t="s">
        <v>181</v>
      </c>
      <c r="B57" s="14" t="s">
        <v>182</v>
      </c>
      <c r="C57" s="7" t="s">
        <v>182</v>
      </c>
      <c r="D57" s="7" t="s">
        <v>182</v>
      </c>
      <c r="E57" s="8" t="s">
        <v>182</v>
      </c>
      <c r="F57" s="8" t="s">
        <v>183</v>
      </c>
      <c r="H57" s="8" t="s">
        <v>182</v>
      </c>
      <c r="I57" s="8" t="s">
        <v>183</v>
      </c>
      <c r="J57" s="8" t="s">
        <v>183</v>
      </c>
      <c r="L57" s="8" t="s">
        <v>182</v>
      </c>
      <c r="M57" s="8" t="s">
        <v>183</v>
      </c>
    </row>
    <row r="58" spans="1:28">
      <c r="A58" s="2" t="s">
        <v>204</v>
      </c>
      <c r="B58" s="32">
        <f>80/130</f>
        <v>0.61538461538461542</v>
      </c>
      <c r="C58" s="11">
        <v>0</v>
      </c>
      <c r="D58" s="11">
        <v>0</v>
      </c>
      <c r="E58" s="16">
        <f>D58+C58+B58</f>
        <v>0.61538461538461542</v>
      </c>
      <c r="F58" s="16">
        <f>($B$58*$B$69+$C$58*$C$69+$D$58*$D$32)</f>
        <v>0.17230769230769233</v>
      </c>
      <c r="H58" s="4"/>
      <c r="I58" s="4"/>
      <c r="J58" s="13"/>
      <c r="L58" s="4"/>
      <c r="M58" s="4"/>
      <c r="S58" s="2" t="s">
        <v>205</v>
      </c>
      <c r="U58" s="2" t="s">
        <v>206</v>
      </c>
      <c r="V58" s="2" t="s">
        <v>199</v>
      </c>
    </row>
    <row r="59" spans="1:28">
      <c r="A59" s="2" t="s">
        <v>207</v>
      </c>
      <c r="B59" s="33">
        <v>1.17</v>
      </c>
      <c r="E59" s="5"/>
      <c r="F59" s="17">
        <f>($B$59*$B$69+$C$59*$C$69+$D$59*$D$32)</f>
        <v>0.3276</v>
      </c>
      <c r="H59" s="5"/>
      <c r="I59" s="5"/>
      <c r="J59" s="6"/>
      <c r="L59" s="5"/>
      <c r="M59" s="5"/>
      <c r="P59" s="2" t="s">
        <v>208</v>
      </c>
      <c r="R59" s="2">
        <v>130</v>
      </c>
      <c r="S59" s="2" t="s">
        <v>209</v>
      </c>
      <c r="T59" s="2">
        <v>0.62</v>
      </c>
      <c r="U59" s="2">
        <v>2</v>
      </c>
      <c r="V59" s="2" t="s">
        <v>210</v>
      </c>
    </row>
    <row r="60" spans="1:28">
      <c r="A60" s="2" t="s">
        <v>211</v>
      </c>
      <c r="B60" s="33">
        <f>B58</f>
        <v>0.61538461538461542</v>
      </c>
      <c r="C60" s="2">
        <v>0</v>
      </c>
      <c r="D60" s="2">
        <v>0</v>
      </c>
      <c r="E60" s="38">
        <f>D60+C60+B60</f>
        <v>0.61538461538461542</v>
      </c>
      <c r="F60" s="17">
        <f>($B$60*$B$69+$C$60*$C$69+$D$60*$D$32)</f>
        <v>0.17230769230769233</v>
      </c>
      <c r="H60" s="5"/>
      <c r="I60" s="5"/>
      <c r="J60" s="6"/>
      <c r="L60" s="5"/>
      <c r="M60" s="5"/>
      <c r="P60" s="2" t="s">
        <v>212</v>
      </c>
      <c r="R60" s="2">
        <v>98</v>
      </c>
    </row>
    <row r="61" spans="1:28">
      <c r="A61" s="2" t="s">
        <v>193</v>
      </c>
      <c r="B61" s="33">
        <f>B59</f>
        <v>1.17</v>
      </c>
      <c r="E61" s="38"/>
      <c r="F61" s="17">
        <f>($B$61*$B$69+$C$61*$C$69+$D$61*$D$32)</f>
        <v>0.3276</v>
      </c>
      <c r="H61" s="5"/>
      <c r="I61" s="5"/>
      <c r="J61" s="6"/>
      <c r="L61" s="5"/>
      <c r="M61" s="5"/>
      <c r="P61" s="2" t="s">
        <v>213</v>
      </c>
      <c r="R61" s="2">
        <f>20+2</f>
        <v>22</v>
      </c>
    </row>
    <row r="62" spans="1:28">
      <c r="A62" s="2" t="s">
        <v>214</v>
      </c>
      <c r="B62" s="33">
        <f>B58</f>
        <v>0.61538461538461542</v>
      </c>
      <c r="C62" s="2">
        <v>0</v>
      </c>
      <c r="D62" s="2">
        <v>0</v>
      </c>
      <c r="E62" s="38">
        <f>D62+C62+B62</f>
        <v>0.61538461538461542</v>
      </c>
      <c r="F62" s="17">
        <f>($B$62*$B$69+$C$62*$C$69+$D$62*$D$32)</f>
        <v>0.17230769230769233</v>
      </c>
      <c r="H62" s="5"/>
      <c r="I62" s="5"/>
      <c r="J62" s="6"/>
      <c r="L62" s="5"/>
      <c r="M62" s="5"/>
    </row>
    <row r="63" spans="1:28">
      <c r="A63" s="2" t="s">
        <v>198</v>
      </c>
      <c r="B63" s="33">
        <f>B59</f>
        <v>1.17</v>
      </c>
      <c r="E63" s="5"/>
      <c r="F63" s="17">
        <f>($B$63*$B$69+$C$63*$C$69+$D$63*$D$32)</f>
        <v>0.3276</v>
      </c>
      <c r="H63" s="5"/>
      <c r="I63" s="5"/>
      <c r="J63" s="6"/>
      <c r="L63" s="5"/>
      <c r="M63" s="5"/>
    </row>
    <row r="64" spans="1:28">
      <c r="A64" s="2" t="s">
        <v>200</v>
      </c>
      <c r="B64" s="15">
        <v>0</v>
      </c>
      <c r="C64" s="2">
        <v>0</v>
      </c>
      <c r="D64" s="2">
        <v>0</v>
      </c>
      <c r="E64" s="5">
        <f>D64+C64+B64</f>
        <v>0</v>
      </c>
      <c r="F64" s="17">
        <f>($B$64*$B$69+$C$64*$C$69+$D$64*$D$32)</f>
        <v>0</v>
      </c>
      <c r="H64" s="5"/>
      <c r="I64" s="5"/>
      <c r="J64" s="6"/>
      <c r="L64" s="5">
        <v>0.5</v>
      </c>
      <c r="M64" s="37">
        <f>L64*L69</f>
        <v>0.22382142857142859</v>
      </c>
    </row>
    <row r="65" spans="1:32">
      <c r="A65" s="7" t="s">
        <v>201</v>
      </c>
      <c r="B65" s="14">
        <v>1</v>
      </c>
      <c r="C65" s="7">
        <v>0</v>
      </c>
      <c r="D65" s="7">
        <v>0</v>
      </c>
      <c r="E65" s="8">
        <f>D65+C65+B65</f>
        <v>1</v>
      </c>
      <c r="F65" s="19">
        <f>($B$65*$B$69+$C$65*$C$69+$D$65*$D$32)</f>
        <v>0.28000000000000003</v>
      </c>
      <c r="H65" s="8"/>
      <c r="I65" s="19"/>
      <c r="J65" s="20"/>
      <c r="L65" s="8"/>
      <c r="M65" s="19"/>
    </row>
    <row r="66" spans="1:32">
      <c r="F66" s="21"/>
    </row>
    <row r="67" spans="1:32">
      <c r="A67" s="2" t="s">
        <v>184</v>
      </c>
      <c r="F67" s="21"/>
    </row>
    <row r="68" spans="1:32">
      <c r="A68" s="12" t="s">
        <v>185</v>
      </c>
      <c r="B68" s="12">
        <v>0.26</v>
      </c>
      <c r="C68" s="11">
        <v>0.39</v>
      </c>
      <c r="D68" s="11">
        <f>0.059</f>
        <v>5.8999999999999997E-2</v>
      </c>
      <c r="E68" s="4">
        <f>D68+C68+B68</f>
        <v>0.70900000000000007</v>
      </c>
      <c r="H68" s="4"/>
      <c r="L68" s="16">
        <f>5667/14000</f>
        <v>0.4047857142857143</v>
      </c>
      <c r="R68" s="2">
        <f>1260*2+120*3</f>
        <v>2880</v>
      </c>
      <c r="S68" s="2">
        <f>R68/0.845</f>
        <v>3408.2840236686393</v>
      </c>
    </row>
    <row r="69" spans="1:32">
      <c r="A69" s="14" t="s">
        <v>186</v>
      </c>
      <c r="B69" s="14">
        <f>B68+0.02</f>
        <v>0.28000000000000003</v>
      </c>
      <c r="C69" s="7">
        <f>C68+(900/25000)</f>
        <v>0.42599999999999999</v>
      </c>
      <c r="D69" s="7">
        <f>D68+0.041</f>
        <v>0.1</v>
      </c>
      <c r="E69" s="8">
        <f>D69+C69+B69</f>
        <v>0.80600000000000005</v>
      </c>
      <c r="H69" s="8"/>
      <c r="L69" s="19">
        <f>L68+600/14000</f>
        <v>0.44764285714285718</v>
      </c>
    </row>
    <row r="70" spans="1:32">
      <c r="A70" s="15"/>
    </row>
    <row r="71" spans="1:32">
      <c r="A71" s="2" t="s">
        <v>187</v>
      </c>
      <c r="B71" s="7"/>
    </row>
    <row r="72" spans="1:32">
      <c r="A72" s="4" t="s">
        <v>215</v>
      </c>
      <c r="C72" s="22">
        <f>C45*$F$58*30</f>
        <v>0</v>
      </c>
      <c r="D72" s="22">
        <f t="shared" ref="D72:AB72" si="30">D45*$F$59*30</f>
        <v>0</v>
      </c>
      <c r="E72" s="22">
        <f t="shared" si="30"/>
        <v>0</v>
      </c>
      <c r="F72" s="22">
        <f t="shared" si="30"/>
        <v>0</v>
      </c>
      <c r="G72" s="22">
        <f t="shared" si="30"/>
        <v>0</v>
      </c>
      <c r="H72" s="22">
        <f t="shared" si="30"/>
        <v>0</v>
      </c>
      <c r="I72" s="22">
        <f t="shared" si="30"/>
        <v>0</v>
      </c>
      <c r="J72" s="22">
        <f t="shared" si="30"/>
        <v>0</v>
      </c>
      <c r="K72" s="22">
        <f t="shared" si="30"/>
        <v>0</v>
      </c>
      <c r="L72" s="22">
        <f t="shared" si="30"/>
        <v>0</v>
      </c>
      <c r="M72" s="22">
        <f t="shared" si="30"/>
        <v>0</v>
      </c>
      <c r="N72" s="22">
        <f t="shared" si="30"/>
        <v>0</v>
      </c>
      <c r="O72" s="22">
        <f t="shared" si="30"/>
        <v>0</v>
      </c>
      <c r="P72" s="22">
        <f t="shared" si="30"/>
        <v>0</v>
      </c>
      <c r="Q72" s="22">
        <f t="shared" si="30"/>
        <v>0</v>
      </c>
      <c r="R72" s="22">
        <f t="shared" si="30"/>
        <v>0</v>
      </c>
      <c r="S72" s="22">
        <f t="shared" si="30"/>
        <v>589.67999999999995</v>
      </c>
      <c r="T72" s="22">
        <f t="shared" si="30"/>
        <v>1179.3599999999999</v>
      </c>
      <c r="U72" s="22">
        <f t="shared" si="30"/>
        <v>1179.3599999999999</v>
      </c>
      <c r="V72" s="22">
        <f t="shared" si="30"/>
        <v>1179.3599999999999</v>
      </c>
      <c r="W72" s="22">
        <f t="shared" si="30"/>
        <v>1179.3599999999999</v>
      </c>
      <c r="X72" s="22">
        <f t="shared" si="30"/>
        <v>1179.3599999999999</v>
      </c>
      <c r="Y72" s="22">
        <f t="shared" si="30"/>
        <v>1769.0400000000002</v>
      </c>
      <c r="Z72" s="22">
        <f t="shared" si="30"/>
        <v>2358.7199999999998</v>
      </c>
      <c r="AA72" s="22">
        <f t="shared" si="30"/>
        <v>1179.3599999999999</v>
      </c>
      <c r="AB72" s="22">
        <f t="shared" si="30"/>
        <v>1179.3599999999999</v>
      </c>
    </row>
    <row r="73" spans="1:32">
      <c r="A73" s="5" t="s">
        <v>216</v>
      </c>
      <c r="C73" s="21" t="e">
        <f>#REF!*$F$60*30</f>
        <v>#REF!</v>
      </c>
      <c r="D73" s="21" t="e">
        <f>#REF!*$F$60*30</f>
        <v>#REF!</v>
      </c>
      <c r="E73" s="21" t="e">
        <f>#REF!*$F$60*30</f>
        <v>#REF!</v>
      </c>
      <c r="F73" s="21" t="e">
        <f>#REF!*$F$60*30</f>
        <v>#REF!</v>
      </c>
      <c r="G73" s="21" t="e">
        <f>#REF!*$F$60*30</f>
        <v>#REF!</v>
      </c>
      <c r="H73" s="21" t="e">
        <f>#REF!*$F$60*30</f>
        <v>#REF!</v>
      </c>
      <c r="I73" s="21" t="e">
        <f>#REF!*$F$60*30</f>
        <v>#REF!</v>
      </c>
      <c r="J73" s="21" t="e">
        <f>#REF!*$F$60*30</f>
        <v>#REF!</v>
      </c>
      <c r="K73" s="21" t="e">
        <f>#REF!*$F$60*30</f>
        <v>#REF!</v>
      </c>
      <c r="L73" s="21" t="e">
        <f>#REF!*$F$60*30</f>
        <v>#REF!</v>
      </c>
      <c r="M73" s="21" t="e">
        <f>#REF!*$F$60*30</f>
        <v>#REF!</v>
      </c>
      <c r="N73" s="21" t="e">
        <f>#REF!*$F$61*30</f>
        <v>#REF!</v>
      </c>
      <c r="O73" s="21" t="e">
        <f>#REF!*$F$61*30</f>
        <v>#REF!</v>
      </c>
      <c r="P73" s="21" t="e">
        <f>#REF!*$F$61*30</f>
        <v>#REF!</v>
      </c>
      <c r="Q73" s="21" t="e">
        <f>#REF!*$F$61*30</f>
        <v>#REF!</v>
      </c>
      <c r="R73" s="21" t="e">
        <f>#REF!*$F$61*30</f>
        <v>#REF!</v>
      </c>
      <c r="S73" s="21" t="e">
        <f>#REF!*$F$61*30</f>
        <v>#REF!</v>
      </c>
      <c r="T73" s="21" t="e">
        <f>#REF!*$F$61*30</f>
        <v>#REF!</v>
      </c>
      <c r="U73" s="21" t="e">
        <f>#REF!*$F$61*30</f>
        <v>#REF!</v>
      </c>
      <c r="V73" s="21" t="e">
        <f>#REF!*$F$61*30</f>
        <v>#REF!</v>
      </c>
      <c r="W73" s="21" t="e">
        <f>#REF!*$F$61*30</f>
        <v>#REF!</v>
      </c>
      <c r="X73" s="21" t="e">
        <f>#REF!*$F$61*30</f>
        <v>#REF!</v>
      </c>
      <c r="Y73" s="21" t="e">
        <f>#REF!*$F$61*30</f>
        <v>#REF!</v>
      </c>
      <c r="Z73" s="21" t="e">
        <f>#REF!*$F$61*30</f>
        <v>#REF!</v>
      </c>
      <c r="AA73" s="21" t="e">
        <f>#REF!*$F$61*30</f>
        <v>#REF!</v>
      </c>
      <c r="AB73" s="21" t="e">
        <f>#REF!*$F$61*30</f>
        <v>#REF!</v>
      </c>
    </row>
    <row r="74" spans="1:32">
      <c r="A74" s="6" t="s">
        <v>214</v>
      </c>
      <c r="C74" s="21">
        <f t="shared" ref="C74:AB74" si="31">C49*$F$62*30</f>
        <v>620.30769230769238</v>
      </c>
      <c r="D74" s="21">
        <f t="shared" si="31"/>
        <v>0</v>
      </c>
      <c r="E74" s="21">
        <f t="shared" si="31"/>
        <v>0</v>
      </c>
      <c r="F74" s="21">
        <f t="shared" si="31"/>
        <v>0</v>
      </c>
      <c r="G74" s="21">
        <f t="shared" si="31"/>
        <v>0</v>
      </c>
      <c r="H74" s="21">
        <f t="shared" si="31"/>
        <v>0</v>
      </c>
      <c r="I74" s="21">
        <f t="shared" si="31"/>
        <v>0</v>
      </c>
      <c r="J74" s="21">
        <f t="shared" si="31"/>
        <v>0</v>
      </c>
      <c r="K74" s="21">
        <f t="shared" si="31"/>
        <v>310.15384615384619</v>
      </c>
      <c r="L74" s="21">
        <f t="shared" si="31"/>
        <v>620.30769230769238</v>
      </c>
      <c r="M74" s="21">
        <f t="shared" si="31"/>
        <v>620.30769230769238</v>
      </c>
      <c r="N74" s="21">
        <f t="shared" si="31"/>
        <v>620.30769230769238</v>
      </c>
      <c r="O74" s="21">
        <f t="shared" si="31"/>
        <v>620.30769230769238</v>
      </c>
      <c r="P74" s="21">
        <f t="shared" si="31"/>
        <v>0</v>
      </c>
      <c r="Q74" s="21">
        <f t="shared" si="31"/>
        <v>0</v>
      </c>
      <c r="R74" s="21">
        <f t="shared" si="31"/>
        <v>0</v>
      </c>
      <c r="S74" s="21">
        <f t="shared" si="31"/>
        <v>0</v>
      </c>
      <c r="T74" s="21">
        <f t="shared" si="31"/>
        <v>0</v>
      </c>
      <c r="U74" s="21">
        <f t="shared" si="31"/>
        <v>0</v>
      </c>
      <c r="V74" s="21">
        <f t="shared" si="31"/>
        <v>0</v>
      </c>
      <c r="W74" s="21">
        <f t="shared" si="31"/>
        <v>310.15384615384619</v>
      </c>
      <c r="X74" s="21">
        <f t="shared" si="31"/>
        <v>620.30769230769238</v>
      </c>
      <c r="Y74" s="21">
        <f t="shared" si="31"/>
        <v>620.30769230769238</v>
      </c>
      <c r="Z74" s="21">
        <f t="shared" si="31"/>
        <v>620.30769230769238</v>
      </c>
      <c r="AA74" s="21">
        <f t="shared" si="31"/>
        <v>620.30769230769238</v>
      </c>
      <c r="AB74" s="21">
        <f t="shared" si="31"/>
        <v>0</v>
      </c>
    </row>
    <row r="75" spans="1:32">
      <c r="A75" s="6" t="s">
        <v>198</v>
      </c>
      <c r="C75" s="21">
        <f t="shared" ref="C75:AB75" si="32">C50*$F$63*30</f>
        <v>963.14399999999989</v>
      </c>
      <c r="D75" s="21">
        <f t="shared" si="32"/>
        <v>1179.3599999999999</v>
      </c>
      <c r="E75" s="21">
        <f t="shared" si="32"/>
        <v>1179.3599999999999</v>
      </c>
      <c r="F75" s="21">
        <f t="shared" si="32"/>
        <v>1179.3599999999999</v>
      </c>
      <c r="G75" s="21">
        <f t="shared" si="32"/>
        <v>1179.3599999999999</v>
      </c>
      <c r="H75" s="21">
        <f t="shared" si="32"/>
        <v>1179.3599999999999</v>
      </c>
      <c r="I75" s="21">
        <f t="shared" si="32"/>
        <v>1179.3599999999999</v>
      </c>
      <c r="J75" s="21">
        <f t="shared" si="32"/>
        <v>1179.3599999999999</v>
      </c>
      <c r="K75" s="21">
        <f t="shared" si="32"/>
        <v>1179.3599999999999</v>
      </c>
      <c r="L75" s="21">
        <f t="shared" si="32"/>
        <v>1179.3599999999999</v>
      </c>
      <c r="M75" s="21">
        <f t="shared" si="32"/>
        <v>1179.3599999999999</v>
      </c>
      <c r="N75" s="21">
        <f t="shared" si="32"/>
        <v>1179.3599999999999</v>
      </c>
      <c r="O75" s="21">
        <f t="shared" si="32"/>
        <v>1179.3599999999999</v>
      </c>
      <c r="P75" s="21">
        <f t="shared" si="32"/>
        <v>1179.3599999999999</v>
      </c>
      <c r="Q75" s="21">
        <f t="shared" si="32"/>
        <v>1179.3599999999999</v>
      </c>
      <c r="R75" s="21">
        <f t="shared" si="32"/>
        <v>1179.3599999999999</v>
      </c>
      <c r="S75" s="21">
        <f t="shared" si="32"/>
        <v>1179.3599999999999</v>
      </c>
      <c r="T75" s="21">
        <f t="shared" si="32"/>
        <v>1179.3599999999999</v>
      </c>
      <c r="U75" s="21">
        <f t="shared" si="32"/>
        <v>1179.3599999999999</v>
      </c>
      <c r="V75" s="21">
        <f t="shared" si="32"/>
        <v>1179.3599999999999</v>
      </c>
      <c r="W75" s="21">
        <f t="shared" si="32"/>
        <v>1179.3599999999999</v>
      </c>
      <c r="X75" s="21">
        <f t="shared" si="32"/>
        <v>1179.3599999999999</v>
      </c>
      <c r="Y75" s="21">
        <f t="shared" si="32"/>
        <v>1179.3599999999999</v>
      </c>
      <c r="Z75" s="21">
        <f t="shared" si="32"/>
        <v>1179.3599999999999</v>
      </c>
      <c r="AA75" s="21">
        <f t="shared" si="32"/>
        <v>1179.3599999999999</v>
      </c>
      <c r="AB75" s="21">
        <f t="shared" si="32"/>
        <v>1179.3599999999999</v>
      </c>
    </row>
    <row r="76" spans="1:32">
      <c r="A76" s="5" t="s">
        <v>200</v>
      </c>
      <c r="C76" s="21">
        <f t="shared" ref="C76:AB76" si="33">C52*$M$64*30</f>
        <v>0</v>
      </c>
      <c r="D76" s="21">
        <f t="shared" si="33"/>
        <v>503.59821428571428</v>
      </c>
      <c r="E76" s="21">
        <f t="shared" si="33"/>
        <v>503.59821428571428</v>
      </c>
      <c r="F76" s="21">
        <f t="shared" si="33"/>
        <v>503.59821428571428</v>
      </c>
      <c r="G76" s="21">
        <f t="shared" si="33"/>
        <v>503.59821428571428</v>
      </c>
      <c r="H76" s="21">
        <f t="shared" si="33"/>
        <v>0</v>
      </c>
      <c r="I76" s="21">
        <f t="shared" si="33"/>
        <v>0</v>
      </c>
      <c r="J76" s="21">
        <f t="shared" si="33"/>
        <v>0</v>
      </c>
      <c r="K76" s="21">
        <f t="shared" si="33"/>
        <v>0</v>
      </c>
      <c r="L76" s="21">
        <f t="shared" si="33"/>
        <v>0</v>
      </c>
      <c r="M76" s="21">
        <f t="shared" si="33"/>
        <v>0</v>
      </c>
      <c r="N76" s="21">
        <f t="shared" si="33"/>
        <v>0</v>
      </c>
      <c r="O76" s="21">
        <f t="shared" si="33"/>
        <v>0</v>
      </c>
      <c r="P76" s="21">
        <f t="shared" si="33"/>
        <v>839.33035714285722</v>
      </c>
      <c r="Q76" s="21">
        <f t="shared" si="33"/>
        <v>839.33035714285722</v>
      </c>
      <c r="R76" s="21">
        <f t="shared" si="33"/>
        <v>839.33035714285722</v>
      </c>
      <c r="S76" s="21">
        <f t="shared" si="33"/>
        <v>839.33035714285722</v>
      </c>
      <c r="T76" s="21">
        <f t="shared" si="33"/>
        <v>0</v>
      </c>
      <c r="U76" s="21">
        <f t="shared" si="33"/>
        <v>0</v>
      </c>
      <c r="V76" s="21">
        <f t="shared" si="33"/>
        <v>0</v>
      </c>
      <c r="W76" s="21">
        <f t="shared" si="33"/>
        <v>0</v>
      </c>
      <c r="X76" s="21">
        <f t="shared" si="33"/>
        <v>0</v>
      </c>
      <c r="Y76" s="21">
        <f t="shared" si="33"/>
        <v>0</v>
      </c>
      <c r="Z76" s="21">
        <f t="shared" si="33"/>
        <v>0</v>
      </c>
      <c r="AA76" s="21">
        <f t="shared" si="33"/>
        <v>0</v>
      </c>
      <c r="AB76" s="21">
        <f t="shared" si="33"/>
        <v>839.33035714285722</v>
      </c>
    </row>
    <row r="77" spans="1:32">
      <c r="A77" s="8" t="s">
        <v>201</v>
      </c>
      <c r="B77" s="14"/>
      <c r="C77" s="21">
        <f t="shared" ref="C77:AB77" si="34">C53*$F$65*30</f>
        <v>201.60000000000002</v>
      </c>
      <c r="D77" s="21">
        <f t="shared" si="34"/>
        <v>201.60000000000002</v>
      </c>
      <c r="E77" s="21">
        <f t="shared" si="34"/>
        <v>201.60000000000002</v>
      </c>
      <c r="F77" s="21">
        <f t="shared" si="34"/>
        <v>201.60000000000002</v>
      </c>
      <c r="G77" s="21">
        <f t="shared" si="34"/>
        <v>201.60000000000002</v>
      </c>
      <c r="H77" s="21">
        <f t="shared" si="34"/>
        <v>327.60000000000002</v>
      </c>
      <c r="I77" s="21">
        <f t="shared" si="34"/>
        <v>327.60000000000002</v>
      </c>
      <c r="J77" s="21">
        <f t="shared" si="34"/>
        <v>327.60000000000002</v>
      </c>
      <c r="K77" s="21">
        <f t="shared" si="34"/>
        <v>327.60000000000002</v>
      </c>
      <c r="L77" s="21">
        <f t="shared" si="34"/>
        <v>327.60000000000002</v>
      </c>
      <c r="M77" s="21">
        <f t="shared" si="34"/>
        <v>327.60000000000002</v>
      </c>
      <c r="N77" s="21">
        <f t="shared" si="34"/>
        <v>327.60000000000002</v>
      </c>
      <c r="O77" s="21">
        <f t="shared" si="34"/>
        <v>327.60000000000002</v>
      </c>
      <c r="P77" s="21">
        <f t="shared" si="34"/>
        <v>327.60000000000002</v>
      </c>
      <c r="Q77" s="21">
        <f t="shared" si="34"/>
        <v>327.60000000000002</v>
      </c>
      <c r="R77" s="21">
        <f t="shared" si="34"/>
        <v>327.60000000000002</v>
      </c>
      <c r="S77" s="21">
        <f t="shared" si="34"/>
        <v>327.60000000000002</v>
      </c>
      <c r="T77" s="21">
        <f t="shared" si="34"/>
        <v>327.60000000000002</v>
      </c>
      <c r="U77" s="21">
        <f t="shared" si="34"/>
        <v>327.60000000000002</v>
      </c>
      <c r="V77" s="21">
        <f t="shared" si="34"/>
        <v>327.60000000000002</v>
      </c>
      <c r="W77" s="21">
        <f t="shared" si="34"/>
        <v>327.60000000000002</v>
      </c>
      <c r="X77" s="21">
        <f t="shared" si="34"/>
        <v>327.60000000000002</v>
      </c>
      <c r="Y77" s="21">
        <f t="shared" si="34"/>
        <v>327.60000000000002</v>
      </c>
      <c r="Z77" s="21">
        <f t="shared" si="34"/>
        <v>327.60000000000002</v>
      </c>
      <c r="AA77" s="21">
        <f t="shared" si="34"/>
        <v>327.60000000000002</v>
      </c>
      <c r="AB77" s="21">
        <f t="shared" si="34"/>
        <v>327.60000000000002</v>
      </c>
    </row>
    <row r="78" spans="1:32">
      <c r="C78" s="9" t="e">
        <f t="shared" ref="C78:AB78" si="35">SUM(C72:C77)</f>
        <v>#REF!</v>
      </c>
      <c r="D78" s="9" t="e">
        <f t="shared" si="35"/>
        <v>#REF!</v>
      </c>
      <c r="E78" s="9" t="e">
        <f t="shared" si="35"/>
        <v>#REF!</v>
      </c>
      <c r="F78" s="9" t="e">
        <f t="shared" si="35"/>
        <v>#REF!</v>
      </c>
      <c r="G78" s="9" t="e">
        <f t="shared" si="35"/>
        <v>#REF!</v>
      </c>
      <c r="H78" s="9" t="e">
        <f t="shared" si="35"/>
        <v>#REF!</v>
      </c>
      <c r="I78" s="9" t="e">
        <f t="shared" si="35"/>
        <v>#REF!</v>
      </c>
      <c r="J78" s="9" t="e">
        <f t="shared" si="35"/>
        <v>#REF!</v>
      </c>
      <c r="K78" s="9" t="e">
        <f t="shared" si="35"/>
        <v>#REF!</v>
      </c>
      <c r="L78" s="9" t="e">
        <f t="shared" si="35"/>
        <v>#REF!</v>
      </c>
      <c r="M78" s="9" t="e">
        <f t="shared" si="35"/>
        <v>#REF!</v>
      </c>
      <c r="N78" s="9" t="e">
        <f t="shared" si="35"/>
        <v>#REF!</v>
      </c>
      <c r="O78" s="9" t="e">
        <f t="shared" si="35"/>
        <v>#REF!</v>
      </c>
      <c r="P78" s="9" t="e">
        <f t="shared" si="35"/>
        <v>#REF!</v>
      </c>
      <c r="Q78" s="9" t="e">
        <f t="shared" si="35"/>
        <v>#REF!</v>
      </c>
      <c r="R78" s="9" t="e">
        <f t="shared" si="35"/>
        <v>#REF!</v>
      </c>
      <c r="S78" s="9" t="e">
        <f t="shared" si="35"/>
        <v>#REF!</v>
      </c>
      <c r="T78" s="9" t="e">
        <f t="shared" si="35"/>
        <v>#REF!</v>
      </c>
      <c r="U78" s="9" t="e">
        <f t="shared" si="35"/>
        <v>#REF!</v>
      </c>
      <c r="V78" s="9" t="e">
        <f t="shared" si="35"/>
        <v>#REF!</v>
      </c>
      <c r="W78" s="9" t="e">
        <f t="shared" si="35"/>
        <v>#REF!</v>
      </c>
      <c r="X78" s="9" t="e">
        <f t="shared" si="35"/>
        <v>#REF!</v>
      </c>
      <c r="Y78" s="9" t="e">
        <f t="shared" si="35"/>
        <v>#REF!</v>
      </c>
      <c r="Z78" s="9" t="e">
        <f t="shared" si="35"/>
        <v>#REF!</v>
      </c>
      <c r="AA78" s="9" t="e">
        <f t="shared" si="35"/>
        <v>#REF!</v>
      </c>
      <c r="AB78" s="9" t="e">
        <f t="shared" si="35"/>
        <v>#REF!</v>
      </c>
    </row>
    <row r="80" spans="1:32">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row>
    <row r="81" spans="1:35">
      <c r="A81" s="2" t="s">
        <v>217</v>
      </c>
    </row>
    <row r="82" spans="1:35">
      <c r="A82" s="11" t="s">
        <v>218</v>
      </c>
      <c r="B82" s="11">
        <v>20000</v>
      </c>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spans="1:35">
      <c r="A83" s="2" t="s">
        <v>219</v>
      </c>
      <c r="C83" s="35">
        <f t="shared" ref="C83:AB83" si="36">C34/$F$21*$B$21+C35/$F$22*$B$22+C36/$F$23*$B$23+C37/$F$24*$B$24+C38/$F$25*$B$25+C39/$F$26*$B$26</f>
        <v>23085</v>
      </c>
      <c r="D83" s="35">
        <f t="shared" si="36"/>
        <v>23085</v>
      </c>
      <c r="E83" s="35">
        <f t="shared" si="36"/>
        <v>21900</v>
      </c>
      <c r="F83" s="35">
        <f t="shared" si="36"/>
        <v>17130</v>
      </c>
      <c r="G83" s="35">
        <f t="shared" si="36"/>
        <v>17130</v>
      </c>
      <c r="H83" s="35">
        <f t="shared" si="36"/>
        <v>2205</v>
      </c>
      <c r="I83" s="35">
        <f t="shared" si="36"/>
        <v>285</v>
      </c>
      <c r="J83" s="35">
        <f t="shared" si="36"/>
        <v>285</v>
      </c>
      <c r="K83" s="35">
        <f t="shared" si="36"/>
        <v>240</v>
      </c>
      <c r="L83" s="35">
        <f t="shared" si="36"/>
        <v>240</v>
      </c>
      <c r="M83" s="35">
        <f t="shared" si="36"/>
        <v>3877.6618665140586</v>
      </c>
      <c r="N83" s="35">
        <f t="shared" si="36"/>
        <v>3877.6618665140586</v>
      </c>
      <c r="O83" s="35">
        <f t="shared" si="36"/>
        <v>3877.6618665140586</v>
      </c>
      <c r="P83" s="35">
        <f t="shared" si="36"/>
        <v>3877.6618665140586</v>
      </c>
      <c r="Q83" s="35">
        <f t="shared" si="36"/>
        <v>3877.6618665140586</v>
      </c>
      <c r="R83" s="35">
        <f t="shared" si="36"/>
        <v>3877.6618665140586</v>
      </c>
      <c r="S83" s="35">
        <f t="shared" si="36"/>
        <v>3877.6618665140586</v>
      </c>
      <c r="T83" s="35">
        <f t="shared" si="36"/>
        <v>240</v>
      </c>
      <c r="U83" s="35">
        <f t="shared" si="36"/>
        <v>240</v>
      </c>
      <c r="V83" s="35">
        <f t="shared" si="36"/>
        <v>240</v>
      </c>
      <c r="W83" s="35">
        <f t="shared" si="36"/>
        <v>240</v>
      </c>
      <c r="X83" s="35">
        <f t="shared" si="36"/>
        <v>240</v>
      </c>
      <c r="Y83" s="35">
        <f t="shared" si="36"/>
        <v>240</v>
      </c>
      <c r="Z83" s="35">
        <f t="shared" si="36"/>
        <v>240</v>
      </c>
      <c r="AA83" s="35">
        <f t="shared" si="36"/>
        <v>240</v>
      </c>
      <c r="AB83" s="35">
        <f t="shared" si="36"/>
        <v>240</v>
      </c>
    </row>
    <row r="84" spans="1:35">
      <c r="A84" s="2" t="s">
        <v>220</v>
      </c>
      <c r="C84" s="2">
        <v>20000</v>
      </c>
      <c r="D84" s="2">
        <v>25000</v>
      </c>
      <c r="F84" s="2">
        <v>15000</v>
      </c>
      <c r="G84" s="2">
        <v>25000</v>
      </c>
      <c r="I84" s="2">
        <v>5000</v>
      </c>
      <c r="K84" s="2">
        <v>10000</v>
      </c>
      <c r="L84" s="2">
        <v>20000</v>
      </c>
      <c r="M84" s="2">
        <v>10000</v>
      </c>
      <c r="T84" s="2">
        <v>5000</v>
      </c>
      <c r="X84" s="2">
        <v>5000</v>
      </c>
    </row>
    <row r="85" spans="1:35">
      <c r="A85" s="7" t="s">
        <v>221</v>
      </c>
      <c r="B85" s="7"/>
      <c r="C85" s="36">
        <f>B82-C83+C84</f>
        <v>16915</v>
      </c>
      <c r="D85" s="36">
        <f t="shared" ref="D85:AB85" si="37">C85-D83+D84</f>
        <v>18830</v>
      </c>
      <c r="E85" s="36">
        <f t="shared" si="37"/>
        <v>-3070</v>
      </c>
      <c r="F85" s="36">
        <f t="shared" si="37"/>
        <v>-5200</v>
      </c>
      <c r="G85" s="36">
        <f t="shared" si="37"/>
        <v>2670</v>
      </c>
      <c r="H85" s="36">
        <f t="shared" si="37"/>
        <v>465</v>
      </c>
      <c r="I85" s="36">
        <f t="shared" si="37"/>
        <v>5180</v>
      </c>
      <c r="J85" s="36">
        <f t="shared" si="37"/>
        <v>4895</v>
      </c>
      <c r="K85" s="36">
        <f t="shared" si="37"/>
        <v>14655</v>
      </c>
      <c r="L85" s="36">
        <f t="shared" si="37"/>
        <v>34415</v>
      </c>
      <c r="M85" s="36">
        <f t="shared" si="37"/>
        <v>40537.338133485944</v>
      </c>
      <c r="N85" s="36">
        <f t="shared" si="37"/>
        <v>36659.676266971888</v>
      </c>
      <c r="O85" s="36">
        <f t="shared" si="37"/>
        <v>32782.014400457832</v>
      </c>
      <c r="P85" s="36">
        <f t="shared" si="37"/>
        <v>28904.352533943773</v>
      </c>
      <c r="Q85" s="36">
        <f t="shared" si="37"/>
        <v>25026.690667429713</v>
      </c>
      <c r="R85" s="36">
        <f t="shared" si="37"/>
        <v>21149.028800915654</v>
      </c>
      <c r="S85" s="36">
        <f t="shared" si="37"/>
        <v>17271.366934401594</v>
      </c>
      <c r="T85" s="36">
        <f t="shared" si="37"/>
        <v>22031.366934401594</v>
      </c>
      <c r="U85" s="36">
        <f t="shared" si="37"/>
        <v>21791.366934401594</v>
      </c>
      <c r="V85" s="36">
        <f t="shared" si="37"/>
        <v>21551.366934401594</v>
      </c>
      <c r="W85" s="36">
        <f t="shared" si="37"/>
        <v>21311.366934401594</v>
      </c>
      <c r="X85" s="36">
        <f t="shared" si="37"/>
        <v>26071.366934401594</v>
      </c>
      <c r="Y85" s="36">
        <f t="shared" si="37"/>
        <v>25831.366934401594</v>
      </c>
      <c r="Z85" s="36">
        <f t="shared" si="37"/>
        <v>25591.366934401594</v>
      </c>
      <c r="AA85" s="36">
        <f t="shared" si="37"/>
        <v>25351.366934401594</v>
      </c>
      <c r="AB85" s="36">
        <f t="shared" si="37"/>
        <v>25111.366934401594</v>
      </c>
      <c r="AC85" s="35"/>
      <c r="AD85" s="35"/>
      <c r="AE85" s="35"/>
      <c r="AF85" s="35"/>
      <c r="AG85" s="35"/>
      <c r="AH85" s="35"/>
      <c r="AI85" s="35"/>
    </row>
    <row r="86" spans="1:35">
      <c r="A86" s="2" t="s">
        <v>222</v>
      </c>
      <c r="C86" s="34">
        <f t="shared" ref="C86:AB86" si="38">C84*$B$69</f>
        <v>5600.0000000000009</v>
      </c>
      <c r="D86" s="34">
        <f t="shared" si="38"/>
        <v>7000.0000000000009</v>
      </c>
      <c r="E86" s="34">
        <f t="shared" si="38"/>
        <v>0</v>
      </c>
      <c r="F86" s="34">
        <f t="shared" si="38"/>
        <v>4200</v>
      </c>
      <c r="G86" s="34">
        <f t="shared" si="38"/>
        <v>7000.0000000000009</v>
      </c>
      <c r="H86" s="34">
        <f t="shared" si="38"/>
        <v>0</v>
      </c>
      <c r="I86" s="34">
        <f t="shared" si="38"/>
        <v>1400.0000000000002</v>
      </c>
      <c r="J86" s="34">
        <f t="shared" si="38"/>
        <v>0</v>
      </c>
      <c r="K86" s="34">
        <f t="shared" si="38"/>
        <v>2800.0000000000005</v>
      </c>
      <c r="L86" s="34">
        <f t="shared" si="38"/>
        <v>5600.0000000000009</v>
      </c>
      <c r="M86" s="34">
        <f t="shared" si="38"/>
        <v>2800.0000000000005</v>
      </c>
      <c r="N86" s="34">
        <f t="shared" si="38"/>
        <v>0</v>
      </c>
      <c r="O86" s="34">
        <f t="shared" si="38"/>
        <v>0</v>
      </c>
      <c r="P86" s="34">
        <f t="shared" si="38"/>
        <v>0</v>
      </c>
      <c r="Q86" s="34">
        <f t="shared" si="38"/>
        <v>0</v>
      </c>
      <c r="R86" s="34">
        <f t="shared" si="38"/>
        <v>0</v>
      </c>
      <c r="S86" s="34">
        <f t="shared" si="38"/>
        <v>0</v>
      </c>
      <c r="T86" s="34">
        <f t="shared" si="38"/>
        <v>1400.0000000000002</v>
      </c>
      <c r="U86" s="34">
        <f t="shared" si="38"/>
        <v>0</v>
      </c>
      <c r="V86" s="34">
        <f t="shared" si="38"/>
        <v>0</v>
      </c>
      <c r="W86" s="34">
        <f t="shared" si="38"/>
        <v>0</v>
      </c>
      <c r="X86" s="34">
        <f t="shared" si="38"/>
        <v>1400.0000000000002</v>
      </c>
      <c r="Y86" s="34">
        <f t="shared" si="38"/>
        <v>0</v>
      </c>
      <c r="Z86" s="34">
        <f t="shared" si="38"/>
        <v>0</v>
      </c>
      <c r="AA86" s="34">
        <f t="shared" si="38"/>
        <v>0</v>
      </c>
      <c r="AB86" s="34">
        <f t="shared" si="38"/>
        <v>0</v>
      </c>
      <c r="AC86" s="2">
        <f>SUM(C86:AB86)</f>
        <v>39200</v>
      </c>
    </row>
    <row r="87" spans="1:35">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row>
    <row r="88" spans="1:35">
      <c r="A88" s="2" t="s">
        <v>223</v>
      </c>
    </row>
    <row r="89" spans="1:35">
      <c r="A89" s="11" t="s">
        <v>218</v>
      </c>
      <c r="B89" s="11">
        <v>5000</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spans="1:35">
      <c r="A90" s="2" t="s">
        <v>224</v>
      </c>
      <c r="C90" s="35" t="e">
        <f t="shared" ref="C90:AB90" si="39">+C72/$F$59*$B$59+C73/$F$61*$B$61+C75/$F$63*$B$63+C77/$F$65*$B$65+C74/$F$62*$B$62</f>
        <v>#REF!</v>
      </c>
      <c r="D90" s="35" t="e">
        <f t="shared" si="39"/>
        <v>#REF!</v>
      </c>
      <c r="E90" s="35" t="e">
        <f t="shared" si="39"/>
        <v>#REF!</v>
      </c>
      <c r="F90" s="35" t="e">
        <f t="shared" si="39"/>
        <v>#REF!</v>
      </c>
      <c r="G90" s="35" t="e">
        <f t="shared" si="39"/>
        <v>#REF!</v>
      </c>
      <c r="H90" s="35" t="e">
        <f t="shared" si="39"/>
        <v>#REF!</v>
      </c>
      <c r="I90" s="35" t="e">
        <f t="shared" si="39"/>
        <v>#REF!</v>
      </c>
      <c r="J90" s="35" t="e">
        <f t="shared" si="39"/>
        <v>#REF!</v>
      </c>
      <c r="K90" s="35" t="e">
        <f t="shared" si="39"/>
        <v>#REF!</v>
      </c>
      <c r="L90" s="35" t="e">
        <f t="shared" si="39"/>
        <v>#REF!</v>
      </c>
      <c r="M90" s="35" t="e">
        <f t="shared" si="39"/>
        <v>#REF!</v>
      </c>
      <c r="N90" s="35" t="e">
        <f t="shared" si="39"/>
        <v>#REF!</v>
      </c>
      <c r="O90" s="35" t="e">
        <f t="shared" si="39"/>
        <v>#REF!</v>
      </c>
      <c r="P90" s="35" t="e">
        <f t="shared" si="39"/>
        <v>#REF!</v>
      </c>
      <c r="Q90" s="35" t="e">
        <f t="shared" si="39"/>
        <v>#REF!</v>
      </c>
      <c r="R90" s="35" t="e">
        <f t="shared" si="39"/>
        <v>#REF!</v>
      </c>
      <c r="S90" s="35" t="e">
        <f t="shared" si="39"/>
        <v>#REF!</v>
      </c>
      <c r="T90" s="35" t="e">
        <f t="shared" si="39"/>
        <v>#REF!</v>
      </c>
      <c r="U90" s="35" t="e">
        <f t="shared" si="39"/>
        <v>#REF!</v>
      </c>
      <c r="V90" s="35" t="e">
        <f t="shared" si="39"/>
        <v>#REF!</v>
      </c>
      <c r="W90" s="35" t="e">
        <f t="shared" si="39"/>
        <v>#REF!</v>
      </c>
      <c r="X90" s="35" t="e">
        <f t="shared" si="39"/>
        <v>#REF!</v>
      </c>
      <c r="Y90" s="35" t="e">
        <f t="shared" si="39"/>
        <v>#REF!</v>
      </c>
      <c r="Z90" s="35" t="e">
        <f t="shared" si="39"/>
        <v>#REF!</v>
      </c>
      <c r="AA90" s="35" t="e">
        <f t="shared" si="39"/>
        <v>#REF!</v>
      </c>
      <c r="AB90" s="35" t="e">
        <f t="shared" si="39"/>
        <v>#REF!</v>
      </c>
    </row>
    <row r="91" spans="1:35">
      <c r="A91" s="2" t="s">
        <v>220</v>
      </c>
      <c r="C91" s="2">
        <v>5000</v>
      </c>
      <c r="D91" s="2">
        <v>25000</v>
      </c>
      <c r="F91" s="2">
        <v>10000</v>
      </c>
      <c r="G91" s="2">
        <v>25000</v>
      </c>
      <c r="H91" s="2">
        <v>0</v>
      </c>
      <c r="I91" s="2">
        <v>20000</v>
      </c>
      <c r="K91" s="2">
        <v>15000</v>
      </c>
      <c r="L91" s="2">
        <v>5000</v>
      </c>
      <c r="M91" s="2">
        <v>15000</v>
      </c>
      <c r="N91" s="2">
        <v>25000</v>
      </c>
      <c r="P91" s="2">
        <v>25000</v>
      </c>
      <c r="Q91" s="2">
        <v>25000</v>
      </c>
      <c r="R91" s="2">
        <v>25000</v>
      </c>
      <c r="S91" s="2">
        <v>25000</v>
      </c>
      <c r="T91" s="2">
        <v>20000</v>
      </c>
      <c r="V91" s="2">
        <v>25000</v>
      </c>
      <c r="X91" s="2">
        <v>20000</v>
      </c>
      <c r="Y91" s="2">
        <v>25000</v>
      </c>
      <c r="Z91" s="2">
        <v>25000</v>
      </c>
      <c r="AA91" s="2">
        <v>25000</v>
      </c>
      <c r="AB91" s="2">
        <v>15000</v>
      </c>
    </row>
    <row r="92" spans="1:35">
      <c r="A92" s="7" t="s">
        <v>221</v>
      </c>
      <c r="B92" s="7"/>
      <c r="C92" s="36" t="e">
        <f>B89-C90+C91</f>
        <v>#REF!</v>
      </c>
      <c r="D92" s="36" t="e">
        <f t="shared" ref="D92:AB92" si="40">C92-D90+D91</f>
        <v>#REF!</v>
      </c>
      <c r="E92" s="36" t="e">
        <f t="shared" si="40"/>
        <v>#REF!</v>
      </c>
      <c r="F92" s="36" t="e">
        <f t="shared" si="40"/>
        <v>#REF!</v>
      </c>
      <c r="G92" s="36" t="e">
        <f t="shared" si="40"/>
        <v>#REF!</v>
      </c>
      <c r="H92" s="36" t="e">
        <f t="shared" si="40"/>
        <v>#REF!</v>
      </c>
      <c r="I92" s="36" t="e">
        <f t="shared" si="40"/>
        <v>#REF!</v>
      </c>
      <c r="J92" s="36" t="e">
        <f t="shared" si="40"/>
        <v>#REF!</v>
      </c>
      <c r="K92" s="36" t="e">
        <f t="shared" si="40"/>
        <v>#REF!</v>
      </c>
      <c r="L92" s="36" t="e">
        <f t="shared" si="40"/>
        <v>#REF!</v>
      </c>
      <c r="M92" s="36" t="e">
        <f t="shared" si="40"/>
        <v>#REF!</v>
      </c>
      <c r="N92" s="36" t="e">
        <f t="shared" si="40"/>
        <v>#REF!</v>
      </c>
      <c r="O92" s="36" t="e">
        <f t="shared" si="40"/>
        <v>#REF!</v>
      </c>
      <c r="P92" s="36" t="e">
        <f t="shared" si="40"/>
        <v>#REF!</v>
      </c>
      <c r="Q92" s="36" t="e">
        <f t="shared" si="40"/>
        <v>#REF!</v>
      </c>
      <c r="R92" s="36" t="e">
        <f t="shared" si="40"/>
        <v>#REF!</v>
      </c>
      <c r="S92" s="36" t="e">
        <f t="shared" si="40"/>
        <v>#REF!</v>
      </c>
      <c r="T92" s="36" t="e">
        <f t="shared" si="40"/>
        <v>#REF!</v>
      </c>
      <c r="U92" s="36" t="e">
        <f t="shared" si="40"/>
        <v>#REF!</v>
      </c>
      <c r="V92" s="36" t="e">
        <f t="shared" si="40"/>
        <v>#REF!</v>
      </c>
      <c r="W92" s="36" t="e">
        <f t="shared" si="40"/>
        <v>#REF!</v>
      </c>
      <c r="X92" s="36" t="e">
        <f t="shared" si="40"/>
        <v>#REF!</v>
      </c>
      <c r="Y92" s="36" t="e">
        <f t="shared" si="40"/>
        <v>#REF!</v>
      </c>
      <c r="Z92" s="36" t="e">
        <f t="shared" si="40"/>
        <v>#REF!</v>
      </c>
      <c r="AA92" s="36" t="e">
        <f t="shared" si="40"/>
        <v>#REF!</v>
      </c>
      <c r="AB92" s="36" t="e">
        <f t="shared" si="40"/>
        <v>#REF!</v>
      </c>
      <c r="AC92" s="35"/>
      <c r="AD92" s="35"/>
      <c r="AE92" s="35"/>
      <c r="AF92" s="35"/>
      <c r="AG92" s="35"/>
      <c r="AH92" s="35"/>
      <c r="AI92" s="35"/>
    </row>
    <row r="93" spans="1:35">
      <c r="A93" s="2" t="s">
        <v>222</v>
      </c>
      <c r="C93" s="34">
        <f t="shared" ref="C93:AB93" si="41">C91*$B$69</f>
        <v>1400.0000000000002</v>
      </c>
      <c r="D93" s="34">
        <f t="shared" si="41"/>
        <v>7000.0000000000009</v>
      </c>
      <c r="E93" s="34">
        <f t="shared" si="41"/>
        <v>0</v>
      </c>
      <c r="F93" s="34">
        <f t="shared" si="41"/>
        <v>2800.0000000000005</v>
      </c>
      <c r="G93" s="34">
        <f t="shared" si="41"/>
        <v>7000.0000000000009</v>
      </c>
      <c r="H93" s="34">
        <f t="shared" si="41"/>
        <v>0</v>
      </c>
      <c r="I93" s="34">
        <f t="shared" si="41"/>
        <v>5600.0000000000009</v>
      </c>
      <c r="J93" s="34">
        <f t="shared" si="41"/>
        <v>0</v>
      </c>
      <c r="K93" s="34">
        <f t="shared" si="41"/>
        <v>4200</v>
      </c>
      <c r="L93" s="34">
        <f t="shared" si="41"/>
        <v>1400.0000000000002</v>
      </c>
      <c r="M93" s="34">
        <f t="shared" si="41"/>
        <v>4200</v>
      </c>
      <c r="N93" s="34">
        <f t="shared" si="41"/>
        <v>7000.0000000000009</v>
      </c>
      <c r="O93" s="34">
        <f t="shared" si="41"/>
        <v>0</v>
      </c>
      <c r="P93" s="34">
        <f t="shared" si="41"/>
        <v>7000.0000000000009</v>
      </c>
      <c r="Q93" s="34">
        <f t="shared" si="41"/>
        <v>7000.0000000000009</v>
      </c>
      <c r="R93" s="34">
        <f t="shared" si="41"/>
        <v>7000.0000000000009</v>
      </c>
      <c r="S93" s="34">
        <f t="shared" si="41"/>
        <v>7000.0000000000009</v>
      </c>
      <c r="T93" s="34">
        <f t="shared" si="41"/>
        <v>5600.0000000000009</v>
      </c>
      <c r="U93" s="34">
        <f t="shared" si="41"/>
        <v>0</v>
      </c>
      <c r="V93" s="34">
        <f t="shared" si="41"/>
        <v>7000.0000000000009</v>
      </c>
      <c r="W93" s="34">
        <f t="shared" si="41"/>
        <v>0</v>
      </c>
      <c r="X93" s="34">
        <f t="shared" si="41"/>
        <v>5600.0000000000009</v>
      </c>
      <c r="Y93" s="34">
        <f t="shared" si="41"/>
        <v>7000.0000000000009</v>
      </c>
      <c r="Z93" s="34">
        <f t="shared" si="41"/>
        <v>7000.0000000000009</v>
      </c>
      <c r="AA93" s="34">
        <f t="shared" si="41"/>
        <v>7000.0000000000009</v>
      </c>
      <c r="AB93" s="34">
        <f t="shared" si="41"/>
        <v>4200</v>
      </c>
      <c r="AC93" s="2">
        <f>SUM(C93:AB93)</f>
        <v>112000</v>
      </c>
    </row>
    <row r="95" spans="1:35">
      <c r="A95" s="2" t="s">
        <v>225</v>
      </c>
    </row>
    <row r="96" spans="1:35">
      <c r="A96" s="11" t="s">
        <v>218</v>
      </c>
      <c r="B96" s="11">
        <v>25000</v>
      </c>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spans="1:29">
      <c r="A97" s="2" t="s">
        <v>226</v>
      </c>
      <c r="C97" s="35">
        <f t="shared" ref="C97:AB97" si="42">C34/$F$21*$C$21+C35/$F$22*$C$22+C36/$F$23*$C$23+C37/$F$24*$C$24+C38/$F$25*$C$25+C39/$F$26*$C$26</f>
        <v>22686</v>
      </c>
      <c r="D97" s="35">
        <f t="shared" si="42"/>
        <v>22686</v>
      </c>
      <c r="E97" s="35">
        <f t="shared" si="42"/>
        <v>22830</v>
      </c>
      <c r="F97" s="35">
        <f t="shared" si="42"/>
        <v>21240</v>
      </c>
      <c r="G97" s="35">
        <f t="shared" si="42"/>
        <v>21240</v>
      </c>
      <c r="H97" s="35">
        <f t="shared" si="42"/>
        <v>2466</v>
      </c>
      <c r="I97" s="35">
        <f t="shared" si="42"/>
        <v>306</v>
      </c>
      <c r="J97" s="35">
        <f t="shared" si="42"/>
        <v>306</v>
      </c>
      <c r="K97" s="35">
        <f t="shared" si="42"/>
        <v>270</v>
      </c>
      <c r="L97" s="35">
        <f t="shared" si="42"/>
        <v>270</v>
      </c>
      <c r="M97" s="35">
        <f t="shared" si="42"/>
        <v>5414.7785378445205</v>
      </c>
      <c r="N97" s="35">
        <f t="shared" si="42"/>
        <v>5414.7785378445205</v>
      </c>
      <c r="O97" s="35">
        <f t="shared" si="42"/>
        <v>5414.7785378445205</v>
      </c>
      <c r="P97" s="35">
        <f t="shared" si="42"/>
        <v>5414.7785378445205</v>
      </c>
      <c r="Q97" s="35">
        <f t="shared" si="42"/>
        <v>5414.7785378445205</v>
      </c>
      <c r="R97" s="35">
        <f t="shared" si="42"/>
        <v>5414.7785378445205</v>
      </c>
      <c r="S97" s="35">
        <f t="shared" si="42"/>
        <v>5414.7785378445205</v>
      </c>
      <c r="T97" s="35">
        <f t="shared" si="42"/>
        <v>270</v>
      </c>
      <c r="U97" s="35">
        <f t="shared" si="42"/>
        <v>270</v>
      </c>
      <c r="V97" s="35">
        <f t="shared" si="42"/>
        <v>270</v>
      </c>
      <c r="W97" s="35">
        <f t="shared" si="42"/>
        <v>270</v>
      </c>
      <c r="X97" s="35">
        <f t="shared" si="42"/>
        <v>270</v>
      </c>
      <c r="Y97" s="35">
        <f t="shared" si="42"/>
        <v>270</v>
      </c>
      <c r="Z97" s="35">
        <f t="shared" si="42"/>
        <v>270</v>
      </c>
      <c r="AA97" s="35">
        <f t="shared" si="42"/>
        <v>270</v>
      </c>
      <c r="AB97" s="35">
        <f t="shared" si="42"/>
        <v>270</v>
      </c>
    </row>
    <row r="98" spans="1:29">
      <c r="A98" s="2" t="s">
        <v>220</v>
      </c>
      <c r="D98" s="2">
        <v>25000</v>
      </c>
      <c r="E98" s="2">
        <v>25000</v>
      </c>
      <c r="F98" s="2">
        <v>25000</v>
      </c>
      <c r="G98" s="2">
        <v>25000</v>
      </c>
      <c r="N98" s="2">
        <v>25000</v>
      </c>
      <c r="R98" s="2">
        <v>25000</v>
      </c>
    </row>
    <row r="99" spans="1:29">
      <c r="A99" s="7" t="s">
        <v>221</v>
      </c>
      <c r="B99" s="7"/>
      <c r="C99" s="7">
        <f>B96-C97+C98</f>
        <v>2314</v>
      </c>
      <c r="D99" s="7">
        <f t="shared" ref="D99:AB99" si="43">C99-D97+D98</f>
        <v>4628</v>
      </c>
      <c r="E99" s="7">
        <f t="shared" si="43"/>
        <v>6798</v>
      </c>
      <c r="F99" s="7">
        <f t="shared" si="43"/>
        <v>10558</v>
      </c>
      <c r="G99" s="7">
        <f t="shared" si="43"/>
        <v>14318</v>
      </c>
      <c r="H99" s="7">
        <f t="shared" si="43"/>
        <v>11852</v>
      </c>
      <c r="I99" s="7">
        <f t="shared" si="43"/>
        <v>11546</v>
      </c>
      <c r="J99" s="7">
        <f t="shared" si="43"/>
        <v>11240</v>
      </c>
      <c r="K99" s="7">
        <f t="shared" si="43"/>
        <v>10970</v>
      </c>
      <c r="L99" s="7">
        <f t="shared" si="43"/>
        <v>10700</v>
      </c>
      <c r="M99" s="36">
        <f t="shared" si="43"/>
        <v>5285.2214621554795</v>
      </c>
      <c r="N99" s="36">
        <f t="shared" si="43"/>
        <v>24870.442924310959</v>
      </c>
      <c r="O99" s="36">
        <f t="shared" si="43"/>
        <v>19455.664386466437</v>
      </c>
      <c r="P99" s="36">
        <f t="shared" si="43"/>
        <v>14040.885848621916</v>
      </c>
      <c r="Q99" s="36">
        <f t="shared" si="43"/>
        <v>8626.1073107773955</v>
      </c>
      <c r="R99" s="36">
        <f t="shared" si="43"/>
        <v>28211.328772932873</v>
      </c>
      <c r="S99" s="36">
        <f t="shared" si="43"/>
        <v>22796.550235088354</v>
      </c>
      <c r="T99" s="36">
        <f t="shared" si="43"/>
        <v>22526.550235088354</v>
      </c>
      <c r="U99" s="36">
        <f t="shared" si="43"/>
        <v>22256.550235088354</v>
      </c>
      <c r="V99" s="36">
        <f t="shared" si="43"/>
        <v>21986.550235088354</v>
      </c>
      <c r="W99" s="36">
        <f t="shared" si="43"/>
        <v>21716.550235088354</v>
      </c>
      <c r="X99" s="36">
        <f t="shared" si="43"/>
        <v>21446.550235088354</v>
      </c>
      <c r="Y99" s="36">
        <f t="shared" si="43"/>
        <v>21176.550235088354</v>
      </c>
      <c r="Z99" s="36">
        <f t="shared" si="43"/>
        <v>20906.550235088354</v>
      </c>
      <c r="AA99" s="36">
        <f t="shared" si="43"/>
        <v>20636.550235088354</v>
      </c>
      <c r="AB99" s="36">
        <f t="shared" si="43"/>
        <v>20366.550235088354</v>
      </c>
    </row>
    <row r="100" spans="1:29">
      <c r="A100" s="2" t="s">
        <v>222</v>
      </c>
      <c r="C100" s="34">
        <f t="shared" ref="C100:AB100" si="44">C98*$C$31</f>
        <v>0</v>
      </c>
      <c r="D100" s="34">
        <f t="shared" si="44"/>
        <v>10650</v>
      </c>
      <c r="E100" s="34">
        <f t="shared" si="44"/>
        <v>10650</v>
      </c>
      <c r="F100" s="34">
        <f t="shared" si="44"/>
        <v>10650</v>
      </c>
      <c r="G100" s="34">
        <f t="shared" si="44"/>
        <v>10650</v>
      </c>
      <c r="H100" s="34">
        <f t="shared" si="44"/>
        <v>0</v>
      </c>
      <c r="I100" s="34">
        <f t="shared" si="44"/>
        <v>0</v>
      </c>
      <c r="J100" s="34">
        <f t="shared" si="44"/>
        <v>0</v>
      </c>
      <c r="K100" s="34">
        <f t="shared" si="44"/>
        <v>0</v>
      </c>
      <c r="L100" s="34">
        <f t="shared" si="44"/>
        <v>0</v>
      </c>
      <c r="M100" s="34">
        <f t="shared" si="44"/>
        <v>0</v>
      </c>
      <c r="N100" s="34">
        <f t="shared" si="44"/>
        <v>10650</v>
      </c>
      <c r="O100" s="34">
        <f t="shared" si="44"/>
        <v>0</v>
      </c>
      <c r="P100" s="34">
        <f t="shared" si="44"/>
        <v>0</v>
      </c>
      <c r="Q100" s="34">
        <f t="shared" si="44"/>
        <v>0</v>
      </c>
      <c r="R100" s="34">
        <f t="shared" si="44"/>
        <v>10650</v>
      </c>
      <c r="S100" s="34">
        <f t="shared" si="44"/>
        <v>0</v>
      </c>
      <c r="T100" s="34">
        <f t="shared" si="44"/>
        <v>0</v>
      </c>
      <c r="U100" s="34">
        <f t="shared" si="44"/>
        <v>0</v>
      </c>
      <c r="V100" s="34">
        <f t="shared" si="44"/>
        <v>0</v>
      </c>
      <c r="W100" s="34">
        <f t="shared" si="44"/>
        <v>0</v>
      </c>
      <c r="X100" s="34">
        <f t="shared" si="44"/>
        <v>0</v>
      </c>
      <c r="Y100" s="34">
        <f t="shared" si="44"/>
        <v>0</v>
      </c>
      <c r="Z100" s="34">
        <f t="shared" si="44"/>
        <v>0</v>
      </c>
      <c r="AA100" s="34">
        <f t="shared" si="44"/>
        <v>0</v>
      </c>
      <c r="AB100" s="34">
        <f t="shared" si="44"/>
        <v>0</v>
      </c>
      <c r="AC100" s="2">
        <f>SUM(C100:AB100)</f>
        <v>63900</v>
      </c>
    </row>
    <row r="102" spans="1:29">
      <c r="A102" s="2" t="s">
        <v>227</v>
      </c>
    </row>
    <row r="103" spans="1:29">
      <c r="A103" s="11" t="s">
        <v>228</v>
      </c>
      <c r="B103" s="11">
        <f>400*222</f>
        <v>88800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spans="1:29">
      <c r="A104" s="2" t="s">
        <v>229</v>
      </c>
      <c r="C104" s="35">
        <f t="shared" ref="C104:AB104" si="45">C34/$F$21*$D$21+C35/$F$22*$D$22+C36/$F$23*$D$23+C37/$F$24*$D$24+C38/$F$25*$D25+C39/$F$26*$D$26</f>
        <v>56757.899999999994</v>
      </c>
      <c r="D104" s="35">
        <f t="shared" si="45"/>
        <v>56757.899999999994</v>
      </c>
      <c r="E104" s="35">
        <f t="shared" si="45"/>
        <v>56376.899999999994</v>
      </c>
      <c r="F104" s="35">
        <f t="shared" si="45"/>
        <v>45246.899999999994</v>
      </c>
      <c r="G104" s="35">
        <f t="shared" si="45"/>
        <v>45246.899999999994</v>
      </c>
      <c r="H104" s="35">
        <f t="shared" si="45"/>
        <v>89.999999999999986</v>
      </c>
      <c r="I104" s="35">
        <f t="shared" si="45"/>
        <v>89.999999999999986</v>
      </c>
      <c r="J104" s="35">
        <f t="shared" si="45"/>
        <v>89.999999999999986</v>
      </c>
      <c r="K104" s="35">
        <f t="shared" si="45"/>
        <v>0</v>
      </c>
      <c r="L104" s="35">
        <f t="shared" si="45"/>
        <v>0</v>
      </c>
      <c r="M104" s="35">
        <f t="shared" si="45"/>
        <v>12297.790202542976</v>
      </c>
      <c r="N104" s="35">
        <f t="shared" si="45"/>
        <v>12297.790202542976</v>
      </c>
      <c r="O104" s="35">
        <f t="shared" si="45"/>
        <v>12297.790202542976</v>
      </c>
      <c r="P104" s="35">
        <f t="shared" si="45"/>
        <v>12297.790202542976</v>
      </c>
      <c r="Q104" s="35">
        <f t="shared" si="45"/>
        <v>12297.790202542976</v>
      </c>
      <c r="R104" s="35">
        <f t="shared" si="45"/>
        <v>12297.790202542976</v>
      </c>
      <c r="S104" s="35">
        <f t="shared" si="45"/>
        <v>12297.790202542976</v>
      </c>
      <c r="T104" s="35">
        <f t="shared" si="45"/>
        <v>0</v>
      </c>
      <c r="U104" s="35">
        <f t="shared" si="45"/>
        <v>0</v>
      </c>
      <c r="V104" s="35">
        <f t="shared" si="45"/>
        <v>0</v>
      </c>
      <c r="W104" s="35">
        <f t="shared" si="45"/>
        <v>0</v>
      </c>
      <c r="X104" s="35">
        <f t="shared" si="45"/>
        <v>0</v>
      </c>
      <c r="Y104" s="35">
        <f t="shared" si="45"/>
        <v>0</v>
      </c>
      <c r="Z104" s="35">
        <f t="shared" si="45"/>
        <v>0</v>
      </c>
      <c r="AA104" s="35">
        <f t="shared" si="45"/>
        <v>0</v>
      </c>
      <c r="AB104" s="35">
        <f t="shared" si="45"/>
        <v>0</v>
      </c>
    </row>
    <row r="105" spans="1:29">
      <c r="A105" s="2" t="s">
        <v>230</v>
      </c>
      <c r="G105" s="2">
        <v>25000</v>
      </c>
      <c r="O105" s="2">
        <f>20000*2</f>
        <v>40000</v>
      </c>
    </row>
    <row r="106" spans="1:29">
      <c r="A106" s="7" t="s">
        <v>231</v>
      </c>
      <c r="B106" s="7"/>
      <c r="C106" s="36">
        <f>B103-C104+C105</f>
        <v>32042.100000000006</v>
      </c>
      <c r="D106" s="36">
        <f t="shared" ref="D106:AB106" si="46">C106-D104+D105</f>
        <v>-24715.799999999988</v>
      </c>
      <c r="E106" s="36">
        <f t="shared" si="46"/>
        <v>-81092.699999999983</v>
      </c>
      <c r="F106" s="36">
        <f t="shared" si="46"/>
        <v>-126339.59999999998</v>
      </c>
      <c r="G106" s="36">
        <f t="shared" si="46"/>
        <v>-146586.49999999997</v>
      </c>
      <c r="H106" s="36">
        <f t="shared" si="46"/>
        <v>-146676.49999999997</v>
      </c>
      <c r="I106" s="36">
        <f t="shared" si="46"/>
        <v>-146766.49999999997</v>
      </c>
      <c r="J106" s="36">
        <f t="shared" si="46"/>
        <v>-146856.49999999997</v>
      </c>
      <c r="K106" s="36">
        <f t="shared" si="46"/>
        <v>-146856.49999999997</v>
      </c>
      <c r="L106" s="36">
        <f t="shared" si="46"/>
        <v>-146856.49999999997</v>
      </c>
      <c r="M106" s="36">
        <f t="shared" si="46"/>
        <v>-159154.29020254294</v>
      </c>
      <c r="N106" s="36">
        <f t="shared" si="46"/>
        <v>-171452.0804050859</v>
      </c>
      <c r="O106" s="36">
        <f t="shared" si="46"/>
        <v>-143749.87060762887</v>
      </c>
      <c r="P106" s="36">
        <f t="shared" si="46"/>
        <v>-156047.66081017183</v>
      </c>
      <c r="Q106" s="36">
        <f t="shared" si="46"/>
        <v>-168345.4510127148</v>
      </c>
      <c r="R106" s="36">
        <f t="shared" si="46"/>
        <v>-180643.24121525776</v>
      </c>
      <c r="S106" s="36">
        <f t="shared" si="46"/>
        <v>-192941.03141780072</v>
      </c>
      <c r="T106" s="36">
        <f t="shared" si="46"/>
        <v>-192941.03141780072</v>
      </c>
      <c r="U106" s="36">
        <f t="shared" si="46"/>
        <v>-192941.03141780072</v>
      </c>
      <c r="V106" s="36">
        <f t="shared" si="46"/>
        <v>-192941.03141780072</v>
      </c>
      <c r="W106" s="36">
        <f t="shared" si="46"/>
        <v>-192941.03141780072</v>
      </c>
      <c r="X106" s="36">
        <f t="shared" si="46"/>
        <v>-192941.03141780072</v>
      </c>
      <c r="Y106" s="36">
        <f t="shared" si="46"/>
        <v>-192941.03141780072</v>
      </c>
      <c r="Z106" s="36">
        <f t="shared" si="46"/>
        <v>-192941.03141780072</v>
      </c>
      <c r="AA106" s="36">
        <f t="shared" si="46"/>
        <v>-192941.03141780072</v>
      </c>
      <c r="AB106" s="36">
        <f t="shared" si="46"/>
        <v>-192941.03141780072</v>
      </c>
    </row>
    <row r="107" spans="1:29">
      <c r="A107" s="2" t="s">
        <v>222</v>
      </c>
      <c r="C107" s="34">
        <f t="shared" ref="C107:AB107" si="47">C105*$D$31</f>
        <v>0</v>
      </c>
      <c r="D107" s="34">
        <f t="shared" si="47"/>
        <v>0</v>
      </c>
      <c r="E107" s="34">
        <f t="shared" si="47"/>
        <v>0</v>
      </c>
      <c r="F107" s="34">
        <f t="shared" si="47"/>
        <v>0</v>
      </c>
      <c r="G107" s="34">
        <f t="shared" si="47"/>
        <v>2500</v>
      </c>
      <c r="H107" s="34">
        <f t="shared" si="47"/>
        <v>0</v>
      </c>
      <c r="I107" s="34">
        <f t="shared" si="47"/>
        <v>0</v>
      </c>
      <c r="J107" s="34">
        <f t="shared" si="47"/>
        <v>0</v>
      </c>
      <c r="K107" s="34">
        <f t="shared" si="47"/>
        <v>0</v>
      </c>
      <c r="L107" s="34">
        <f t="shared" si="47"/>
        <v>0</v>
      </c>
      <c r="M107" s="34">
        <f t="shared" si="47"/>
        <v>0</v>
      </c>
      <c r="N107" s="34">
        <f t="shared" si="47"/>
        <v>0</v>
      </c>
      <c r="O107" s="34">
        <f t="shared" si="47"/>
        <v>4000</v>
      </c>
      <c r="P107" s="34">
        <f t="shared" si="47"/>
        <v>0</v>
      </c>
      <c r="Q107" s="34">
        <f t="shared" si="47"/>
        <v>0</v>
      </c>
      <c r="R107" s="34">
        <f t="shared" si="47"/>
        <v>0</v>
      </c>
      <c r="S107" s="34">
        <f t="shared" si="47"/>
        <v>0</v>
      </c>
      <c r="T107" s="34">
        <f t="shared" si="47"/>
        <v>0</v>
      </c>
      <c r="U107" s="34">
        <f t="shared" si="47"/>
        <v>0</v>
      </c>
      <c r="V107" s="34">
        <f t="shared" si="47"/>
        <v>0</v>
      </c>
      <c r="W107" s="34">
        <f t="shared" si="47"/>
        <v>0</v>
      </c>
      <c r="X107" s="34">
        <f t="shared" si="47"/>
        <v>0</v>
      </c>
      <c r="Y107" s="34">
        <f t="shared" si="47"/>
        <v>0</v>
      </c>
      <c r="Z107" s="34">
        <f t="shared" si="47"/>
        <v>0</v>
      </c>
      <c r="AA107" s="34">
        <f t="shared" si="47"/>
        <v>0</v>
      </c>
      <c r="AB107" s="34">
        <f t="shared" si="47"/>
        <v>0</v>
      </c>
      <c r="AC107" s="2">
        <f>SUM(C107:AB107)</f>
        <v>6500</v>
      </c>
    </row>
    <row r="109" spans="1:29">
      <c r="A109" s="2" t="s">
        <v>232</v>
      </c>
    </row>
    <row r="110" spans="1:29">
      <c r="A110" s="11" t="s">
        <v>228</v>
      </c>
      <c r="B110" s="11">
        <v>300</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spans="1:29">
      <c r="A111" s="2" t="s">
        <v>229</v>
      </c>
      <c r="C111" s="35">
        <f t="shared" ref="C111:AB111" si="48">C40/$M$27*$L$27</f>
        <v>0</v>
      </c>
      <c r="D111" s="35">
        <f t="shared" si="48"/>
        <v>449.99999999999994</v>
      </c>
      <c r="E111" s="35">
        <f t="shared" si="48"/>
        <v>585</v>
      </c>
      <c r="F111" s="35">
        <f t="shared" si="48"/>
        <v>929.99999999999989</v>
      </c>
      <c r="G111" s="35">
        <f t="shared" si="48"/>
        <v>795</v>
      </c>
      <c r="H111" s="35">
        <f t="shared" si="48"/>
        <v>795</v>
      </c>
      <c r="I111" s="35">
        <f t="shared" si="48"/>
        <v>720</v>
      </c>
      <c r="J111" s="35">
        <f t="shared" si="48"/>
        <v>795</v>
      </c>
      <c r="K111" s="35">
        <f t="shared" si="48"/>
        <v>795</v>
      </c>
      <c r="L111" s="35">
        <f t="shared" si="48"/>
        <v>795</v>
      </c>
      <c r="M111" s="35">
        <f t="shared" si="48"/>
        <v>795</v>
      </c>
      <c r="N111" s="35">
        <f t="shared" si="48"/>
        <v>795</v>
      </c>
      <c r="O111" s="35">
        <f t="shared" si="48"/>
        <v>795</v>
      </c>
      <c r="P111" s="35">
        <f t="shared" si="48"/>
        <v>795</v>
      </c>
      <c r="Q111" s="35">
        <f t="shared" si="48"/>
        <v>795</v>
      </c>
      <c r="R111" s="35">
        <f t="shared" si="48"/>
        <v>795</v>
      </c>
      <c r="S111" s="35">
        <f t="shared" si="48"/>
        <v>795</v>
      </c>
      <c r="T111" s="35">
        <f t="shared" si="48"/>
        <v>795</v>
      </c>
      <c r="U111" s="35">
        <f t="shared" si="48"/>
        <v>795</v>
      </c>
      <c r="V111" s="35">
        <f t="shared" si="48"/>
        <v>795</v>
      </c>
      <c r="W111" s="35">
        <f t="shared" si="48"/>
        <v>795</v>
      </c>
      <c r="X111" s="35">
        <f t="shared" si="48"/>
        <v>795</v>
      </c>
      <c r="Y111" s="35">
        <f t="shared" si="48"/>
        <v>795</v>
      </c>
      <c r="Z111" s="35">
        <f t="shared" si="48"/>
        <v>795</v>
      </c>
      <c r="AA111" s="35">
        <f t="shared" si="48"/>
        <v>795</v>
      </c>
      <c r="AB111" s="35">
        <f t="shared" si="48"/>
        <v>795</v>
      </c>
    </row>
    <row r="112" spans="1:29">
      <c r="A112" s="2" t="s">
        <v>230</v>
      </c>
      <c r="C112" s="2">
        <v>1000</v>
      </c>
      <c r="F112" s="2">
        <v>1000</v>
      </c>
      <c r="G112" s="2">
        <v>1000</v>
      </c>
      <c r="H112" s="2">
        <v>1000</v>
      </c>
      <c r="I112" s="2">
        <v>1000</v>
      </c>
      <c r="J112" s="2">
        <v>1500</v>
      </c>
      <c r="K112" s="2">
        <v>1500</v>
      </c>
      <c r="L112" s="2">
        <v>1000</v>
      </c>
      <c r="M112" s="2">
        <v>1000</v>
      </c>
      <c r="N112" s="2">
        <v>1000</v>
      </c>
      <c r="O112" s="2">
        <v>1000</v>
      </c>
      <c r="P112" s="2">
        <v>1000</v>
      </c>
      <c r="R112" s="2">
        <v>1000</v>
      </c>
      <c r="S112" s="2">
        <v>1000</v>
      </c>
      <c r="T112" s="2">
        <v>1500</v>
      </c>
      <c r="U112" s="2">
        <v>1500</v>
      </c>
      <c r="V112" s="2">
        <v>2000</v>
      </c>
      <c r="W112" s="2">
        <v>2000</v>
      </c>
      <c r="X112" s="2">
        <v>1500</v>
      </c>
      <c r="Y112" s="2">
        <v>1000</v>
      </c>
      <c r="Z112" s="2">
        <v>1000</v>
      </c>
      <c r="AA112" s="2">
        <v>500</v>
      </c>
    </row>
    <row r="113" spans="1:29">
      <c r="A113" s="7" t="s">
        <v>231</v>
      </c>
      <c r="B113" s="7"/>
      <c r="C113" s="36">
        <f>B110-C111+C112</f>
        <v>1300</v>
      </c>
      <c r="D113" s="36">
        <f t="shared" ref="D113:AB113" si="49">C113-D111+D112</f>
        <v>850</v>
      </c>
      <c r="E113" s="36">
        <f t="shared" si="49"/>
        <v>265</v>
      </c>
      <c r="F113" s="36">
        <f t="shared" si="49"/>
        <v>335.00000000000011</v>
      </c>
      <c r="G113" s="36">
        <f t="shared" si="49"/>
        <v>540.00000000000011</v>
      </c>
      <c r="H113" s="36">
        <f t="shared" si="49"/>
        <v>745.00000000000011</v>
      </c>
      <c r="I113" s="36">
        <f t="shared" si="49"/>
        <v>1025</v>
      </c>
      <c r="J113" s="36">
        <f t="shared" si="49"/>
        <v>1730</v>
      </c>
      <c r="K113" s="36">
        <f t="shared" si="49"/>
        <v>2435</v>
      </c>
      <c r="L113" s="36">
        <f t="shared" si="49"/>
        <v>2640</v>
      </c>
      <c r="M113" s="36">
        <f t="shared" si="49"/>
        <v>2845</v>
      </c>
      <c r="N113" s="36">
        <f t="shared" si="49"/>
        <v>3050</v>
      </c>
      <c r="O113" s="36">
        <f t="shared" si="49"/>
        <v>3255</v>
      </c>
      <c r="P113" s="36">
        <f t="shared" si="49"/>
        <v>3460</v>
      </c>
      <c r="Q113" s="36">
        <f t="shared" si="49"/>
        <v>2665</v>
      </c>
      <c r="R113" s="36">
        <f t="shared" si="49"/>
        <v>2870</v>
      </c>
      <c r="S113" s="36">
        <f t="shared" si="49"/>
        <v>3075</v>
      </c>
      <c r="T113" s="36">
        <f t="shared" si="49"/>
        <v>3780</v>
      </c>
      <c r="U113" s="36">
        <f t="shared" si="49"/>
        <v>4485</v>
      </c>
      <c r="V113" s="36">
        <f t="shared" si="49"/>
        <v>5690</v>
      </c>
      <c r="W113" s="36">
        <f t="shared" si="49"/>
        <v>6895</v>
      </c>
      <c r="X113" s="36">
        <f t="shared" si="49"/>
        <v>7600</v>
      </c>
      <c r="Y113" s="36">
        <f t="shared" si="49"/>
        <v>7805</v>
      </c>
      <c r="Z113" s="36">
        <f t="shared" si="49"/>
        <v>8010</v>
      </c>
      <c r="AA113" s="36">
        <f t="shared" si="49"/>
        <v>7715</v>
      </c>
      <c r="AB113" s="36">
        <f t="shared" si="49"/>
        <v>6920</v>
      </c>
    </row>
    <row r="114" spans="1:29">
      <c r="A114" s="2" t="s">
        <v>222</v>
      </c>
      <c r="C114" s="34">
        <f t="shared" ref="C114:AB114" si="50">C112*$L$31</f>
        <v>550</v>
      </c>
      <c r="D114" s="34">
        <f t="shared" si="50"/>
        <v>0</v>
      </c>
      <c r="E114" s="34">
        <f t="shared" si="50"/>
        <v>0</v>
      </c>
      <c r="F114" s="34">
        <f t="shared" si="50"/>
        <v>550</v>
      </c>
      <c r="G114" s="34">
        <f t="shared" si="50"/>
        <v>550</v>
      </c>
      <c r="H114" s="34">
        <f t="shared" si="50"/>
        <v>550</v>
      </c>
      <c r="I114" s="34">
        <f t="shared" si="50"/>
        <v>550</v>
      </c>
      <c r="J114" s="34">
        <f t="shared" si="50"/>
        <v>825.00000000000011</v>
      </c>
      <c r="K114" s="34">
        <f t="shared" si="50"/>
        <v>825.00000000000011</v>
      </c>
      <c r="L114" s="34">
        <f t="shared" si="50"/>
        <v>550</v>
      </c>
      <c r="M114" s="34">
        <f t="shared" si="50"/>
        <v>550</v>
      </c>
      <c r="N114" s="34">
        <f t="shared" si="50"/>
        <v>550</v>
      </c>
      <c r="O114" s="34">
        <f t="shared" si="50"/>
        <v>550</v>
      </c>
      <c r="P114" s="34">
        <f t="shared" si="50"/>
        <v>550</v>
      </c>
      <c r="Q114" s="34">
        <f t="shared" si="50"/>
        <v>0</v>
      </c>
      <c r="R114" s="34">
        <f t="shared" si="50"/>
        <v>550</v>
      </c>
      <c r="S114" s="34">
        <f t="shared" si="50"/>
        <v>550</v>
      </c>
      <c r="T114" s="34">
        <f t="shared" si="50"/>
        <v>825.00000000000011</v>
      </c>
      <c r="U114" s="34">
        <f t="shared" si="50"/>
        <v>825.00000000000011</v>
      </c>
      <c r="V114" s="34">
        <f t="shared" si="50"/>
        <v>1100</v>
      </c>
      <c r="W114" s="34">
        <f t="shared" si="50"/>
        <v>1100</v>
      </c>
      <c r="X114" s="34">
        <f t="shared" si="50"/>
        <v>825.00000000000011</v>
      </c>
      <c r="Y114" s="34">
        <f t="shared" si="50"/>
        <v>550</v>
      </c>
      <c r="Z114" s="34">
        <f t="shared" si="50"/>
        <v>550</v>
      </c>
      <c r="AA114" s="34">
        <f t="shared" si="50"/>
        <v>275</v>
      </c>
      <c r="AB114" s="34">
        <f t="shared" si="50"/>
        <v>0</v>
      </c>
      <c r="AC114" s="2">
        <f>SUM(C114:AB114)</f>
        <v>14300</v>
      </c>
    </row>
    <row r="116" spans="1:29">
      <c r="A116" s="2" t="s">
        <v>233</v>
      </c>
    </row>
    <row r="117" spans="1:29">
      <c r="A117" s="11" t="s">
        <v>228</v>
      </c>
      <c r="B117" s="11">
        <v>0</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spans="1:29">
      <c r="A118" s="2" t="s">
        <v>229</v>
      </c>
      <c r="C118" s="35">
        <f t="shared" ref="C118:AB118" si="51">C76/$M$64*$L$64</f>
        <v>0</v>
      </c>
      <c r="D118" s="35">
        <f t="shared" si="51"/>
        <v>1125</v>
      </c>
      <c r="E118" s="35">
        <f t="shared" si="51"/>
        <v>1125</v>
      </c>
      <c r="F118" s="35">
        <f t="shared" si="51"/>
        <v>1125</v>
      </c>
      <c r="G118" s="35">
        <f t="shared" si="51"/>
        <v>1125</v>
      </c>
      <c r="H118" s="35">
        <f t="shared" si="51"/>
        <v>0</v>
      </c>
      <c r="I118" s="35">
        <f t="shared" si="51"/>
        <v>0</v>
      </c>
      <c r="J118" s="35">
        <f t="shared" si="51"/>
        <v>0</v>
      </c>
      <c r="K118" s="35">
        <f t="shared" si="51"/>
        <v>0</v>
      </c>
      <c r="L118" s="35">
        <f t="shared" si="51"/>
        <v>0</v>
      </c>
      <c r="M118" s="35">
        <f t="shared" si="51"/>
        <v>0</v>
      </c>
      <c r="N118" s="35">
        <f t="shared" si="51"/>
        <v>0</v>
      </c>
      <c r="O118" s="35">
        <f t="shared" si="51"/>
        <v>0</v>
      </c>
      <c r="P118" s="35">
        <f t="shared" si="51"/>
        <v>1875</v>
      </c>
      <c r="Q118" s="35">
        <f t="shared" si="51"/>
        <v>1875</v>
      </c>
      <c r="R118" s="35">
        <f t="shared" si="51"/>
        <v>1875</v>
      </c>
      <c r="S118" s="35">
        <f t="shared" si="51"/>
        <v>1875</v>
      </c>
      <c r="T118" s="35">
        <f t="shared" si="51"/>
        <v>0</v>
      </c>
      <c r="U118" s="35">
        <f t="shared" si="51"/>
        <v>0</v>
      </c>
      <c r="V118" s="35">
        <f t="shared" si="51"/>
        <v>0</v>
      </c>
      <c r="W118" s="35">
        <f t="shared" si="51"/>
        <v>0</v>
      </c>
      <c r="X118" s="35">
        <f t="shared" si="51"/>
        <v>0</v>
      </c>
      <c r="Y118" s="35">
        <f t="shared" si="51"/>
        <v>0</v>
      </c>
      <c r="Z118" s="35">
        <f t="shared" si="51"/>
        <v>0</v>
      </c>
      <c r="AA118" s="35">
        <f t="shared" si="51"/>
        <v>0</v>
      </c>
      <c r="AB118" s="35">
        <f t="shared" si="51"/>
        <v>1875</v>
      </c>
    </row>
    <row r="119" spans="1:29">
      <c r="A119" s="2" t="s">
        <v>230</v>
      </c>
      <c r="C119" s="2">
        <v>0</v>
      </c>
      <c r="D119" s="2">
        <v>7500</v>
      </c>
      <c r="P119" s="2">
        <v>7500</v>
      </c>
      <c r="AB119" s="2">
        <v>7500</v>
      </c>
    </row>
    <row r="120" spans="1:29">
      <c r="A120" s="7" t="s">
        <v>231</v>
      </c>
      <c r="B120" s="7"/>
      <c r="C120" s="36">
        <f>B117-C118+C119</f>
        <v>0</v>
      </c>
      <c r="D120" s="36">
        <f t="shared" ref="D120:AB120" si="52">C120-D118+D119</f>
        <v>6375</v>
      </c>
      <c r="E120" s="36">
        <f t="shared" si="52"/>
        <v>5250</v>
      </c>
      <c r="F120" s="36">
        <f t="shared" si="52"/>
        <v>4125</v>
      </c>
      <c r="G120" s="36">
        <f t="shared" si="52"/>
        <v>3000</v>
      </c>
      <c r="H120" s="36">
        <f t="shared" si="52"/>
        <v>3000</v>
      </c>
      <c r="I120" s="36">
        <f t="shared" si="52"/>
        <v>3000</v>
      </c>
      <c r="J120" s="36">
        <f t="shared" si="52"/>
        <v>3000</v>
      </c>
      <c r="K120" s="36">
        <f t="shared" si="52"/>
        <v>3000</v>
      </c>
      <c r="L120" s="36">
        <f t="shared" si="52"/>
        <v>3000</v>
      </c>
      <c r="M120" s="36">
        <f t="shared" si="52"/>
        <v>3000</v>
      </c>
      <c r="N120" s="36">
        <f t="shared" si="52"/>
        <v>3000</v>
      </c>
      <c r="O120" s="36">
        <f t="shared" si="52"/>
        <v>3000</v>
      </c>
      <c r="P120" s="36">
        <f t="shared" si="52"/>
        <v>8625</v>
      </c>
      <c r="Q120" s="36">
        <f t="shared" si="52"/>
        <v>6750</v>
      </c>
      <c r="R120" s="36">
        <f t="shared" si="52"/>
        <v>4875</v>
      </c>
      <c r="S120" s="36">
        <f t="shared" si="52"/>
        <v>3000</v>
      </c>
      <c r="T120" s="36">
        <f t="shared" si="52"/>
        <v>3000</v>
      </c>
      <c r="U120" s="36">
        <f t="shared" si="52"/>
        <v>3000</v>
      </c>
      <c r="V120" s="36">
        <f t="shared" si="52"/>
        <v>3000</v>
      </c>
      <c r="W120" s="36">
        <f t="shared" si="52"/>
        <v>3000</v>
      </c>
      <c r="X120" s="36">
        <f t="shared" si="52"/>
        <v>3000</v>
      </c>
      <c r="Y120" s="36">
        <f t="shared" si="52"/>
        <v>3000</v>
      </c>
      <c r="Z120" s="36">
        <f t="shared" si="52"/>
        <v>3000</v>
      </c>
      <c r="AA120" s="36">
        <f t="shared" si="52"/>
        <v>3000</v>
      </c>
      <c r="AB120" s="36">
        <f t="shared" si="52"/>
        <v>8625</v>
      </c>
    </row>
    <row r="121" spans="1:29">
      <c r="A121" s="2" t="s">
        <v>222</v>
      </c>
      <c r="C121" s="34">
        <f t="shared" ref="C121:AB121" si="53">C119*$L$69</f>
        <v>0</v>
      </c>
      <c r="D121" s="39">
        <f t="shared" si="53"/>
        <v>3357.3214285714289</v>
      </c>
      <c r="E121" s="39">
        <f t="shared" si="53"/>
        <v>0</v>
      </c>
      <c r="F121" s="39">
        <f t="shared" si="53"/>
        <v>0</v>
      </c>
      <c r="G121" s="39">
        <f t="shared" si="53"/>
        <v>0</v>
      </c>
      <c r="H121" s="39">
        <f t="shared" si="53"/>
        <v>0</v>
      </c>
      <c r="I121" s="39">
        <f t="shared" si="53"/>
        <v>0</v>
      </c>
      <c r="J121" s="39">
        <f t="shared" si="53"/>
        <v>0</v>
      </c>
      <c r="K121" s="39">
        <f t="shared" si="53"/>
        <v>0</v>
      </c>
      <c r="L121" s="39">
        <f t="shared" si="53"/>
        <v>0</v>
      </c>
      <c r="M121" s="39">
        <f t="shared" si="53"/>
        <v>0</v>
      </c>
      <c r="N121" s="39">
        <f t="shared" si="53"/>
        <v>0</v>
      </c>
      <c r="O121" s="39">
        <f t="shared" si="53"/>
        <v>0</v>
      </c>
      <c r="P121" s="39">
        <f t="shared" si="53"/>
        <v>3357.3214285714289</v>
      </c>
      <c r="Q121" s="39">
        <f t="shared" si="53"/>
        <v>0</v>
      </c>
      <c r="R121" s="39">
        <f t="shared" si="53"/>
        <v>0</v>
      </c>
      <c r="S121" s="39">
        <f t="shared" si="53"/>
        <v>0</v>
      </c>
      <c r="T121" s="39">
        <f t="shared" si="53"/>
        <v>0</v>
      </c>
      <c r="U121" s="39">
        <f t="shared" si="53"/>
        <v>0</v>
      </c>
      <c r="V121" s="39">
        <f t="shared" si="53"/>
        <v>0</v>
      </c>
      <c r="W121" s="39">
        <f t="shared" si="53"/>
        <v>0</v>
      </c>
      <c r="X121" s="39">
        <f t="shared" si="53"/>
        <v>0</v>
      </c>
      <c r="Y121" s="39">
        <f t="shared" si="53"/>
        <v>0</v>
      </c>
      <c r="Z121" s="39">
        <f t="shared" si="53"/>
        <v>0</v>
      </c>
      <c r="AA121" s="39">
        <f t="shared" si="53"/>
        <v>0</v>
      </c>
      <c r="AB121" s="39">
        <f t="shared" si="53"/>
        <v>3357.3214285714289</v>
      </c>
      <c r="AC121" s="2">
        <f>SUM(C121:AB121)</f>
        <v>10071.964285714286</v>
      </c>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5B56-6D3B-4AF4-BD43-36B6B420FDC6}">
  <dimension ref="B2:P37"/>
  <sheetViews>
    <sheetView showGridLines="0" workbookViewId="0">
      <selection activeCell="H35" sqref="H35"/>
    </sheetView>
  </sheetViews>
  <sheetFormatPr baseColWidth="10" defaultColWidth="11.42578125" defaultRowHeight="15"/>
  <cols>
    <col min="2" max="2" width="37.140625" bestFit="1" customWidth="1"/>
    <col min="8" max="15" width="11.42578125" customWidth="1"/>
  </cols>
  <sheetData>
    <row r="2" spans="2:16">
      <c r="C2" t="s">
        <v>340</v>
      </c>
    </row>
    <row r="3" spans="2:16">
      <c r="C3" s="55" t="s">
        <v>341</v>
      </c>
      <c r="D3" s="55" t="s">
        <v>342</v>
      </c>
      <c r="E3" s="55" t="s">
        <v>343</v>
      </c>
      <c r="F3" s="55" t="s">
        <v>344</v>
      </c>
      <c r="K3" t="s">
        <v>345</v>
      </c>
    </row>
    <row r="4" spans="2:16">
      <c r="B4" s="89" t="s">
        <v>346</v>
      </c>
      <c r="C4" s="94">
        <f>SUM(C5:C6)</f>
        <v>234.58306281999998</v>
      </c>
      <c r="D4" s="94">
        <f>SUM(D5:D6)</f>
        <v>160.9443</v>
      </c>
      <c r="E4" s="94">
        <f>SUM(E5:E6)</f>
        <v>183.70760000000001</v>
      </c>
      <c r="F4" s="94">
        <f>SUM(F5:F6)</f>
        <v>311.82668000000001</v>
      </c>
      <c r="G4" s="94"/>
      <c r="K4" s="99" t="s">
        <v>341</v>
      </c>
      <c r="L4" s="99" t="s">
        <v>342</v>
      </c>
      <c r="M4" s="99" t="s">
        <v>343</v>
      </c>
      <c r="N4" s="99" t="s">
        <v>344</v>
      </c>
    </row>
    <row r="5" spans="2:16">
      <c r="B5" s="88" t="s">
        <v>347</v>
      </c>
      <c r="C5" s="95">
        <f>SUM('Alimento y ventas'!$C$305:$N$309)/1000</f>
        <v>156.39906281999998</v>
      </c>
      <c r="D5" s="95">
        <f>SUM('Alimento y ventas'!O305:Z309)/1000</f>
        <v>78.461500000000001</v>
      </c>
      <c r="E5" s="95">
        <f>SUM('Alimento y ventas'!AA305:AL309)/1000</f>
        <v>120.1396</v>
      </c>
      <c r="F5" s="95">
        <f>SUM('Alimento y ventas'!AM305:AX309)/1000</f>
        <v>168.53067999999999</v>
      </c>
      <c r="G5" s="95"/>
      <c r="J5" s="81" t="s">
        <v>16</v>
      </c>
      <c r="K5" s="87">
        <f>[1]Tesoreria!$CK$74/1000</f>
        <v>587.67997099427612</v>
      </c>
      <c r="L5" s="87">
        <f>[1]Tesoreria!$CY$74/1000</f>
        <v>526.20000000000005</v>
      </c>
      <c r="M5" s="87">
        <f>+L5</f>
        <v>526.20000000000005</v>
      </c>
      <c r="N5" s="87">
        <f>+M5</f>
        <v>526.20000000000005</v>
      </c>
    </row>
    <row r="6" spans="2:16">
      <c r="B6" s="88" t="s">
        <v>238</v>
      </c>
      <c r="C6" s="95">
        <f>SUM('Alimento y ventas'!$C$304:$N$304)/1000</f>
        <v>78.183999999999997</v>
      </c>
      <c r="D6" s="95">
        <f>SUM('Alimento y ventas'!O304:Z304)/1000</f>
        <v>82.482799999999997</v>
      </c>
      <c r="E6" s="95">
        <f>SUM('Alimento y ventas'!AA304:AL304)/1000</f>
        <v>63.567999999999998</v>
      </c>
      <c r="F6" s="95">
        <f>SUM('Alimento y ventas'!AM304:AX304)/1000</f>
        <v>143.29599999999999</v>
      </c>
      <c r="G6" s="95"/>
      <c r="J6" s="81" t="s">
        <v>17</v>
      </c>
      <c r="K6" s="87">
        <f>-[1]Tesoreria!$CK$126/1000</f>
        <v>0</v>
      </c>
      <c r="L6" s="87">
        <f>-[1]Tesoreria!$CY$126/1000</f>
        <v>0</v>
      </c>
      <c r="M6" s="87">
        <f>+L6</f>
        <v>0</v>
      </c>
      <c r="N6" s="87">
        <f>+M6</f>
        <v>0</v>
      </c>
    </row>
    <row r="7" spans="2:16">
      <c r="B7" s="89" t="s">
        <v>348</v>
      </c>
      <c r="C7" s="94">
        <f>-SUM('Alimento y ventas'!C299:N299)/1000</f>
        <v>-131.31246280000002</v>
      </c>
      <c r="D7" s="94">
        <f>-SUM('Alimento y ventas'!O299:Z299)/1000</f>
        <v>-112.625575</v>
      </c>
      <c r="E7" s="94">
        <f>-SUM('Alimento y ventas'!AA299:AL299)/1000</f>
        <v>-136.0125559</v>
      </c>
      <c r="F7" s="94">
        <f>-SUM('Alimento y ventas'!AM299:AX299)/1000</f>
        <v>-176.77038000000002</v>
      </c>
      <c r="G7" s="94"/>
      <c r="I7" s="54"/>
      <c r="J7" s="92" t="s">
        <v>349</v>
      </c>
      <c r="K7" s="93">
        <f>SUM(K5:K6)</f>
        <v>587.67997099427612</v>
      </c>
      <c r="L7" s="93">
        <f>SUM(L5:L6)</f>
        <v>526.20000000000005</v>
      </c>
      <c r="M7" s="93">
        <f>SUM(M5:M6)</f>
        <v>526.20000000000005</v>
      </c>
      <c r="N7" s="93">
        <f>SUM(N5:N6)</f>
        <v>526.20000000000005</v>
      </c>
      <c r="P7" s="87"/>
    </row>
    <row r="8" spans="2:16" hidden="1">
      <c r="B8" s="88" t="s">
        <v>347</v>
      </c>
      <c r="C8" s="96"/>
      <c r="D8" s="96"/>
      <c r="E8" s="96"/>
      <c r="F8" s="96"/>
      <c r="K8" s="87"/>
      <c r="L8" s="87"/>
    </row>
    <row r="9" spans="2:16" hidden="1">
      <c r="B9" s="88" t="s">
        <v>238</v>
      </c>
      <c r="C9" s="96"/>
      <c r="D9" s="96"/>
      <c r="E9" s="96"/>
      <c r="F9" s="96"/>
      <c r="K9" s="87"/>
      <c r="L9" s="87"/>
    </row>
    <row r="10" spans="2:16">
      <c r="B10" s="90" t="s">
        <v>350</v>
      </c>
      <c r="C10" s="97">
        <f>+C4+C7</f>
        <v>103.27060001999996</v>
      </c>
      <c r="D10" s="97">
        <f>+D4+D7</f>
        <v>48.318725000000001</v>
      </c>
      <c r="E10" s="97">
        <f>+E4+E7</f>
        <v>47.695044100000018</v>
      </c>
      <c r="F10" s="97">
        <f>+F4+F7</f>
        <v>135.05629999999999</v>
      </c>
      <c r="G10" s="94"/>
      <c r="J10" s="81" t="s">
        <v>351</v>
      </c>
      <c r="K10" s="87">
        <f>-[1]Tesoreria!$CK$137/1000</f>
        <v>0</v>
      </c>
      <c r="L10" s="87">
        <f>-[1]Tesoreria!$CY$137/1000</f>
        <v>0</v>
      </c>
      <c r="M10" s="87">
        <f t="shared" ref="M10:N16" si="0">+L10</f>
        <v>0</v>
      </c>
      <c r="N10" s="87">
        <f t="shared" si="0"/>
        <v>0</v>
      </c>
    </row>
    <row r="11" spans="2:16" hidden="1">
      <c r="B11" s="88" t="s">
        <v>347</v>
      </c>
      <c r="J11" s="81"/>
      <c r="K11" s="87"/>
      <c r="L11" s="87"/>
      <c r="M11" s="87">
        <f t="shared" si="0"/>
        <v>0</v>
      </c>
      <c r="N11" s="87">
        <f t="shared" si="0"/>
        <v>0</v>
      </c>
    </row>
    <row r="12" spans="2:16" hidden="1">
      <c r="B12" s="88" t="s">
        <v>238</v>
      </c>
      <c r="J12" s="81"/>
      <c r="K12" s="87"/>
      <c r="L12" s="87"/>
      <c r="M12" s="87">
        <f t="shared" si="0"/>
        <v>0</v>
      </c>
      <c r="N12" s="87">
        <f t="shared" si="0"/>
        <v>0</v>
      </c>
    </row>
    <row r="13" spans="2:16">
      <c r="B13" s="91" t="s">
        <v>352</v>
      </c>
      <c r="C13" s="100">
        <f>SUM('Ing y gtos'!AQ9:AQ14)/1000</f>
        <v>37.522850000000005</v>
      </c>
      <c r="D13" s="100">
        <f>SUM('Ing y gtos'!BG9:BG14)/1000</f>
        <v>37.822189999999999</v>
      </c>
      <c r="E13" s="100">
        <f>+D13</f>
        <v>37.822189999999999</v>
      </c>
      <c r="F13" s="100">
        <f>+E13</f>
        <v>37.822189999999999</v>
      </c>
      <c r="G13" s="87"/>
      <c r="J13" s="81" t="s">
        <v>353</v>
      </c>
      <c r="K13" s="87">
        <f>[1]Tesoreria!$CK$143/1000</f>
        <v>0</v>
      </c>
      <c r="L13" s="87">
        <f>[1]Tesoreria!$CY$143/1000</f>
        <v>0</v>
      </c>
      <c r="M13" s="87">
        <f t="shared" si="0"/>
        <v>0</v>
      </c>
      <c r="N13" s="87">
        <f t="shared" si="0"/>
        <v>0</v>
      </c>
    </row>
    <row r="14" spans="2:16">
      <c r="B14" s="89" t="s">
        <v>354</v>
      </c>
      <c r="C14" s="94">
        <f>+C10+C13</f>
        <v>140.79345001999997</v>
      </c>
      <c r="D14" s="94">
        <f>+D10+D13</f>
        <v>86.140915000000007</v>
      </c>
      <c r="E14" s="94">
        <f>+E10+E13</f>
        <v>85.517234100000024</v>
      </c>
      <c r="F14" s="94">
        <f>+F10+F13</f>
        <v>172.87849</v>
      </c>
      <c r="G14" s="94"/>
      <c r="J14" s="81" t="s">
        <v>355</v>
      </c>
      <c r="K14" s="87">
        <f>+[1]Tesoreria!$CK$146/1000</f>
        <v>0</v>
      </c>
      <c r="L14" s="87">
        <f>+[1]Tesoreria!$CY$146/1000</f>
        <v>0</v>
      </c>
      <c r="M14" s="87">
        <f t="shared" si="0"/>
        <v>0</v>
      </c>
      <c r="N14" s="87">
        <f t="shared" si="0"/>
        <v>0</v>
      </c>
    </row>
    <row r="15" spans="2:16">
      <c r="B15" s="81" t="s">
        <v>356</v>
      </c>
      <c r="C15" s="87">
        <f>-'Ing y gtos'!AQ33/1000</f>
        <v>-15.767023599999998</v>
      </c>
      <c r="D15" s="87">
        <f>-'Ing y gtos'!BG33/1000</f>
        <v>-10.893019999999998</v>
      </c>
      <c r="E15" s="87">
        <f t="shared" ref="E15:F17" si="1">+D15</f>
        <v>-10.893019999999998</v>
      </c>
      <c r="F15" s="87">
        <f t="shared" si="1"/>
        <v>-10.893019999999998</v>
      </c>
      <c r="J15" s="81" t="s">
        <v>357</v>
      </c>
      <c r="K15" s="87">
        <f>+[1]Tesoreria!$CK$149/1000</f>
        <v>0</v>
      </c>
      <c r="L15" s="87">
        <f>+[1]Tesoreria!$CY$149/1000</f>
        <v>0</v>
      </c>
      <c r="M15" s="87">
        <f t="shared" si="0"/>
        <v>0</v>
      </c>
      <c r="N15" s="87">
        <f t="shared" si="0"/>
        <v>0</v>
      </c>
    </row>
    <row r="16" spans="2:16">
      <c r="B16" s="81" t="s">
        <v>358</v>
      </c>
      <c r="C16" s="87">
        <f>-('Ing y gtos'!AQ54-'Ing y gtos'!AQ48)/1000</f>
        <v>-10.320367900000004</v>
      </c>
      <c r="D16" s="87">
        <f>-('Ing y gtos'!BG54-'Ing y gtos'!BG48)/1000</f>
        <v>-16.913349999999991</v>
      </c>
      <c r="E16" s="87">
        <f t="shared" si="1"/>
        <v>-16.913349999999991</v>
      </c>
      <c r="F16" s="87">
        <f t="shared" si="1"/>
        <v>-16.913349999999991</v>
      </c>
      <c r="G16" s="87"/>
      <c r="J16" s="81" t="s">
        <v>359</v>
      </c>
      <c r="K16" s="87">
        <f>+[1]Tesoreria!$CK$152/1000</f>
        <v>0</v>
      </c>
      <c r="L16" s="87">
        <f>+[1]Tesoreria!$CY$152/1000</f>
        <v>0</v>
      </c>
      <c r="M16" s="87">
        <f t="shared" si="0"/>
        <v>0</v>
      </c>
      <c r="N16" s="87">
        <f t="shared" si="0"/>
        <v>0</v>
      </c>
    </row>
    <row r="17" spans="2:14">
      <c r="B17" s="81" t="s">
        <v>360</v>
      </c>
      <c r="C17" s="87">
        <f>-SUM('Ing y gtos'!AE89:AP120)/1000</f>
        <v>-112.98815820000007</v>
      </c>
      <c r="D17" s="96">
        <f>-SUM('Ing y gtos'!AU89:BF120)/1000</f>
        <v>-97.963420000000056</v>
      </c>
      <c r="E17" s="96">
        <f t="shared" si="1"/>
        <v>-97.963420000000056</v>
      </c>
      <c r="F17" s="96">
        <f t="shared" si="1"/>
        <v>-97.963420000000056</v>
      </c>
      <c r="G17" s="96"/>
      <c r="J17" s="81" t="s">
        <v>361</v>
      </c>
      <c r="K17" s="87">
        <f>[1]Tesoreria!$CK$155/1000</f>
        <v>0</v>
      </c>
      <c r="L17" s="87">
        <f>[1]Tesoreria!$CY$155/1000</f>
        <v>0</v>
      </c>
      <c r="M17" s="56">
        <v>0</v>
      </c>
      <c r="N17" s="87">
        <f>+M17</f>
        <v>0</v>
      </c>
    </row>
    <row r="18" spans="2:14">
      <c r="B18" s="92" t="s">
        <v>362</v>
      </c>
      <c r="C18" s="93">
        <f>SUM(C14:C17)</f>
        <v>1.7179003199998846</v>
      </c>
      <c r="D18" s="93">
        <f>SUM(D14:D17)</f>
        <v>-39.628875000000036</v>
      </c>
      <c r="E18" s="93">
        <f>SUM(E14:E17)</f>
        <v>-40.252555900000019</v>
      </c>
      <c r="F18" s="93">
        <f>SUM(F14:F17)</f>
        <v>47.108699999999956</v>
      </c>
      <c r="G18" s="98"/>
      <c r="J18" s="92" t="s">
        <v>340</v>
      </c>
      <c r="K18" s="101">
        <f>[1]Tesoreria!$CK$164/1000</f>
        <v>0</v>
      </c>
      <c r="L18" s="102">
        <f>D18</f>
        <v>-39.628875000000036</v>
      </c>
      <c r="M18" s="102">
        <f>E18</f>
        <v>-40.252555900000019</v>
      </c>
      <c r="N18" s="102">
        <f>F18</f>
        <v>47.108699999999956</v>
      </c>
    </row>
    <row r="19" spans="2:14">
      <c r="B19" s="81" t="s">
        <v>363</v>
      </c>
      <c r="C19">
        <v>-27</v>
      </c>
      <c r="J19" s="81" t="s">
        <v>364</v>
      </c>
      <c r="K19">
        <f>[1]Tesoreria!$CK$167/1000</f>
        <v>0</v>
      </c>
      <c r="L19">
        <f>[1]Tesoreria!$CY$167/1000</f>
        <v>0</v>
      </c>
      <c r="M19">
        <v>0</v>
      </c>
      <c r="N19" s="87">
        <f t="shared" ref="N19:N30" si="2">+M19</f>
        <v>0</v>
      </c>
    </row>
    <row r="20" spans="2:14">
      <c r="B20" s="81" t="s">
        <v>365</v>
      </c>
      <c r="C20">
        <v>10</v>
      </c>
      <c r="J20" s="81" t="s">
        <v>366</v>
      </c>
      <c r="K20" s="87">
        <f>[1]Tesoreria!$CK$198/1000</f>
        <v>2.2770300000000003</v>
      </c>
      <c r="L20" s="87">
        <f>[1]Tesoreria!$CY$198/1000</f>
        <v>0</v>
      </c>
      <c r="M20">
        <v>0</v>
      </c>
      <c r="N20" s="87">
        <f t="shared" si="2"/>
        <v>0</v>
      </c>
    </row>
    <row r="21" spans="2:14">
      <c r="B21" s="89" t="s">
        <v>367</v>
      </c>
      <c r="C21" s="98">
        <f>SUM(C18:C20)</f>
        <v>-15.282099680000115</v>
      </c>
      <c r="J21" s="81" t="s">
        <v>368</v>
      </c>
      <c r="K21" s="87">
        <f>-[1]Tesoreria!$CK$209/1000</f>
        <v>0</v>
      </c>
      <c r="L21" s="87">
        <f>-[1]Tesoreria!$CY$209/1000</f>
        <v>0</v>
      </c>
      <c r="M21" s="56">
        <v>0</v>
      </c>
      <c r="N21" s="87">
        <f t="shared" si="2"/>
        <v>0</v>
      </c>
    </row>
    <row r="22" spans="2:14">
      <c r="J22" s="81" t="s">
        <v>369</v>
      </c>
      <c r="K22" s="87">
        <f>-[1]Tesoreria!$CK$236/1000</f>
        <v>20.361540000000002</v>
      </c>
      <c r="L22" s="87">
        <f>-[1]Tesoreria!$CY$236/1000</f>
        <v>0</v>
      </c>
      <c r="M22" s="87">
        <f t="shared" ref="M22:M30" si="3">+L22</f>
        <v>0</v>
      </c>
      <c r="N22" s="87">
        <f t="shared" si="2"/>
        <v>0</v>
      </c>
    </row>
    <row r="23" spans="2:14">
      <c r="J23" s="81" t="s">
        <v>370</v>
      </c>
      <c r="K23" s="96">
        <f>-[1]Tesoreria!CK245/1000</f>
        <v>0</v>
      </c>
      <c r="L23" s="96">
        <f>-[1]Tesoreria!CY245/1000</f>
        <v>0</v>
      </c>
      <c r="M23" s="87">
        <f t="shared" si="3"/>
        <v>0</v>
      </c>
      <c r="N23" s="87">
        <f t="shared" si="2"/>
        <v>0</v>
      </c>
    </row>
    <row r="24" spans="2:14">
      <c r="B24" t="s">
        <v>31</v>
      </c>
      <c r="J24" s="81" t="s">
        <v>371</v>
      </c>
      <c r="K24" s="96">
        <f>-[1]Tesoreria!CK246/1000</f>
        <v>0</v>
      </c>
      <c r="L24" s="96">
        <f>-[1]Tesoreria!CY246/1000</f>
        <v>0</v>
      </c>
      <c r="M24" s="87">
        <f t="shared" si="3"/>
        <v>0</v>
      </c>
      <c r="N24" s="87">
        <f t="shared" si="2"/>
        <v>0</v>
      </c>
    </row>
    <row r="25" spans="2:14">
      <c r="B25" t="s">
        <v>346</v>
      </c>
      <c r="C25" s="65">
        <f>SUM('Alimento y ventas'!C303:N303)/1000-C4</f>
        <v>0</v>
      </c>
      <c r="D25" s="65">
        <f>SUM('Alimento y ventas'!O303:Z303)/1000-D4</f>
        <v>0</v>
      </c>
      <c r="E25" s="65">
        <f>SUM('Alimento y ventas'!AA303:AL303)/1000-E4</f>
        <v>0</v>
      </c>
      <c r="F25" s="65">
        <f>SUM('Alimento y ventas'!AM303:AX303)/1000-F4</f>
        <v>0</v>
      </c>
      <c r="J25" s="81" t="s">
        <v>372</v>
      </c>
      <c r="K25" s="96">
        <f>-[1]Tesoreria!CK247/1000</f>
        <v>-9.4634499999999999</v>
      </c>
      <c r="L25" s="96">
        <f>-[1]Tesoreria!CY247/1000</f>
        <v>-8.8915199999999999</v>
      </c>
      <c r="M25" s="87">
        <f t="shared" si="3"/>
        <v>-8.8915199999999999</v>
      </c>
      <c r="N25" s="87">
        <f t="shared" si="2"/>
        <v>-8.8915199999999999</v>
      </c>
    </row>
    <row r="26" spans="2:14">
      <c r="J26" s="81" t="s">
        <v>373</v>
      </c>
      <c r="K26" s="96">
        <f>-([1]Tesoreria!$CK$251+[1]Tesoreria!$CK$254)/1000</f>
        <v>-124.89180000000002</v>
      </c>
      <c r="L26" s="96">
        <f>-([1]Tesoreria!$CY$251+[1]Tesoreria!$CY$254)/1000</f>
        <v>0</v>
      </c>
      <c r="M26" s="87">
        <f t="shared" si="3"/>
        <v>0</v>
      </c>
      <c r="N26" s="87">
        <f t="shared" si="2"/>
        <v>0</v>
      </c>
    </row>
    <row r="27" spans="2:14">
      <c r="C27" s="64">
        <v>76.5</v>
      </c>
      <c r="D27" t="s">
        <v>374</v>
      </c>
      <c r="J27" s="81" t="s">
        <v>375</v>
      </c>
      <c r="K27" s="96">
        <f>+[1]Tesoreria!$CK$259/1000</f>
        <v>0</v>
      </c>
      <c r="L27" s="96">
        <f>+[1]Tesoreria!$CY$259/1000</f>
        <v>0</v>
      </c>
      <c r="M27" s="87">
        <f t="shared" si="3"/>
        <v>0</v>
      </c>
      <c r="N27" s="87">
        <f t="shared" si="2"/>
        <v>0</v>
      </c>
    </row>
    <row r="28" spans="2:14">
      <c r="C28" s="64">
        <v>90.7</v>
      </c>
      <c r="D28" t="s">
        <v>376</v>
      </c>
      <c r="J28" s="81" t="s">
        <v>377</v>
      </c>
      <c r="K28" s="96">
        <f>+[1]Tesoreria!$CK$262/1000</f>
        <v>170.07924999999997</v>
      </c>
      <c r="L28" s="96">
        <f>+[1]Tesoreria!$CY$262/1000</f>
        <v>142.34620999999993</v>
      </c>
      <c r="M28" s="61">
        <v>0</v>
      </c>
      <c r="N28" s="87">
        <f t="shared" si="2"/>
        <v>0</v>
      </c>
    </row>
    <row r="29" spans="2:14">
      <c r="B29" t="s">
        <v>378</v>
      </c>
      <c r="J29" s="81" t="s">
        <v>379</v>
      </c>
      <c r="K29" s="96">
        <f>[1]Tesoreria!$CK$271/1000</f>
        <v>-4.34572</v>
      </c>
      <c r="L29" s="96">
        <f>[1]Tesoreria!$CY$271/1000</f>
        <v>-4.34572</v>
      </c>
      <c r="M29" s="87">
        <f t="shared" si="3"/>
        <v>-4.34572</v>
      </c>
      <c r="N29" s="87">
        <f t="shared" si="2"/>
        <v>-4.34572</v>
      </c>
    </row>
    <row r="30" spans="2:14">
      <c r="J30" s="81" t="s">
        <v>380</v>
      </c>
      <c r="K30" s="96">
        <f>[1]Tesoreria!$CK$274/1000</f>
        <v>474.83589000000001</v>
      </c>
      <c r="L30" s="96">
        <f>[1]Tesoreria!$CY$274/1000</f>
        <v>451.44226000000003</v>
      </c>
      <c r="M30" s="87">
        <f t="shared" si="3"/>
        <v>451.44226000000003</v>
      </c>
      <c r="N30" s="87">
        <f t="shared" si="2"/>
        <v>451.44226000000003</v>
      </c>
    </row>
    <row r="31" spans="2:14">
      <c r="J31" s="89" t="s">
        <v>381</v>
      </c>
      <c r="K31" s="98">
        <f>SUM(K7:K30)</f>
        <v>1116.5327109942762</v>
      </c>
      <c r="L31" s="98">
        <f>SUM(L7:L30)</f>
        <v>1067.122355</v>
      </c>
      <c r="M31" s="98">
        <f>SUM(M7:M30)</f>
        <v>924.15246410000009</v>
      </c>
      <c r="N31" s="98">
        <f>SUM(N7:N30)</f>
        <v>1011.51372</v>
      </c>
    </row>
    <row r="32" spans="2:14">
      <c r="B32" t="s">
        <v>382</v>
      </c>
      <c r="J32" s="81" t="s">
        <v>383</v>
      </c>
      <c r="K32" s="87">
        <f>[1]Tesoreria!$BX$295/1000</f>
        <v>0</v>
      </c>
      <c r="L32" s="87">
        <f>+K33</f>
        <v>1116.5327109942762</v>
      </c>
      <c r="M32" s="87">
        <f>+L33</f>
        <v>2183.6550659942759</v>
      </c>
      <c r="N32" s="87">
        <f>+M33</f>
        <v>3107.807530094276</v>
      </c>
    </row>
    <row r="33" spans="2:14">
      <c r="B33" t="s">
        <v>384</v>
      </c>
      <c r="J33" s="89" t="s">
        <v>37</v>
      </c>
      <c r="K33" s="98">
        <f>SUM(K31:K32)</f>
        <v>1116.5327109942762</v>
      </c>
      <c r="L33" s="98">
        <f>SUM(L31:L32)</f>
        <v>2183.6550659942759</v>
      </c>
      <c r="M33" s="98">
        <f>SUM(M31:M32)</f>
        <v>3107.807530094276</v>
      </c>
      <c r="N33" s="98">
        <f>SUM(N31:N32)</f>
        <v>4119.3212500942764</v>
      </c>
    </row>
    <row r="35" spans="2:14">
      <c r="L35">
        <v>-31</v>
      </c>
    </row>
    <row r="36" spans="2:14">
      <c r="L36" s="87">
        <f>+C18+D18</f>
        <v>-37.910974680000152</v>
      </c>
    </row>
    <row r="37" spans="2:14">
      <c r="L37">
        <f>SUM(L35:L36)</f>
        <v>-68.910974680000152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C432E-19ED-4261-A7EE-0F749E16EB34}">
  <dimension ref="A1:J30"/>
  <sheetViews>
    <sheetView workbookViewId="0">
      <selection activeCell="D4" sqref="D4"/>
    </sheetView>
  </sheetViews>
  <sheetFormatPr baseColWidth="10" defaultColWidth="11.42578125" defaultRowHeight="15"/>
  <cols>
    <col min="1" max="1" width="14.7109375" bestFit="1" customWidth="1"/>
    <col min="2" max="2" width="24.140625" bestFit="1" customWidth="1"/>
    <col min="3" max="3" width="12.85546875" bestFit="1" customWidth="1"/>
    <col min="4" max="4" width="16.28515625" bestFit="1" customWidth="1"/>
    <col min="5" max="5" width="12.85546875" bestFit="1" customWidth="1"/>
    <col min="6" max="6" width="16.28515625" bestFit="1" customWidth="1"/>
    <col min="7" max="7" width="6.7109375" bestFit="1" customWidth="1"/>
    <col min="8" max="8" width="7.42578125" bestFit="1" customWidth="1"/>
    <col min="9" max="9" width="12.85546875" bestFit="1" customWidth="1"/>
    <col min="10" max="10" width="16.28515625" bestFit="1" customWidth="1"/>
    <col min="11" max="11" width="12.85546875" bestFit="1" customWidth="1"/>
    <col min="12" max="12" width="16.28515625" bestFit="1" customWidth="1"/>
    <col min="13" max="13" width="6.7109375" bestFit="1" customWidth="1"/>
    <col min="14" max="14" width="5.140625" bestFit="1" customWidth="1"/>
    <col min="15" max="15" width="21" bestFit="1" customWidth="1"/>
  </cols>
  <sheetData>
    <row r="1" spans="1:10">
      <c r="C1" s="582" t="s">
        <v>313</v>
      </c>
      <c r="D1" s="582"/>
      <c r="E1" s="582" t="s">
        <v>314</v>
      </c>
      <c r="F1" s="582"/>
    </row>
    <row r="2" spans="1:10">
      <c r="C2" t="s">
        <v>315</v>
      </c>
      <c r="D2" t="s">
        <v>316</v>
      </c>
      <c r="E2" t="s">
        <v>315</v>
      </c>
      <c r="F2" t="s">
        <v>316</v>
      </c>
      <c r="G2" t="s">
        <v>182</v>
      </c>
      <c r="H2" t="s">
        <v>317</v>
      </c>
    </row>
    <row r="3" spans="1:10">
      <c r="B3" t="s">
        <v>318</v>
      </c>
    </row>
    <row r="4" spans="1:10">
      <c r="A4" t="s">
        <v>270</v>
      </c>
      <c r="B4" t="s">
        <v>319</v>
      </c>
      <c r="C4" s="108" t="s">
        <v>320</v>
      </c>
      <c r="D4" s="111">
        <v>0.34542</v>
      </c>
      <c r="E4" s="110" t="s">
        <v>320</v>
      </c>
      <c r="F4" s="107">
        <v>0.36253999999999997</v>
      </c>
      <c r="G4" s="86">
        <v>2.5</v>
      </c>
      <c r="H4" s="105">
        <f>G4*D4</f>
        <v>0.86355000000000004</v>
      </c>
      <c r="I4">
        <v>25000</v>
      </c>
      <c r="J4" s="103">
        <f>I4*F4</f>
        <v>9063.5</v>
      </c>
    </row>
    <row r="5" spans="1:10">
      <c r="A5" t="s">
        <v>321</v>
      </c>
      <c r="B5" t="s">
        <v>322</v>
      </c>
      <c r="C5" s="86">
        <v>0.36921999999999999</v>
      </c>
      <c r="D5" s="109">
        <v>0.38331999999999999</v>
      </c>
      <c r="E5" s="86">
        <v>0.38834999999999997</v>
      </c>
      <c r="F5" s="86">
        <v>0.40044000000000002</v>
      </c>
      <c r="G5" s="86">
        <v>2.5</v>
      </c>
      <c r="H5" s="106">
        <f>G5*C5</f>
        <v>0.92304999999999993</v>
      </c>
    </row>
    <row r="6" spans="1:10">
      <c r="A6" t="s">
        <v>323</v>
      </c>
      <c r="B6" t="s">
        <v>324</v>
      </c>
      <c r="C6" s="108" t="s">
        <v>320</v>
      </c>
      <c r="D6" s="108" t="s">
        <v>320</v>
      </c>
      <c r="E6" s="104">
        <v>0.45222000000000001</v>
      </c>
      <c r="F6" s="108" t="s">
        <v>320</v>
      </c>
      <c r="G6" s="86">
        <v>0.8</v>
      </c>
      <c r="H6" s="105">
        <f>G6*E6</f>
        <v>0.36177600000000004</v>
      </c>
      <c r="I6">
        <v>5000</v>
      </c>
      <c r="J6" s="103">
        <f>I6*E6</f>
        <v>2261.1</v>
      </c>
    </row>
    <row r="7" spans="1:10">
      <c r="A7" t="s">
        <v>325</v>
      </c>
      <c r="B7" t="s">
        <v>326</v>
      </c>
      <c r="C7" s="86">
        <v>0.35298000000000002</v>
      </c>
      <c r="D7" s="86">
        <v>0.36707000000000001</v>
      </c>
      <c r="E7" s="86">
        <v>0.37211</v>
      </c>
      <c r="F7" s="86">
        <v>0.38418999999999998</v>
      </c>
      <c r="G7" s="86">
        <v>6</v>
      </c>
      <c r="H7" s="106">
        <f>G7*C7</f>
        <v>2.11788</v>
      </c>
    </row>
    <row r="8" spans="1:10">
      <c r="A8" t="s">
        <v>327</v>
      </c>
      <c r="B8" t="s">
        <v>328</v>
      </c>
      <c r="C8" s="104">
        <v>0.37217</v>
      </c>
      <c r="D8" s="86">
        <v>0.38627</v>
      </c>
      <c r="E8" s="86">
        <v>0.38929000000000002</v>
      </c>
      <c r="F8" s="86">
        <v>0.40339000000000003</v>
      </c>
      <c r="G8" s="86">
        <v>8.4</v>
      </c>
      <c r="H8" s="105">
        <f>G8*C8</f>
        <v>3.1262280000000002</v>
      </c>
      <c r="I8" s="86">
        <v>22500</v>
      </c>
      <c r="J8" s="103">
        <f>I8*C8</f>
        <v>8373.8250000000007</v>
      </c>
    </row>
    <row r="9" spans="1:10">
      <c r="A9" t="s">
        <v>329</v>
      </c>
      <c r="B9" t="s">
        <v>328</v>
      </c>
      <c r="C9" s="104">
        <v>0.37217</v>
      </c>
      <c r="D9" s="86">
        <v>0.38627</v>
      </c>
      <c r="E9" s="86">
        <v>0.38929000000000002</v>
      </c>
      <c r="F9" s="86">
        <v>0.40339000000000003</v>
      </c>
      <c r="G9" s="86">
        <v>10</v>
      </c>
      <c r="H9" s="105">
        <f>G9*C9</f>
        <v>3.7217000000000002</v>
      </c>
      <c r="I9" s="86">
        <v>2500</v>
      </c>
      <c r="J9" s="103">
        <f>I9*C9</f>
        <v>930.42499999999995</v>
      </c>
    </row>
    <row r="10" spans="1:10">
      <c r="A10" t="s">
        <v>330</v>
      </c>
      <c r="B10" t="s">
        <v>331</v>
      </c>
      <c r="C10" s="86">
        <v>0.37296000000000001</v>
      </c>
      <c r="D10" s="86">
        <v>0.38907000000000003</v>
      </c>
      <c r="E10" s="86">
        <v>0.3921</v>
      </c>
      <c r="F10" s="86">
        <v>0.40619</v>
      </c>
      <c r="G10" s="86">
        <v>1</v>
      </c>
      <c r="H10" s="105">
        <f>G10*F10</f>
        <v>0.40619</v>
      </c>
    </row>
    <row r="14" spans="1:10">
      <c r="B14" t="s">
        <v>332</v>
      </c>
    </row>
    <row r="15" spans="1:10">
      <c r="A15" t="s">
        <v>270</v>
      </c>
      <c r="B15" t="s">
        <v>333</v>
      </c>
      <c r="D15" s="104">
        <f>F15-0.01</f>
        <v>0.375</v>
      </c>
      <c r="F15" s="107">
        <v>0.38500000000000001</v>
      </c>
      <c r="G15" s="86">
        <v>2.5</v>
      </c>
      <c r="H15" s="106">
        <f>G15*D15</f>
        <v>0.9375</v>
      </c>
    </row>
    <row r="16" spans="1:10">
      <c r="A16" t="s">
        <v>321</v>
      </c>
      <c r="G16" s="86"/>
      <c r="H16" s="106"/>
    </row>
    <row r="17" spans="1:10">
      <c r="A17" t="s">
        <v>323</v>
      </c>
      <c r="B17" t="s">
        <v>334</v>
      </c>
      <c r="D17" s="86">
        <f>F17-0.01-0.005</f>
        <v>0.45999999999999996</v>
      </c>
      <c r="E17" s="86"/>
      <c r="F17" s="104">
        <v>0.47499999999999998</v>
      </c>
      <c r="G17" s="86">
        <v>0.8</v>
      </c>
      <c r="H17" s="106">
        <f>G17*F17</f>
        <v>0.38</v>
      </c>
    </row>
    <row r="18" spans="1:10">
      <c r="A18" t="s">
        <v>325</v>
      </c>
      <c r="B18" t="s">
        <v>335</v>
      </c>
      <c r="D18" s="86">
        <f>F18-0.01-0.005</f>
        <v>0.41499999999999998</v>
      </c>
      <c r="E18" s="86"/>
      <c r="F18" s="86">
        <v>0.43</v>
      </c>
      <c r="G18" s="86">
        <v>6</v>
      </c>
      <c r="H18" s="106">
        <f>G18*D18</f>
        <v>2.4899999999999998</v>
      </c>
    </row>
    <row r="19" spans="1:10">
      <c r="A19" t="s">
        <v>327</v>
      </c>
      <c r="B19" t="s">
        <v>336</v>
      </c>
      <c r="D19" s="104">
        <f>F19-0.01-0.005</f>
        <v>0.42</v>
      </c>
      <c r="E19" s="86"/>
      <c r="F19" s="86">
        <v>0.435</v>
      </c>
      <c r="G19" s="86">
        <v>8.4</v>
      </c>
      <c r="H19" s="106">
        <f>G19*D19</f>
        <v>3.528</v>
      </c>
    </row>
    <row r="20" spans="1:10">
      <c r="A20" t="s">
        <v>329</v>
      </c>
      <c r="B20" t="s">
        <v>336</v>
      </c>
      <c r="D20" s="104">
        <f>F20-0.01-0.005</f>
        <v>0.42</v>
      </c>
      <c r="E20" s="86"/>
      <c r="F20" s="86">
        <v>0.435</v>
      </c>
      <c r="G20" s="86">
        <v>10</v>
      </c>
      <c r="H20" s="106">
        <f>G20*D20</f>
        <v>4.2</v>
      </c>
    </row>
    <row r="21" spans="1:10">
      <c r="A21" t="s">
        <v>330</v>
      </c>
      <c r="B21" t="s">
        <v>337</v>
      </c>
      <c r="C21" s="86">
        <v>0.32314999999999999</v>
      </c>
      <c r="D21" s="86">
        <v>0.32915</v>
      </c>
      <c r="E21" s="86">
        <v>0.33515</v>
      </c>
      <c r="F21" s="104">
        <v>0.34115000000000001</v>
      </c>
      <c r="G21" s="86">
        <v>1</v>
      </c>
      <c r="H21" s="105">
        <f>G21*F21</f>
        <v>0.34115000000000001</v>
      </c>
      <c r="I21" s="104">
        <v>25000</v>
      </c>
      <c r="J21" s="103">
        <f>I21*F21</f>
        <v>8528.75</v>
      </c>
    </row>
    <row r="24" spans="1:10">
      <c r="C24" t="s">
        <v>338</v>
      </c>
      <c r="E24" t="s">
        <v>173</v>
      </c>
    </row>
    <row r="25" spans="1:10">
      <c r="C25" t="s">
        <v>185</v>
      </c>
      <c r="D25" t="s">
        <v>182</v>
      </c>
      <c r="E25" t="s">
        <v>185</v>
      </c>
      <c r="F25" t="s">
        <v>182</v>
      </c>
      <c r="H25" t="s">
        <v>317</v>
      </c>
    </row>
    <row r="26" spans="1:10">
      <c r="A26" t="s">
        <v>270</v>
      </c>
      <c r="C26" s="86">
        <v>0.24</v>
      </c>
      <c r="D26" s="86">
        <v>2.6</v>
      </c>
      <c r="E26" s="86">
        <v>0.42599999999999999</v>
      </c>
      <c r="F26" s="86">
        <v>3.65</v>
      </c>
      <c r="G26" s="86"/>
      <c r="H26" s="86">
        <f>F26*E26+D26*C26</f>
        <v>2.1789000000000001</v>
      </c>
    </row>
    <row r="27" spans="1:10">
      <c r="A27" t="s">
        <v>325</v>
      </c>
      <c r="C27" s="86">
        <f>C26</f>
        <v>0.24</v>
      </c>
      <c r="D27" s="86">
        <v>3.2</v>
      </c>
      <c r="E27" s="86">
        <f>E26</f>
        <v>0.42599999999999999</v>
      </c>
      <c r="F27" s="86">
        <v>2.6</v>
      </c>
      <c r="G27" s="86"/>
      <c r="H27" s="86">
        <f>F27*E27+D27*C27</f>
        <v>1.8755999999999999</v>
      </c>
    </row>
    <row r="28" spans="1:10">
      <c r="A28" t="s">
        <v>339</v>
      </c>
      <c r="C28" s="86">
        <f>C29</f>
        <v>0.24</v>
      </c>
      <c r="D28" s="86">
        <v>5</v>
      </c>
      <c r="E28" s="86">
        <f>E29</f>
        <v>0.42599999999999999</v>
      </c>
      <c r="F28" s="86">
        <v>2.5</v>
      </c>
      <c r="G28" s="86"/>
      <c r="H28" s="86">
        <f>F28*E28+D28*C28</f>
        <v>2.2649999999999997</v>
      </c>
    </row>
    <row r="29" spans="1:10">
      <c r="A29" t="s">
        <v>329</v>
      </c>
      <c r="C29" s="86">
        <f>C27</f>
        <v>0.24</v>
      </c>
      <c r="D29" s="86">
        <v>9</v>
      </c>
      <c r="E29" s="86">
        <f>E27</f>
        <v>0.42599999999999999</v>
      </c>
      <c r="F29" s="86">
        <v>4</v>
      </c>
      <c r="G29" s="86"/>
      <c r="H29" s="86">
        <f>F29*E29+D29*C29</f>
        <v>3.8639999999999999</v>
      </c>
    </row>
    <row r="30" spans="1:10">
      <c r="C30" s="86"/>
      <c r="D30" s="86"/>
      <c r="E30" s="86"/>
      <c r="F30" s="86"/>
      <c r="G30" s="86"/>
      <c r="H30" s="86"/>
    </row>
  </sheetData>
  <mergeCells count="2">
    <mergeCell ref="C1:D1"/>
    <mergeCell ref="E1:F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Ppto 24-25 2Oct</vt:lpstr>
      <vt:lpstr>Animales</vt:lpstr>
      <vt:lpstr>Consolidado</vt:lpstr>
      <vt:lpstr>Comparativa cuadros</vt:lpstr>
      <vt:lpstr>Ing y gtos</vt:lpstr>
      <vt:lpstr>Alimento y ventas</vt:lpstr>
      <vt:lpstr>Hoja1</vt:lpstr>
      <vt:lpstr>Calculos</vt:lpstr>
      <vt:lpstr>PyG</vt:lpstr>
      <vt:lpstr>Calculos pienso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Carmona</dc:creator>
  <cp:keywords/>
  <dc:description/>
  <cp:lastModifiedBy>Info Nixal</cp:lastModifiedBy>
  <cp:revision/>
  <dcterms:created xsi:type="dcterms:W3CDTF">2019-08-20T11:02:13Z</dcterms:created>
  <dcterms:modified xsi:type="dcterms:W3CDTF">2026-06-15T08:00:40Z</dcterms:modified>
  <cp:category/>
  <cp:contentStatus/>
</cp:coreProperties>
</file>